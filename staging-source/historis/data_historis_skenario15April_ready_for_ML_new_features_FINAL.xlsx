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.ML_Project\Demo\4.tanggal_berjalan\History_17_April\"/>
    </mc:Choice>
  </mc:AlternateContent>
  <xr:revisionPtr revIDLastSave="0" documentId="13_ncr:1_{A7BF97FC-596F-435D-B37F-2AC78E0657F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lean_historis" sheetId="5" r:id="rId1"/>
    <sheet name="model_2023_2024" sheetId="6" r:id="rId2"/>
    <sheet name="model_2024_2025" sheetId="7" r:id="rId3"/>
    <sheet name="model_2025_2026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351" i="8" l="1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BP3" i="8"/>
  <c r="BP2" i="8"/>
  <c r="BO351" i="8"/>
  <c r="BO350" i="8"/>
  <c r="BO349" i="8"/>
  <c r="BO348" i="8"/>
  <c r="BO347" i="8"/>
  <c r="BO346" i="8"/>
  <c r="BO345" i="8"/>
  <c r="BO344" i="8"/>
  <c r="BO343" i="8"/>
  <c r="BO342" i="8"/>
  <c r="BO341" i="8"/>
  <c r="BO340" i="8"/>
  <c r="BO339" i="8"/>
  <c r="BO338" i="8"/>
  <c r="BO337" i="8"/>
  <c r="BO336" i="8"/>
  <c r="BO335" i="8"/>
  <c r="BO334" i="8"/>
  <c r="BO333" i="8"/>
  <c r="BO332" i="8"/>
  <c r="BO331" i="8"/>
  <c r="BO330" i="8"/>
  <c r="BO329" i="8"/>
  <c r="BO328" i="8"/>
  <c r="BO327" i="8"/>
  <c r="BO326" i="8"/>
  <c r="BO325" i="8"/>
  <c r="BO324" i="8"/>
  <c r="BO323" i="8"/>
  <c r="BO322" i="8"/>
  <c r="BO321" i="8"/>
  <c r="BO320" i="8"/>
  <c r="BO319" i="8"/>
  <c r="BO318" i="8"/>
  <c r="BO317" i="8"/>
  <c r="BO316" i="8"/>
  <c r="BO315" i="8"/>
  <c r="BO314" i="8"/>
  <c r="BO313" i="8"/>
  <c r="BO312" i="8"/>
  <c r="BO311" i="8"/>
  <c r="BO310" i="8"/>
  <c r="BO309" i="8"/>
  <c r="BO308" i="8"/>
  <c r="BO307" i="8"/>
  <c r="BO306" i="8"/>
  <c r="BO305" i="8"/>
  <c r="BO304" i="8"/>
  <c r="BO303" i="8"/>
  <c r="BO302" i="8"/>
  <c r="BO301" i="8"/>
  <c r="BO300" i="8"/>
  <c r="BO299" i="8"/>
  <c r="BO298" i="8"/>
  <c r="BO297" i="8"/>
  <c r="BO296" i="8"/>
  <c r="BO295" i="8"/>
  <c r="BO294" i="8"/>
  <c r="BO293" i="8"/>
  <c r="BO292" i="8"/>
  <c r="BO291" i="8"/>
  <c r="BO290" i="8"/>
  <c r="BO289" i="8"/>
  <c r="BO288" i="8"/>
  <c r="BO287" i="8"/>
  <c r="BO286" i="8"/>
  <c r="BO285" i="8"/>
  <c r="BO284" i="8"/>
  <c r="BO283" i="8"/>
  <c r="BO282" i="8"/>
  <c r="BO281" i="8"/>
  <c r="BO280" i="8"/>
  <c r="BO279" i="8"/>
  <c r="BO278" i="8"/>
  <c r="BO277" i="8"/>
  <c r="BO276" i="8"/>
  <c r="BO275" i="8"/>
  <c r="BO274" i="8"/>
  <c r="BO273" i="8"/>
  <c r="BO272" i="8"/>
  <c r="BO271" i="8"/>
  <c r="BO270" i="8"/>
  <c r="BO269" i="8"/>
  <c r="BO268" i="8"/>
  <c r="BO267" i="8"/>
  <c r="BO266" i="8"/>
  <c r="BO265" i="8"/>
  <c r="BO264" i="8"/>
  <c r="BO263" i="8"/>
  <c r="BO262" i="8"/>
  <c r="BO261" i="8"/>
  <c r="BO260" i="8"/>
  <c r="BO259" i="8"/>
  <c r="BO258" i="8"/>
  <c r="BO257" i="8"/>
  <c r="BO256" i="8"/>
  <c r="BO255" i="8"/>
  <c r="BO254" i="8"/>
  <c r="BO253" i="8"/>
  <c r="BO252" i="8"/>
  <c r="BO251" i="8"/>
  <c r="BO250" i="8"/>
  <c r="BO249" i="8"/>
  <c r="BO248" i="8"/>
  <c r="BO247" i="8"/>
  <c r="BO246" i="8"/>
  <c r="BO245" i="8"/>
  <c r="BO244" i="8"/>
  <c r="BO243" i="8"/>
  <c r="BO242" i="8"/>
  <c r="BO241" i="8"/>
  <c r="BO240" i="8"/>
  <c r="BO239" i="8"/>
  <c r="BO238" i="8"/>
  <c r="BO237" i="8"/>
  <c r="BO236" i="8"/>
  <c r="BO235" i="8"/>
  <c r="BO234" i="8"/>
  <c r="BO233" i="8"/>
  <c r="BO232" i="8"/>
  <c r="BO231" i="8"/>
  <c r="BO230" i="8"/>
  <c r="BO229" i="8"/>
  <c r="BO228" i="8"/>
  <c r="BO227" i="8"/>
  <c r="BO226" i="8"/>
  <c r="BO225" i="8"/>
  <c r="BO224" i="8"/>
  <c r="BO223" i="8"/>
  <c r="BO222" i="8"/>
  <c r="BO221" i="8"/>
  <c r="BO220" i="8"/>
  <c r="BO219" i="8"/>
  <c r="BO218" i="8"/>
  <c r="BO217" i="8"/>
  <c r="BO216" i="8"/>
  <c r="BO215" i="8"/>
  <c r="BO214" i="8"/>
  <c r="BO213" i="8"/>
  <c r="BO212" i="8"/>
  <c r="BO211" i="8"/>
  <c r="BO210" i="8"/>
  <c r="BO209" i="8"/>
  <c r="BO208" i="8"/>
  <c r="BO207" i="8"/>
  <c r="BO206" i="8"/>
  <c r="BO205" i="8"/>
  <c r="BO204" i="8"/>
  <c r="BO203" i="8"/>
  <c r="BO202" i="8"/>
  <c r="BO201" i="8"/>
  <c r="BO200" i="8"/>
  <c r="BO199" i="8"/>
  <c r="BO198" i="8"/>
  <c r="BO197" i="8"/>
  <c r="BO196" i="8"/>
  <c r="BO195" i="8"/>
  <c r="BO194" i="8"/>
  <c r="BO193" i="8"/>
  <c r="BO192" i="8"/>
  <c r="BO191" i="8"/>
  <c r="BO190" i="8"/>
  <c r="BO189" i="8"/>
  <c r="BO188" i="8"/>
  <c r="BO187" i="8"/>
  <c r="BO186" i="8"/>
  <c r="BO185" i="8"/>
  <c r="BO184" i="8"/>
  <c r="BO183" i="8"/>
  <c r="BO182" i="8"/>
  <c r="BO181" i="8"/>
  <c r="BO180" i="8"/>
  <c r="BO179" i="8"/>
  <c r="BO178" i="8"/>
  <c r="BO177" i="8"/>
  <c r="BO176" i="8"/>
  <c r="BO175" i="8"/>
  <c r="BO174" i="8"/>
  <c r="BO173" i="8"/>
  <c r="BO172" i="8"/>
  <c r="BO171" i="8"/>
  <c r="BO170" i="8"/>
  <c r="BO169" i="8"/>
  <c r="BO168" i="8"/>
  <c r="BO167" i="8"/>
  <c r="BO166" i="8"/>
  <c r="BO165" i="8"/>
  <c r="BO164" i="8"/>
  <c r="BO163" i="8"/>
  <c r="BO162" i="8"/>
  <c r="BO161" i="8"/>
  <c r="BO160" i="8"/>
  <c r="BO159" i="8"/>
  <c r="BO158" i="8"/>
  <c r="BO157" i="8"/>
  <c r="BO156" i="8"/>
  <c r="BO155" i="8"/>
  <c r="BO154" i="8"/>
  <c r="BO153" i="8"/>
  <c r="BO152" i="8"/>
  <c r="BO151" i="8"/>
  <c r="BO150" i="8"/>
  <c r="BO149" i="8"/>
  <c r="BO148" i="8"/>
  <c r="BO147" i="8"/>
  <c r="BO146" i="8"/>
  <c r="BO145" i="8"/>
  <c r="BO144" i="8"/>
  <c r="BO143" i="8"/>
  <c r="BO142" i="8"/>
  <c r="BO141" i="8"/>
  <c r="BO140" i="8"/>
  <c r="BO139" i="8"/>
  <c r="BO138" i="8"/>
  <c r="BO137" i="8"/>
  <c r="BO136" i="8"/>
  <c r="BO135" i="8"/>
  <c r="BO134" i="8"/>
  <c r="BO133" i="8"/>
  <c r="BO132" i="8"/>
  <c r="BO131" i="8"/>
  <c r="BO130" i="8"/>
  <c r="BO129" i="8"/>
  <c r="BO128" i="8"/>
  <c r="BO127" i="8"/>
  <c r="BO126" i="8"/>
  <c r="BO125" i="8"/>
  <c r="BO124" i="8"/>
  <c r="BO123" i="8"/>
  <c r="BO122" i="8"/>
  <c r="BO121" i="8"/>
  <c r="BO120" i="8"/>
  <c r="BO119" i="8"/>
  <c r="BO118" i="8"/>
  <c r="BO117" i="8"/>
  <c r="BO116" i="8"/>
  <c r="BO115" i="8"/>
  <c r="BO114" i="8"/>
  <c r="BO113" i="8"/>
  <c r="BO112" i="8"/>
  <c r="BO111" i="8"/>
  <c r="BO110" i="8"/>
  <c r="BO109" i="8"/>
  <c r="BO108" i="8"/>
  <c r="BO107" i="8"/>
  <c r="BO106" i="8"/>
  <c r="BO105" i="8"/>
  <c r="BO104" i="8"/>
  <c r="BO103" i="8"/>
  <c r="BO102" i="8"/>
  <c r="BO101" i="8"/>
  <c r="BO100" i="8"/>
  <c r="BO99" i="8"/>
  <c r="BO98" i="8"/>
  <c r="BO97" i="8"/>
  <c r="BO96" i="8"/>
  <c r="BO95" i="8"/>
  <c r="BO94" i="8"/>
  <c r="BO93" i="8"/>
  <c r="BO92" i="8"/>
  <c r="BO91" i="8"/>
  <c r="BO90" i="8"/>
  <c r="BO89" i="8"/>
  <c r="BO88" i="8"/>
  <c r="BO87" i="8"/>
  <c r="BO86" i="8"/>
  <c r="BO85" i="8"/>
  <c r="BO84" i="8"/>
  <c r="BO83" i="8"/>
  <c r="BO82" i="8"/>
  <c r="BO81" i="8"/>
  <c r="BO80" i="8"/>
  <c r="BO79" i="8"/>
  <c r="BO78" i="8"/>
  <c r="BO77" i="8"/>
  <c r="BO76" i="8"/>
  <c r="BO75" i="8"/>
  <c r="BO74" i="8"/>
  <c r="BO73" i="8"/>
  <c r="BO72" i="8"/>
  <c r="BO71" i="8"/>
  <c r="BO70" i="8"/>
  <c r="BO69" i="8"/>
  <c r="BO68" i="8"/>
  <c r="BO67" i="8"/>
  <c r="BO66" i="8"/>
  <c r="BO65" i="8"/>
  <c r="BO64" i="8"/>
  <c r="BO63" i="8"/>
  <c r="BO62" i="8"/>
  <c r="BO61" i="8"/>
  <c r="BO60" i="8"/>
  <c r="BO59" i="8"/>
  <c r="BO58" i="8"/>
  <c r="BO57" i="8"/>
  <c r="BO56" i="8"/>
  <c r="BO55" i="8"/>
  <c r="BO54" i="8"/>
  <c r="BO53" i="8"/>
  <c r="BO52" i="8"/>
  <c r="BO51" i="8"/>
  <c r="BO50" i="8"/>
  <c r="BO49" i="8"/>
  <c r="BO48" i="8"/>
  <c r="BO47" i="8"/>
  <c r="BO46" i="8"/>
  <c r="BO45" i="8"/>
  <c r="BO44" i="8"/>
  <c r="BO43" i="8"/>
  <c r="BO42" i="8"/>
  <c r="BO41" i="8"/>
  <c r="BO40" i="8"/>
  <c r="BO39" i="8"/>
  <c r="BO38" i="8"/>
  <c r="BO37" i="8"/>
  <c r="BO36" i="8"/>
  <c r="BO35" i="8"/>
  <c r="BO34" i="8"/>
  <c r="BO33" i="8"/>
  <c r="BO32" i="8"/>
  <c r="BO31" i="8"/>
  <c r="BO30" i="8"/>
  <c r="BO29" i="8"/>
  <c r="BO28" i="8"/>
  <c r="BO27" i="8"/>
  <c r="BO26" i="8"/>
  <c r="BO25" i="8"/>
  <c r="BO24" i="8"/>
  <c r="BO23" i="8"/>
  <c r="BO22" i="8"/>
  <c r="BO21" i="8"/>
  <c r="BO20" i="8"/>
  <c r="BO19" i="8"/>
  <c r="BO18" i="8"/>
  <c r="BO17" i="8"/>
  <c r="BO16" i="8"/>
  <c r="BO15" i="8"/>
  <c r="BO14" i="8"/>
  <c r="BO13" i="8"/>
  <c r="BO12" i="8"/>
  <c r="BO11" i="8"/>
  <c r="BO10" i="8"/>
  <c r="BO9" i="8"/>
  <c r="BO8" i="8"/>
  <c r="BO7" i="8"/>
  <c r="BO6" i="8"/>
  <c r="BO5" i="8"/>
  <c r="BO4" i="8"/>
  <c r="BO3" i="8"/>
  <c r="BO2" i="8"/>
  <c r="AY2" i="8"/>
  <c r="BB2" i="8"/>
  <c r="BC2" i="8"/>
  <c r="BE2" i="8" s="1"/>
  <c r="BF2" i="8"/>
  <c r="BH2" i="8"/>
  <c r="BI2" i="8" s="1"/>
  <c r="BJ2" i="8"/>
  <c r="BK2" i="8"/>
  <c r="BL2" i="8"/>
  <c r="AX3" i="8"/>
  <c r="AY3" i="8"/>
  <c r="BB3" i="8"/>
  <c r="BC3" i="8"/>
  <c r="BD3" i="8" s="1"/>
  <c r="BF3" i="8"/>
  <c r="BM3" i="8" s="1"/>
  <c r="BH3" i="8"/>
  <c r="BI3" i="8" s="1"/>
  <c r="BJ3" i="8"/>
  <c r="BK3" i="8"/>
  <c r="BL3" i="8"/>
  <c r="AY4" i="8"/>
  <c r="BB4" i="8"/>
  <c r="BC4" i="8"/>
  <c r="BE4" i="8" s="1"/>
  <c r="BF4" i="8"/>
  <c r="BH4" i="8"/>
  <c r="BI4" i="8" s="1"/>
  <c r="BJ4" i="8"/>
  <c r="BK4" i="8"/>
  <c r="BL4" i="8"/>
  <c r="AY5" i="8"/>
  <c r="BB5" i="8"/>
  <c r="BC5" i="8"/>
  <c r="BD5" i="8" s="1"/>
  <c r="BF5" i="8"/>
  <c r="AX5" i="8" s="1"/>
  <c r="BH5" i="8"/>
  <c r="BI5" i="8" s="1"/>
  <c r="BJ5" i="8"/>
  <c r="BK5" i="8"/>
  <c r="BL5" i="8"/>
  <c r="AY6" i="8"/>
  <c r="BB6" i="8"/>
  <c r="BC6" i="8"/>
  <c r="BE6" i="8" s="1"/>
  <c r="BF6" i="8"/>
  <c r="BH6" i="8"/>
  <c r="BI6" i="8" s="1"/>
  <c r="BJ6" i="8"/>
  <c r="BK6" i="8"/>
  <c r="BL6" i="8"/>
  <c r="AY7" i="8"/>
  <c r="BB7" i="8"/>
  <c r="BC7" i="8"/>
  <c r="BD7" i="8" s="1"/>
  <c r="BF7" i="8"/>
  <c r="AZ7" i="8" s="1"/>
  <c r="BH7" i="8"/>
  <c r="BI7" i="8" s="1"/>
  <c r="BJ7" i="8"/>
  <c r="BK7" i="8"/>
  <c r="BL7" i="8"/>
  <c r="AY8" i="8"/>
  <c r="BB8" i="8"/>
  <c r="BC8" i="8"/>
  <c r="BE8" i="8" s="1"/>
  <c r="BF8" i="8"/>
  <c r="BH8" i="8"/>
  <c r="BI8" i="8" s="1"/>
  <c r="BJ8" i="8"/>
  <c r="BK8" i="8"/>
  <c r="BL8" i="8"/>
  <c r="BQ8" i="8" s="1"/>
  <c r="AY9" i="8"/>
  <c r="BB9" i="8"/>
  <c r="BC9" i="8"/>
  <c r="BD9" i="8" s="1"/>
  <c r="BF9" i="8"/>
  <c r="BH9" i="8"/>
  <c r="BI9" i="8" s="1"/>
  <c r="BJ9" i="8"/>
  <c r="BK9" i="8"/>
  <c r="BL9" i="8"/>
  <c r="AY10" i="8"/>
  <c r="BB10" i="8"/>
  <c r="BC10" i="8"/>
  <c r="BF10" i="8"/>
  <c r="BH10" i="8"/>
  <c r="BI10" i="8" s="1"/>
  <c r="BJ10" i="8"/>
  <c r="BK10" i="8"/>
  <c r="BL10" i="8"/>
  <c r="AY11" i="8"/>
  <c r="BB11" i="8"/>
  <c r="BC11" i="8"/>
  <c r="BD11" i="8" s="1"/>
  <c r="BF11" i="8"/>
  <c r="AZ11" i="8" s="1"/>
  <c r="BH11" i="8"/>
  <c r="BI11" i="8" s="1"/>
  <c r="BJ11" i="8"/>
  <c r="BK11" i="8"/>
  <c r="BL11" i="8"/>
  <c r="AY12" i="8"/>
  <c r="BB12" i="8"/>
  <c r="BC12" i="8"/>
  <c r="BF12" i="8"/>
  <c r="AZ12" i="8" s="1"/>
  <c r="BH12" i="8"/>
  <c r="BI12" i="8" s="1"/>
  <c r="BJ12" i="8"/>
  <c r="BK12" i="8"/>
  <c r="BL12" i="8"/>
  <c r="AY13" i="8"/>
  <c r="BB13" i="8"/>
  <c r="BC13" i="8"/>
  <c r="BD13" i="8" s="1"/>
  <c r="BF13" i="8"/>
  <c r="AX13" i="8" s="1"/>
  <c r="BH13" i="8"/>
  <c r="BI13" i="8" s="1"/>
  <c r="BJ13" i="8"/>
  <c r="BK13" i="8"/>
  <c r="BL13" i="8"/>
  <c r="AY14" i="8"/>
  <c r="BB14" i="8"/>
  <c r="BC14" i="8"/>
  <c r="BE14" i="8" s="1"/>
  <c r="BF14" i="8"/>
  <c r="AZ14" i="8" s="1"/>
  <c r="BH14" i="8"/>
  <c r="BI14" i="8" s="1"/>
  <c r="BJ14" i="8"/>
  <c r="BK14" i="8"/>
  <c r="BL14" i="8"/>
  <c r="BQ14" i="8" s="1"/>
  <c r="AY15" i="8"/>
  <c r="BB15" i="8"/>
  <c r="BC15" i="8"/>
  <c r="BD15" i="8" s="1"/>
  <c r="BF15" i="8"/>
  <c r="BM15" i="8" s="1"/>
  <c r="BH15" i="8"/>
  <c r="BI15" i="8" s="1"/>
  <c r="BJ15" i="8"/>
  <c r="BK15" i="8"/>
  <c r="BL15" i="8"/>
  <c r="AY16" i="8"/>
  <c r="BB16" i="8"/>
  <c r="BC16" i="8"/>
  <c r="BD16" i="8"/>
  <c r="BF16" i="8"/>
  <c r="AZ16" i="8" s="1"/>
  <c r="BH16" i="8"/>
  <c r="BI16" i="8" s="1"/>
  <c r="BJ16" i="8"/>
  <c r="BK16" i="8"/>
  <c r="BL16" i="8"/>
  <c r="AY17" i="8"/>
  <c r="BB17" i="8"/>
  <c r="BC17" i="8"/>
  <c r="BD17" i="8" s="1"/>
  <c r="BF17" i="8"/>
  <c r="BM17" i="8" s="1"/>
  <c r="BH17" i="8"/>
  <c r="BI17" i="8" s="1"/>
  <c r="BJ17" i="8"/>
  <c r="BK17" i="8"/>
  <c r="BL17" i="8"/>
  <c r="AY18" i="8"/>
  <c r="BB18" i="8"/>
  <c r="BC18" i="8"/>
  <c r="BF18" i="8"/>
  <c r="AZ18" i="8" s="1"/>
  <c r="BH18" i="8"/>
  <c r="BI18" i="8" s="1"/>
  <c r="BJ18" i="8"/>
  <c r="BK18" i="8"/>
  <c r="BL18" i="8"/>
  <c r="AY19" i="8"/>
  <c r="BB19" i="8"/>
  <c r="BC19" i="8"/>
  <c r="BD19" i="8" s="1"/>
  <c r="BF19" i="8"/>
  <c r="BM19" i="8" s="1"/>
  <c r="BH19" i="8"/>
  <c r="BI19" i="8" s="1"/>
  <c r="BJ19" i="8"/>
  <c r="BK19" i="8"/>
  <c r="BL19" i="8"/>
  <c r="AY20" i="8"/>
  <c r="BB20" i="8"/>
  <c r="BC20" i="8"/>
  <c r="BD20" i="8" s="1"/>
  <c r="BF20" i="8"/>
  <c r="AZ20" i="8" s="1"/>
  <c r="BH20" i="8"/>
  <c r="BI20" i="8" s="1"/>
  <c r="BJ20" i="8"/>
  <c r="BK20" i="8"/>
  <c r="BL20" i="8"/>
  <c r="AY21" i="8"/>
  <c r="BB21" i="8"/>
  <c r="BC21" i="8"/>
  <c r="BD21" i="8" s="1"/>
  <c r="BF21" i="8"/>
  <c r="BH21" i="8"/>
  <c r="BI21" i="8" s="1"/>
  <c r="BJ21" i="8"/>
  <c r="BK21" i="8"/>
  <c r="BL21" i="8"/>
  <c r="AY22" i="8"/>
  <c r="BB22" i="8"/>
  <c r="BC22" i="8"/>
  <c r="BD22" i="8" s="1"/>
  <c r="BF22" i="8"/>
  <c r="BH22" i="8"/>
  <c r="BI22" i="8" s="1"/>
  <c r="BJ22" i="8"/>
  <c r="BK22" i="8"/>
  <c r="BL22" i="8"/>
  <c r="AY23" i="8"/>
  <c r="BB23" i="8"/>
  <c r="BC23" i="8"/>
  <c r="BD23" i="8" s="1"/>
  <c r="BF23" i="8"/>
  <c r="BH23" i="8"/>
  <c r="BI23" i="8" s="1"/>
  <c r="BJ23" i="8"/>
  <c r="BK23" i="8"/>
  <c r="BL23" i="8"/>
  <c r="AY24" i="8"/>
  <c r="BB24" i="8"/>
  <c r="BC24" i="8"/>
  <c r="BD24" i="8" s="1"/>
  <c r="BF24" i="8"/>
  <c r="AZ24" i="8" s="1"/>
  <c r="BH24" i="8"/>
  <c r="BI24" i="8" s="1"/>
  <c r="BJ24" i="8"/>
  <c r="BK24" i="8"/>
  <c r="BL24" i="8"/>
  <c r="AX25" i="8"/>
  <c r="AY25" i="8"/>
  <c r="BB25" i="8"/>
  <c r="BC25" i="8"/>
  <c r="BD25" i="8" s="1"/>
  <c r="BF25" i="8"/>
  <c r="BM25" i="8" s="1"/>
  <c r="BH25" i="8"/>
  <c r="BI25" i="8" s="1"/>
  <c r="BJ25" i="8"/>
  <c r="BK25" i="8"/>
  <c r="BL25" i="8"/>
  <c r="AY26" i="8"/>
  <c r="BB26" i="8"/>
  <c r="BC26" i="8"/>
  <c r="BD26" i="8" s="1"/>
  <c r="BF26" i="8"/>
  <c r="BH26" i="8"/>
  <c r="BI26" i="8" s="1"/>
  <c r="BJ26" i="8"/>
  <c r="BK26" i="8"/>
  <c r="BL26" i="8"/>
  <c r="BQ26" i="8" s="1"/>
  <c r="AY27" i="8"/>
  <c r="BB27" i="8"/>
  <c r="BC27" i="8"/>
  <c r="BF27" i="8"/>
  <c r="BM27" i="8" s="1"/>
  <c r="BH27" i="8"/>
  <c r="BI27" i="8" s="1"/>
  <c r="BJ27" i="8"/>
  <c r="BK27" i="8"/>
  <c r="BL27" i="8"/>
  <c r="AY28" i="8"/>
  <c r="BB28" i="8"/>
  <c r="BC28" i="8"/>
  <c r="BD28" i="8" s="1"/>
  <c r="BF28" i="8"/>
  <c r="BH28" i="8"/>
  <c r="BI28" i="8" s="1"/>
  <c r="BJ28" i="8"/>
  <c r="BK28" i="8"/>
  <c r="BL28" i="8"/>
  <c r="AY29" i="8"/>
  <c r="BB29" i="8"/>
  <c r="BC29" i="8"/>
  <c r="BF29" i="8"/>
  <c r="BM29" i="8" s="1"/>
  <c r="BH29" i="8"/>
  <c r="BI29" i="8"/>
  <c r="BJ29" i="8"/>
  <c r="BK29" i="8"/>
  <c r="BL29" i="8"/>
  <c r="AY30" i="8"/>
  <c r="BB30" i="8"/>
  <c r="BC30" i="8"/>
  <c r="BD30" i="8" s="1"/>
  <c r="BF30" i="8"/>
  <c r="BH30" i="8"/>
  <c r="BI30" i="8"/>
  <c r="BJ30" i="8"/>
  <c r="BK30" i="8"/>
  <c r="BL30" i="8"/>
  <c r="AY31" i="8"/>
  <c r="BB31" i="8"/>
  <c r="BC31" i="8"/>
  <c r="BF31" i="8"/>
  <c r="BM31" i="8" s="1"/>
  <c r="BH31" i="8"/>
  <c r="BI31" i="8" s="1"/>
  <c r="BJ31" i="8"/>
  <c r="BK31" i="8"/>
  <c r="BL31" i="8"/>
  <c r="AY32" i="8"/>
  <c r="BB32" i="8"/>
  <c r="BC32" i="8"/>
  <c r="BD32" i="8" s="1"/>
  <c r="BF32" i="8"/>
  <c r="BH32" i="8"/>
  <c r="BI32" i="8"/>
  <c r="BJ32" i="8"/>
  <c r="BK32" i="8"/>
  <c r="BL32" i="8"/>
  <c r="AY33" i="8"/>
  <c r="BB33" i="8"/>
  <c r="BC33" i="8"/>
  <c r="BF33" i="8"/>
  <c r="BM33" i="8" s="1"/>
  <c r="BH33" i="8"/>
  <c r="BI33" i="8" s="1"/>
  <c r="BJ33" i="8"/>
  <c r="BK33" i="8"/>
  <c r="BL33" i="8"/>
  <c r="AY34" i="8"/>
  <c r="BB34" i="8"/>
  <c r="BC34" i="8"/>
  <c r="BD34" i="8" s="1"/>
  <c r="BF34" i="8"/>
  <c r="BH34" i="8"/>
  <c r="BI34" i="8" s="1"/>
  <c r="BJ34" i="8"/>
  <c r="BK34" i="8"/>
  <c r="BL34" i="8"/>
  <c r="BQ34" i="8" s="1"/>
  <c r="AY35" i="8"/>
  <c r="BB35" i="8"/>
  <c r="BC35" i="8"/>
  <c r="BF35" i="8"/>
  <c r="BM35" i="8" s="1"/>
  <c r="BH35" i="8"/>
  <c r="BI35" i="8" s="1"/>
  <c r="BJ35" i="8"/>
  <c r="BK35" i="8"/>
  <c r="BL35" i="8"/>
  <c r="AY36" i="8"/>
  <c r="BB36" i="8"/>
  <c r="BC36" i="8"/>
  <c r="BD36" i="8" s="1"/>
  <c r="BF36" i="8"/>
  <c r="BH36" i="8"/>
  <c r="BI36" i="8" s="1"/>
  <c r="BJ36" i="8"/>
  <c r="BK36" i="8"/>
  <c r="BL36" i="8"/>
  <c r="AY37" i="8"/>
  <c r="BB37" i="8"/>
  <c r="BC37" i="8"/>
  <c r="BF37" i="8"/>
  <c r="BM37" i="8" s="1"/>
  <c r="BH37" i="8"/>
  <c r="BI37" i="8" s="1"/>
  <c r="BJ37" i="8"/>
  <c r="BK37" i="8"/>
  <c r="BL37" i="8"/>
  <c r="BQ37" i="8" s="1"/>
  <c r="AY38" i="8"/>
  <c r="BB38" i="8"/>
  <c r="BC38" i="8"/>
  <c r="BD38" i="8" s="1"/>
  <c r="BF38" i="8"/>
  <c r="BH38" i="8"/>
  <c r="BI38" i="8" s="1"/>
  <c r="BJ38" i="8"/>
  <c r="BK38" i="8"/>
  <c r="BL38" i="8"/>
  <c r="AY39" i="8"/>
  <c r="BB39" i="8"/>
  <c r="BC39" i="8"/>
  <c r="BF39" i="8"/>
  <c r="BM39" i="8" s="1"/>
  <c r="BH39" i="8"/>
  <c r="BI39" i="8" s="1"/>
  <c r="BJ39" i="8"/>
  <c r="BK39" i="8"/>
  <c r="BL39" i="8"/>
  <c r="AY40" i="8"/>
  <c r="BB40" i="8"/>
  <c r="BC40" i="8"/>
  <c r="BG40" i="8" s="1"/>
  <c r="BA40" i="8" s="1"/>
  <c r="BF40" i="8"/>
  <c r="AZ40" i="8" s="1"/>
  <c r="BH40" i="8"/>
  <c r="BI40" i="8" s="1"/>
  <c r="BJ40" i="8"/>
  <c r="BK40" i="8"/>
  <c r="BL40" i="8"/>
  <c r="BQ40" i="8" s="1"/>
  <c r="AY41" i="8"/>
  <c r="BB41" i="8"/>
  <c r="BC41" i="8"/>
  <c r="BF41" i="8"/>
  <c r="BM41" i="8" s="1"/>
  <c r="BH41" i="8"/>
  <c r="BI41" i="8"/>
  <c r="BJ41" i="8"/>
  <c r="BK41" i="8"/>
  <c r="BL41" i="8"/>
  <c r="AY42" i="8"/>
  <c r="BB42" i="8"/>
  <c r="BC42" i="8"/>
  <c r="BG42" i="8" s="1"/>
  <c r="BA42" i="8" s="1"/>
  <c r="BF42" i="8"/>
  <c r="BH42" i="8"/>
  <c r="BI42" i="8"/>
  <c r="BJ42" i="8"/>
  <c r="BK42" i="8"/>
  <c r="BL42" i="8"/>
  <c r="AY43" i="8"/>
  <c r="BB43" i="8"/>
  <c r="BC43" i="8"/>
  <c r="BF43" i="8"/>
  <c r="BH43" i="8"/>
  <c r="BI43" i="8"/>
  <c r="BJ43" i="8"/>
  <c r="BK43" i="8"/>
  <c r="BL43" i="8"/>
  <c r="AY44" i="8"/>
  <c r="BB44" i="8"/>
  <c r="BC44" i="8"/>
  <c r="BG44" i="8" s="1"/>
  <c r="BA44" i="8" s="1"/>
  <c r="BF44" i="8"/>
  <c r="AZ44" i="8" s="1"/>
  <c r="BH44" i="8"/>
  <c r="BI44" i="8" s="1"/>
  <c r="BJ44" i="8"/>
  <c r="BK44" i="8"/>
  <c r="BL44" i="8"/>
  <c r="AY45" i="8"/>
  <c r="BB45" i="8"/>
  <c r="BC45" i="8"/>
  <c r="BF45" i="8"/>
  <c r="BH45" i="8"/>
  <c r="BI45" i="8" s="1"/>
  <c r="BJ45" i="8"/>
  <c r="BK45" i="8"/>
  <c r="BL45" i="8"/>
  <c r="AY46" i="8"/>
  <c r="BB46" i="8"/>
  <c r="BC46" i="8"/>
  <c r="BG46" i="8" s="1"/>
  <c r="BA46" i="8" s="1"/>
  <c r="BF46" i="8"/>
  <c r="BH46" i="8"/>
  <c r="BI46" i="8" s="1"/>
  <c r="BJ46" i="8"/>
  <c r="BK46" i="8"/>
  <c r="BL46" i="8"/>
  <c r="AY47" i="8"/>
  <c r="BB47" i="8"/>
  <c r="BC47" i="8"/>
  <c r="BF47" i="8"/>
  <c r="BH47" i="8"/>
  <c r="BI47" i="8" s="1"/>
  <c r="BJ47" i="8"/>
  <c r="BK47" i="8"/>
  <c r="BL47" i="8"/>
  <c r="AY48" i="8"/>
  <c r="BB48" i="8"/>
  <c r="BC48" i="8"/>
  <c r="BG48" i="8" s="1"/>
  <c r="BA48" i="8" s="1"/>
  <c r="BF48" i="8"/>
  <c r="AZ48" i="8" s="1"/>
  <c r="BH48" i="8"/>
  <c r="BI48" i="8" s="1"/>
  <c r="BJ48" i="8"/>
  <c r="BK48" i="8"/>
  <c r="BL48" i="8"/>
  <c r="AY49" i="8"/>
  <c r="BB49" i="8"/>
  <c r="BC49" i="8"/>
  <c r="BF49" i="8"/>
  <c r="BM49" i="8" s="1"/>
  <c r="BH49" i="8"/>
  <c r="BI49" i="8" s="1"/>
  <c r="BJ49" i="8"/>
  <c r="BK49" i="8"/>
  <c r="BL49" i="8"/>
  <c r="BQ49" i="8" s="1"/>
  <c r="AY50" i="8"/>
  <c r="BB50" i="8"/>
  <c r="BC50" i="8"/>
  <c r="BG50" i="8" s="1"/>
  <c r="BA50" i="8" s="1"/>
  <c r="BF50" i="8"/>
  <c r="AZ50" i="8" s="1"/>
  <c r="BH50" i="8"/>
  <c r="BI50" i="8"/>
  <c r="BJ50" i="8"/>
  <c r="BK50" i="8"/>
  <c r="BL50" i="8"/>
  <c r="BQ50" i="8" s="1"/>
  <c r="AY51" i="8"/>
  <c r="BB51" i="8"/>
  <c r="BC51" i="8"/>
  <c r="BE51" i="8" s="1"/>
  <c r="BF51" i="8"/>
  <c r="BM51" i="8" s="1"/>
  <c r="BH51" i="8"/>
  <c r="BI51" i="8" s="1"/>
  <c r="BJ51" i="8"/>
  <c r="BK51" i="8"/>
  <c r="BL51" i="8"/>
  <c r="AY52" i="8"/>
  <c r="BB52" i="8"/>
  <c r="BC52" i="8"/>
  <c r="BF52" i="8"/>
  <c r="BH52" i="8"/>
  <c r="BI52" i="8" s="1"/>
  <c r="BJ52" i="8"/>
  <c r="BK52" i="8"/>
  <c r="BL52" i="8"/>
  <c r="AY53" i="8"/>
  <c r="BB53" i="8"/>
  <c r="BC53" i="8"/>
  <c r="BG53" i="8" s="1"/>
  <c r="BA53" i="8" s="1"/>
  <c r="BF53" i="8"/>
  <c r="BH53" i="8"/>
  <c r="BI53" i="8" s="1"/>
  <c r="BJ53" i="8"/>
  <c r="BK53" i="8"/>
  <c r="BL53" i="8"/>
  <c r="AY54" i="8"/>
  <c r="BB54" i="8"/>
  <c r="BC54" i="8"/>
  <c r="BG54" i="8" s="1"/>
  <c r="BA54" i="8" s="1"/>
  <c r="BF54" i="8"/>
  <c r="BH54" i="8"/>
  <c r="BI54" i="8"/>
  <c r="BJ54" i="8"/>
  <c r="BK54" i="8"/>
  <c r="BL54" i="8"/>
  <c r="AY55" i="8"/>
  <c r="BB55" i="8"/>
  <c r="BC55" i="8"/>
  <c r="BE55" i="8" s="1"/>
  <c r="BF55" i="8"/>
  <c r="BH55" i="8"/>
  <c r="BI55" i="8" s="1"/>
  <c r="BJ55" i="8"/>
  <c r="BK55" i="8"/>
  <c r="BL55" i="8"/>
  <c r="AY56" i="8"/>
  <c r="BB56" i="8"/>
  <c r="BC56" i="8"/>
  <c r="BE56" i="8" s="1"/>
  <c r="BF56" i="8"/>
  <c r="BH56" i="8"/>
  <c r="BI56" i="8" s="1"/>
  <c r="BJ56" i="8"/>
  <c r="BK56" i="8"/>
  <c r="BL56" i="8"/>
  <c r="AY57" i="8"/>
  <c r="BB57" i="8"/>
  <c r="BC57" i="8"/>
  <c r="BD57" i="8" s="1"/>
  <c r="BF57" i="8"/>
  <c r="BH57" i="8"/>
  <c r="BI57" i="8" s="1"/>
  <c r="BJ57" i="8"/>
  <c r="BK57" i="8"/>
  <c r="BL57" i="8"/>
  <c r="AX58" i="8"/>
  <c r="AY58" i="8"/>
  <c r="BB58" i="8"/>
  <c r="BC58" i="8"/>
  <c r="BG58" i="8" s="1"/>
  <c r="BA58" i="8" s="1"/>
  <c r="BF58" i="8"/>
  <c r="AZ58" i="8" s="1"/>
  <c r="BH58" i="8"/>
  <c r="BI58" i="8" s="1"/>
  <c r="BJ58" i="8"/>
  <c r="BK58" i="8"/>
  <c r="BL58" i="8"/>
  <c r="AX59" i="8"/>
  <c r="AY59" i="8"/>
  <c r="AZ59" i="8"/>
  <c r="BB59" i="8"/>
  <c r="BC59" i="8"/>
  <c r="BF59" i="8"/>
  <c r="BH59" i="8"/>
  <c r="BI59" i="8" s="1"/>
  <c r="BJ59" i="8"/>
  <c r="BK59" i="8"/>
  <c r="BL59" i="8"/>
  <c r="AY60" i="8"/>
  <c r="BB60" i="8"/>
  <c r="BC60" i="8"/>
  <c r="BF60" i="8"/>
  <c r="AX60" i="8" s="1"/>
  <c r="BH60" i="8"/>
  <c r="BI60" i="8" s="1"/>
  <c r="BJ60" i="8"/>
  <c r="BK60" i="8"/>
  <c r="BL60" i="8"/>
  <c r="AY61" i="8"/>
  <c r="BB61" i="8"/>
  <c r="BC61" i="8"/>
  <c r="BE61" i="8" s="1"/>
  <c r="BF61" i="8"/>
  <c r="AZ61" i="8" s="1"/>
  <c r="BH61" i="8"/>
  <c r="BI61" i="8" s="1"/>
  <c r="BJ61" i="8"/>
  <c r="BK61" i="8"/>
  <c r="BL61" i="8"/>
  <c r="BQ61" i="8" s="1"/>
  <c r="AY62" i="8"/>
  <c r="BB62" i="8"/>
  <c r="BC62" i="8"/>
  <c r="BE62" i="8" s="1"/>
  <c r="BF62" i="8"/>
  <c r="BH62" i="8"/>
  <c r="BI62" i="8" s="1"/>
  <c r="BJ62" i="8"/>
  <c r="BK62" i="8"/>
  <c r="BL62" i="8"/>
  <c r="BQ62" i="8" s="1"/>
  <c r="AY63" i="8"/>
  <c r="BB63" i="8"/>
  <c r="BC63" i="8"/>
  <c r="BF63" i="8"/>
  <c r="AX63" i="8" s="1"/>
  <c r="BH63" i="8"/>
  <c r="BI63" i="8" s="1"/>
  <c r="BJ63" i="8"/>
  <c r="BK63" i="8"/>
  <c r="BL63" i="8"/>
  <c r="AY64" i="8"/>
  <c r="BB64" i="8"/>
  <c r="BC64" i="8"/>
  <c r="BG64" i="8" s="1"/>
  <c r="BA64" i="8" s="1"/>
  <c r="BF64" i="8"/>
  <c r="AX64" i="8" s="1"/>
  <c r="BH64" i="8"/>
  <c r="BI64" i="8" s="1"/>
  <c r="BJ64" i="8"/>
  <c r="BK64" i="8"/>
  <c r="BL64" i="8"/>
  <c r="BM64" i="8"/>
  <c r="AY65" i="8"/>
  <c r="BB65" i="8"/>
  <c r="BC65" i="8"/>
  <c r="BE65" i="8" s="1"/>
  <c r="BF65" i="8"/>
  <c r="BM65" i="8" s="1"/>
  <c r="BH65" i="8"/>
  <c r="BI65" i="8" s="1"/>
  <c r="BJ65" i="8"/>
  <c r="BK65" i="8"/>
  <c r="BL65" i="8"/>
  <c r="AY66" i="8"/>
  <c r="BB66" i="8"/>
  <c r="BC66" i="8"/>
  <c r="BF66" i="8"/>
  <c r="BM66" i="8" s="1"/>
  <c r="BH66" i="8"/>
  <c r="BI66" i="8" s="1"/>
  <c r="BJ66" i="8"/>
  <c r="BK66" i="8"/>
  <c r="BL66" i="8"/>
  <c r="AY67" i="8"/>
  <c r="BB67" i="8"/>
  <c r="BC67" i="8"/>
  <c r="BE67" i="8" s="1"/>
  <c r="BF67" i="8"/>
  <c r="BM67" i="8" s="1"/>
  <c r="BH67" i="8"/>
  <c r="BI67" i="8" s="1"/>
  <c r="BJ67" i="8"/>
  <c r="BK67" i="8"/>
  <c r="BL67" i="8"/>
  <c r="AX68" i="8"/>
  <c r="AY68" i="8"/>
  <c r="BB68" i="8"/>
  <c r="BC68" i="8"/>
  <c r="BG68" i="8" s="1"/>
  <c r="BA68" i="8" s="1"/>
  <c r="BF68" i="8"/>
  <c r="BH68" i="8"/>
  <c r="BI68" i="8" s="1"/>
  <c r="BJ68" i="8"/>
  <c r="BK68" i="8"/>
  <c r="BL68" i="8"/>
  <c r="BQ68" i="8" s="1"/>
  <c r="AY69" i="8"/>
  <c r="BB69" i="8"/>
  <c r="BC69" i="8"/>
  <c r="BF69" i="8"/>
  <c r="BM69" i="8" s="1"/>
  <c r="BH69" i="8"/>
  <c r="BI69" i="8" s="1"/>
  <c r="BJ69" i="8"/>
  <c r="BK69" i="8"/>
  <c r="BL69" i="8"/>
  <c r="AY70" i="8"/>
  <c r="BB70" i="8"/>
  <c r="BC70" i="8"/>
  <c r="BG70" i="8" s="1"/>
  <c r="BA70" i="8" s="1"/>
  <c r="BF70" i="8"/>
  <c r="AZ70" i="8" s="1"/>
  <c r="BH70" i="8"/>
  <c r="BI70" i="8" s="1"/>
  <c r="BJ70" i="8"/>
  <c r="BK70" i="8"/>
  <c r="BL70" i="8"/>
  <c r="AY71" i="8"/>
  <c r="BB71" i="8"/>
  <c r="BC71" i="8"/>
  <c r="BE71" i="8" s="1"/>
  <c r="BF71" i="8"/>
  <c r="BH71" i="8"/>
  <c r="BI71" i="8" s="1"/>
  <c r="BJ71" i="8"/>
  <c r="BK71" i="8"/>
  <c r="BL71" i="8"/>
  <c r="AY72" i="8"/>
  <c r="BB72" i="8"/>
  <c r="BC72" i="8"/>
  <c r="BF72" i="8"/>
  <c r="BM72" i="8" s="1"/>
  <c r="BH72" i="8"/>
  <c r="BI72" i="8" s="1"/>
  <c r="BJ72" i="8"/>
  <c r="BK72" i="8"/>
  <c r="BL72" i="8"/>
  <c r="AY73" i="8"/>
  <c r="BB73" i="8"/>
  <c r="BC73" i="8"/>
  <c r="BE73" i="8" s="1"/>
  <c r="BF73" i="8"/>
  <c r="BM73" i="8" s="1"/>
  <c r="BH73" i="8"/>
  <c r="BI73" i="8" s="1"/>
  <c r="BJ73" i="8"/>
  <c r="BK73" i="8"/>
  <c r="BL73" i="8"/>
  <c r="BQ73" i="8" s="1"/>
  <c r="AY74" i="8"/>
  <c r="BB74" i="8"/>
  <c r="BC74" i="8"/>
  <c r="BG74" i="8" s="1"/>
  <c r="BA74" i="8" s="1"/>
  <c r="BF74" i="8"/>
  <c r="AX74" i="8" s="1"/>
  <c r="BH74" i="8"/>
  <c r="BI74" i="8" s="1"/>
  <c r="BJ74" i="8"/>
  <c r="BK74" i="8"/>
  <c r="BL74" i="8"/>
  <c r="BQ74" i="8" s="1"/>
  <c r="AY75" i="8"/>
  <c r="AZ75" i="8"/>
  <c r="BB75" i="8"/>
  <c r="BC75" i="8"/>
  <c r="BF75" i="8"/>
  <c r="BM75" i="8" s="1"/>
  <c r="BH75" i="8"/>
  <c r="BI75" i="8" s="1"/>
  <c r="BJ75" i="8"/>
  <c r="BK75" i="8"/>
  <c r="BL75" i="8"/>
  <c r="AY76" i="8"/>
  <c r="BB76" i="8"/>
  <c r="BC76" i="8"/>
  <c r="BF76" i="8"/>
  <c r="BH76" i="8"/>
  <c r="BI76" i="8" s="1"/>
  <c r="BJ76" i="8"/>
  <c r="BK76" i="8"/>
  <c r="BL76" i="8"/>
  <c r="AY77" i="8"/>
  <c r="BB77" i="8"/>
  <c r="BC77" i="8"/>
  <c r="BF77" i="8"/>
  <c r="BM77" i="8" s="1"/>
  <c r="BH77" i="8"/>
  <c r="BI77" i="8" s="1"/>
  <c r="BJ77" i="8"/>
  <c r="BK77" i="8"/>
  <c r="BL77" i="8"/>
  <c r="AY78" i="8"/>
  <c r="BB78" i="8"/>
  <c r="BC78" i="8"/>
  <c r="BF78" i="8"/>
  <c r="BM78" i="8" s="1"/>
  <c r="BH78" i="8"/>
  <c r="BI78" i="8" s="1"/>
  <c r="BJ78" i="8"/>
  <c r="BK78" i="8"/>
  <c r="BL78" i="8"/>
  <c r="AY79" i="8"/>
  <c r="BB79" i="8"/>
  <c r="BC79" i="8"/>
  <c r="BF79" i="8"/>
  <c r="BM79" i="8" s="1"/>
  <c r="BH79" i="8"/>
  <c r="BI79" i="8" s="1"/>
  <c r="BJ79" i="8"/>
  <c r="BK79" i="8"/>
  <c r="BL79" i="8"/>
  <c r="AY80" i="8"/>
  <c r="BB80" i="8"/>
  <c r="BC80" i="8"/>
  <c r="BF80" i="8"/>
  <c r="AX80" i="8" s="1"/>
  <c r="BH80" i="8"/>
  <c r="BI80" i="8" s="1"/>
  <c r="BJ80" i="8"/>
  <c r="BK80" i="8"/>
  <c r="BL80" i="8"/>
  <c r="AY81" i="8"/>
  <c r="BB81" i="8"/>
  <c r="BC81" i="8"/>
  <c r="BF81" i="8"/>
  <c r="BM81" i="8" s="1"/>
  <c r="BH81" i="8"/>
  <c r="BI81" i="8" s="1"/>
  <c r="BJ81" i="8"/>
  <c r="BK81" i="8"/>
  <c r="BL81" i="8"/>
  <c r="AY82" i="8"/>
  <c r="BB82" i="8"/>
  <c r="BC82" i="8"/>
  <c r="BF82" i="8"/>
  <c r="BM82" i="8" s="1"/>
  <c r="BH82" i="8"/>
  <c r="BI82" i="8" s="1"/>
  <c r="BJ82" i="8"/>
  <c r="BK82" i="8"/>
  <c r="BL82" i="8"/>
  <c r="AY83" i="8"/>
  <c r="BB83" i="8"/>
  <c r="BC83" i="8"/>
  <c r="BF83" i="8"/>
  <c r="BH83" i="8"/>
  <c r="BI83" i="8" s="1"/>
  <c r="BJ83" i="8"/>
  <c r="BK83" i="8"/>
  <c r="BL83" i="8"/>
  <c r="AY84" i="8"/>
  <c r="BB84" i="8"/>
  <c r="BC84" i="8"/>
  <c r="BF84" i="8"/>
  <c r="AZ84" i="8" s="1"/>
  <c r="BH84" i="8"/>
  <c r="BI84" i="8" s="1"/>
  <c r="BJ84" i="8"/>
  <c r="BK84" i="8"/>
  <c r="BL84" i="8"/>
  <c r="AY85" i="8"/>
  <c r="BB85" i="8"/>
  <c r="BC85" i="8"/>
  <c r="BG85" i="8" s="1"/>
  <c r="BA85" i="8" s="1"/>
  <c r="BF85" i="8"/>
  <c r="BM85" i="8" s="1"/>
  <c r="BH85" i="8"/>
  <c r="BI85" i="8" s="1"/>
  <c r="BJ85" i="8"/>
  <c r="BK85" i="8"/>
  <c r="BL85" i="8"/>
  <c r="AY86" i="8"/>
  <c r="BB86" i="8"/>
  <c r="BC86" i="8"/>
  <c r="BG86" i="8" s="1"/>
  <c r="BA86" i="8" s="1"/>
  <c r="BF86" i="8"/>
  <c r="AX86" i="8" s="1"/>
  <c r="BH86" i="8"/>
  <c r="BI86" i="8" s="1"/>
  <c r="BJ86" i="8"/>
  <c r="BK86" i="8"/>
  <c r="BL86" i="8"/>
  <c r="AY87" i="8"/>
  <c r="BB87" i="8"/>
  <c r="BC87" i="8"/>
  <c r="BF87" i="8"/>
  <c r="BH87" i="8"/>
  <c r="BI87" i="8" s="1"/>
  <c r="BJ87" i="8"/>
  <c r="BK87" i="8"/>
  <c r="BL87" i="8"/>
  <c r="AY88" i="8"/>
  <c r="BB88" i="8"/>
  <c r="BC88" i="8"/>
  <c r="BG88" i="8" s="1"/>
  <c r="BA88" i="8" s="1"/>
  <c r="BF88" i="8"/>
  <c r="AZ88" i="8" s="1"/>
  <c r="BH88" i="8"/>
  <c r="BI88" i="8" s="1"/>
  <c r="BJ88" i="8"/>
  <c r="BK88" i="8"/>
  <c r="BL88" i="8"/>
  <c r="AY89" i="8"/>
  <c r="BB89" i="8"/>
  <c r="BC89" i="8"/>
  <c r="BF89" i="8"/>
  <c r="BM89" i="8" s="1"/>
  <c r="BH89" i="8"/>
  <c r="BI89" i="8" s="1"/>
  <c r="BJ89" i="8"/>
  <c r="BK89" i="8"/>
  <c r="BL89" i="8"/>
  <c r="AY90" i="8"/>
  <c r="BB90" i="8"/>
  <c r="BC90" i="8"/>
  <c r="BG90" i="8" s="1"/>
  <c r="BA90" i="8" s="1"/>
  <c r="BF90" i="8"/>
  <c r="AX90" i="8" s="1"/>
  <c r="BH90" i="8"/>
  <c r="BI90" i="8" s="1"/>
  <c r="BJ90" i="8"/>
  <c r="BK90" i="8"/>
  <c r="BL90" i="8"/>
  <c r="AY91" i="8"/>
  <c r="BB91" i="8"/>
  <c r="BC91" i="8"/>
  <c r="BE91" i="8" s="1"/>
  <c r="BF91" i="8"/>
  <c r="BM91" i="8" s="1"/>
  <c r="BH91" i="8"/>
  <c r="BI91" i="8" s="1"/>
  <c r="BJ91" i="8"/>
  <c r="BK91" i="8"/>
  <c r="BL91" i="8"/>
  <c r="AY92" i="8"/>
  <c r="BB92" i="8"/>
  <c r="BC92" i="8"/>
  <c r="BF92" i="8"/>
  <c r="AZ92" i="8" s="1"/>
  <c r="BH92" i="8"/>
  <c r="BI92" i="8" s="1"/>
  <c r="BJ92" i="8"/>
  <c r="BK92" i="8"/>
  <c r="BL92" i="8"/>
  <c r="AY93" i="8"/>
  <c r="BB93" i="8"/>
  <c r="BC93" i="8"/>
  <c r="BG93" i="8" s="1"/>
  <c r="BA93" i="8" s="1"/>
  <c r="BF93" i="8"/>
  <c r="BM93" i="8" s="1"/>
  <c r="BH93" i="8"/>
  <c r="BI93" i="8" s="1"/>
  <c r="BJ93" i="8"/>
  <c r="BK93" i="8"/>
  <c r="BL93" i="8"/>
  <c r="AY94" i="8"/>
  <c r="BB94" i="8"/>
  <c r="BC94" i="8"/>
  <c r="BG94" i="8" s="1"/>
  <c r="BA94" i="8" s="1"/>
  <c r="BF94" i="8"/>
  <c r="AX94" i="8" s="1"/>
  <c r="BH94" i="8"/>
  <c r="BI94" i="8" s="1"/>
  <c r="BJ94" i="8"/>
  <c r="BK94" i="8"/>
  <c r="BL94" i="8"/>
  <c r="AY95" i="8"/>
  <c r="BB95" i="8"/>
  <c r="BC95" i="8"/>
  <c r="BF95" i="8"/>
  <c r="BH95" i="8"/>
  <c r="BI95" i="8" s="1"/>
  <c r="BJ95" i="8"/>
  <c r="BK95" i="8"/>
  <c r="BL95" i="8"/>
  <c r="AY96" i="8"/>
  <c r="BB96" i="8"/>
  <c r="BC96" i="8"/>
  <c r="BG96" i="8" s="1"/>
  <c r="BA96" i="8" s="1"/>
  <c r="BF96" i="8"/>
  <c r="AZ96" i="8" s="1"/>
  <c r="BH96" i="8"/>
  <c r="BI96" i="8" s="1"/>
  <c r="BJ96" i="8"/>
  <c r="BK96" i="8"/>
  <c r="BL96" i="8"/>
  <c r="AY97" i="8"/>
  <c r="BB97" i="8"/>
  <c r="BC97" i="8"/>
  <c r="BG97" i="8" s="1"/>
  <c r="BA97" i="8" s="1"/>
  <c r="BF97" i="8"/>
  <c r="BM97" i="8" s="1"/>
  <c r="BH97" i="8"/>
  <c r="BI97" i="8" s="1"/>
  <c r="BJ97" i="8"/>
  <c r="BK97" i="8"/>
  <c r="BL97" i="8"/>
  <c r="AY98" i="8"/>
  <c r="AZ98" i="8"/>
  <c r="BB98" i="8"/>
  <c r="BC98" i="8"/>
  <c r="BG98" i="8" s="1"/>
  <c r="BA98" i="8" s="1"/>
  <c r="BF98" i="8"/>
  <c r="AX98" i="8" s="1"/>
  <c r="BH98" i="8"/>
  <c r="BI98" i="8" s="1"/>
  <c r="BJ98" i="8"/>
  <c r="BK98" i="8"/>
  <c r="BL98" i="8"/>
  <c r="BQ98" i="8" s="1"/>
  <c r="AY99" i="8"/>
  <c r="BB99" i="8"/>
  <c r="BC99" i="8"/>
  <c r="BG99" i="8" s="1"/>
  <c r="BA99" i="8" s="1"/>
  <c r="BF99" i="8"/>
  <c r="BH99" i="8"/>
  <c r="BI99" i="8" s="1"/>
  <c r="BJ99" i="8"/>
  <c r="BK99" i="8"/>
  <c r="BL99" i="8"/>
  <c r="AY100" i="8"/>
  <c r="BB100" i="8"/>
  <c r="BC100" i="8"/>
  <c r="BF100" i="8"/>
  <c r="BM100" i="8" s="1"/>
  <c r="BH100" i="8"/>
  <c r="BI100" i="8" s="1"/>
  <c r="BJ100" i="8"/>
  <c r="BK100" i="8"/>
  <c r="BL100" i="8"/>
  <c r="AY101" i="8"/>
  <c r="BB101" i="8"/>
  <c r="BC101" i="8"/>
  <c r="BG101" i="8" s="1"/>
  <c r="BA101" i="8" s="1"/>
  <c r="BF101" i="8"/>
  <c r="BM101" i="8" s="1"/>
  <c r="BH101" i="8"/>
  <c r="BI101" i="8" s="1"/>
  <c r="BJ101" i="8"/>
  <c r="BK101" i="8"/>
  <c r="BL101" i="8"/>
  <c r="AY102" i="8"/>
  <c r="BB102" i="8"/>
  <c r="BC102" i="8"/>
  <c r="BF102" i="8"/>
  <c r="AX102" i="8" s="1"/>
  <c r="BH102" i="8"/>
  <c r="BI102" i="8" s="1"/>
  <c r="BJ102" i="8"/>
  <c r="BK102" i="8"/>
  <c r="BL102" i="8"/>
  <c r="AY103" i="8"/>
  <c r="BB103" i="8"/>
  <c r="BC103" i="8"/>
  <c r="BD103" i="8" s="1"/>
  <c r="BF103" i="8"/>
  <c r="BH103" i="8"/>
  <c r="BI103" i="8" s="1"/>
  <c r="BJ103" i="8"/>
  <c r="BK103" i="8"/>
  <c r="BL103" i="8"/>
  <c r="AY104" i="8"/>
  <c r="BB104" i="8"/>
  <c r="BC104" i="8"/>
  <c r="BG104" i="8" s="1"/>
  <c r="BA104" i="8" s="1"/>
  <c r="BF104" i="8"/>
  <c r="BH104" i="8"/>
  <c r="BI104" i="8" s="1"/>
  <c r="BJ104" i="8"/>
  <c r="BK104" i="8"/>
  <c r="BL104" i="8"/>
  <c r="AY105" i="8"/>
  <c r="BB105" i="8"/>
  <c r="BC105" i="8"/>
  <c r="BG105" i="8" s="1"/>
  <c r="BA105" i="8" s="1"/>
  <c r="BF105" i="8"/>
  <c r="BM105" i="8" s="1"/>
  <c r="BH105" i="8"/>
  <c r="BI105" i="8" s="1"/>
  <c r="BJ105" i="8"/>
  <c r="BK105" i="8"/>
  <c r="BL105" i="8"/>
  <c r="AY106" i="8"/>
  <c r="AZ106" i="8"/>
  <c r="BB106" i="8"/>
  <c r="BC106" i="8"/>
  <c r="BG106" i="8" s="1"/>
  <c r="BA106" i="8" s="1"/>
  <c r="BF106" i="8"/>
  <c r="BM106" i="8" s="1"/>
  <c r="BH106" i="8"/>
  <c r="BI106" i="8" s="1"/>
  <c r="BJ106" i="8"/>
  <c r="BK106" i="8"/>
  <c r="BL106" i="8"/>
  <c r="AY107" i="8"/>
  <c r="BB107" i="8"/>
  <c r="BC107" i="8"/>
  <c r="BG107" i="8" s="1"/>
  <c r="BA107" i="8" s="1"/>
  <c r="BF107" i="8"/>
  <c r="BH107" i="8"/>
  <c r="BI107" i="8" s="1"/>
  <c r="BJ107" i="8"/>
  <c r="BK107" i="8"/>
  <c r="BL107" i="8"/>
  <c r="AY108" i="8"/>
  <c r="BB108" i="8"/>
  <c r="BC108" i="8"/>
  <c r="BF108" i="8"/>
  <c r="BM108" i="8" s="1"/>
  <c r="BH108" i="8"/>
  <c r="BI108" i="8" s="1"/>
  <c r="BJ108" i="8"/>
  <c r="BK108" i="8"/>
  <c r="BL108" i="8"/>
  <c r="AY109" i="8"/>
  <c r="BB109" i="8"/>
  <c r="BC109" i="8"/>
  <c r="BG109" i="8" s="1"/>
  <c r="BA109" i="8" s="1"/>
  <c r="BF109" i="8"/>
  <c r="BM109" i="8" s="1"/>
  <c r="BH109" i="8"/>
  <c r="BI109" i="8" s="1"/>
  <c r="BJ109" i="8"/>
  <c r="BK109" i="8"/>
  <c r="BL109" i="8"/>
  <c r="AY110" i="8"/>
  <c r="BB110" i="8"/>
  <c r="BC110" i="8"/>
  <c r="BF110" i="8"/>
  <c r="BH110" i="8"/>
  <c r="BI110" i="8" s="1"/>
  <c r="BJ110" i="8"/>
  <c r="BK110" i="8"/>
  <c r="BL110" i="8"/>
  <c r="AY111" i="8"/>
  <c r="BB111" i="8"/>
  <c r="BC111" i="8"/>
  <c r="BD111" i="8" s="1"/>
  <c r="BF111" i="8"/>
  <c r="AZ111" i="8" s="1"/>
  <c r="BH111" i="8"/>
  <c r="BI111" i="8" s="1"/>
  <c r="BJ111" i="8"/>
  <c r="BK111" i="8"/>
  <c r="BL111" i="8"/>
  <c r="AY112" i="8"/>
  <c r="BB112" i="8"/>
  <c r="BC112" i="8"/>
  <c r="BE112" i="8" s="1"/>
  <c r="BF112" i="8"/>
  <c r="BH112" i="8"/>
  <c r="BI112" i="8" s="1"/>
  <c r="BJ112" i="8"/>
  <c r="BK112" i="8"/>
  <c r="BL112" i="8"/>
  <c r="AY113" i="8"/>
  <c r="BB113" i="8"/>
  <c r="BC113" i="8"/>
  <c r="BG113" i="8" s="1"/>
  <c r="BA113" i="8" s="1"/>
  <c r="BF113" i="8"/>
  <c r="BM113" i="8" s="1"/>
  <c r="BH113" i="8"/>
  <c r="BI113" i="8" s="1"/>
  <c r="BJ113" i="8"/>
  <c r="BK113" i="8"/>
  <c r="BL113" i="8"/>
  <c r="AY114" i="8"/>
  <c r="BB114" i="8"/>
  <c r="BC114" i="8"/>
  <c r="BE114" i="8" s="1"/>
  <c r="BF114" i="8"/>
  <c r="AX114" i="8" s="1"/>
  <c r="BH114" i="8"/>
  <c r="BI114" i="8" s="1"/>
  <c r="BJ114" i="8"/>
  <c r="BK114" i="8"/>
  <c r="BL114" i="8"/>
  <c r="AY115" i="8"/>
  <c r="BB115" i="8"/>
  <c r="BC115" i="8"/>
  <c r="BG115" i="8" s="1"/>
  <c r="BA115" i="8" s="1"/>
  <c r="BF115" i="8"/>
  <c r="AX115" i="8" s="1"/>
  <c r="BH115" i="8"/>
  <c r="BI115" i="8" s="1"/>
  <c r="BJ115" i="8"/>
  <c r="BK115" i="8"/>
  <c r="BL115" i="8"/>
  <c r="AY116" i="8"/>
  <c r="BB116" i="8"/>
  <c r="BC116" i="8"/>
  <c r="BE116" i="8" s="1"/>
  <c r="BF116" i="8"/>
  <c r="AZ116" i="8" s="1"/>
  <c r="BH116" i="8"/>
  <c r="BI116" i="8" s="1"/>
  <c r="BJ116" i="8"/>
  <c r="BK116" i="8"/>
  <c r="BL116" i="8"/>
  <c r="AY117" i="8"/>
  <c r="BB117" i="8"/>
  <c r="BC117" i="8"/>
  <c r="BG117" i="8" s="1"/>
  <c r="BA117" i="8" s="1"/>
  <c r="BF117" i="8"/>
  <c r="AX117" i="8" s="1"/>
  <c r="BH117" i="8"/>
  <c r="BI117" i="8" s="1"/>
  <c r="BJ117" i="8"/>
  <c r="BK117" i="8"/>
  <c r="BL117" i="8"/>
  <c r="AY118" i="8"/>
  <c r="AZ118" i="8"/>
  <c r="BB118" i="8"/>
  <c r="BC118" i="8"/>
  <c r="BE118" i="8" s="1"/>
  <c r="BF118" i="8"/>
  <c r="BH118" i="8"/>
  <c r="BI118" i="8" s="1"/>
  <c r="BJ118" i="8"/>
  <c r="BK118" i="8"/>
  <c r="BL118" i="8"/>
  <c r="BQ118" i="8" s="1"/>
  <c r="AY119" i="8"/>
  <c r="BB119" i="8"/>
  <c r="BC119" i="8"/>
  <c r="BF119" i="8"/>
  <c r="BH119" i="8"/>
  <c r="BI119" i="8" s="1"/>
  <c r="BJ119" i="8"/>
  <c r="BK119" i="8"/>
  <c r="BL119" i="8"/>
  <c r="AY120" i="8"/>
  <c r="BB120" i="8"/>
  <c r="BC120" i="8"/>
  <c r="BD120" i="8" s="1"/>
  <c r="BF120" i="8"/>
  <c r="AX120" i="8" s="1"/>
  <c r="BH120" i="8"/>
  <c r="BI120" i="8" s="1"/>
  <c r="BJ120" i="8"/>
  <c r="BK120" i="8"/>
  <c r="BL120" i="8"/>
  <c r="AY121" i="8"/>
  <c r="BB121" i="8"/>
  <c r="BC121" i="8"/>
  <c r="BG121" i="8" s="1"/>
  <c r="BA121" i="8" s="1"/>
  <c r="BF121" i="8"/>
  <c r="AX121" i="8" s="1"/>
  <c r="BH121" i="8"/>
  <c r="BI121" i="8" s="1"/>
  <c r="BJ121" i="8"/>
  <c r="BK121" i="8"/>
  <c r="BL121" i="8"/>
  <c r="BQ121" i="8" s="1"/>
  <c r="AY122" i="8"/>
  <c r="BB122" i="8"/>
  <c r="BC122" i="8"/>
  <c r="BE122" i="8" s="1"/>
  <c r="BD122" i="8"/>
  <c r="BF122" i="8"/>
  <c r="BM122" i="8" s="1"/>
  <c r="BG122" i="8"/>
  <c r="BA122" i="8" s="1"/>
  <c r="BH122" i="8"/>
  <c r="BI122" i="8" s="1"/>
  <c r="BJ122" i="8"/>
  <c r="BK122" i="8"/>
  <c r="BL122" i="8"/>
  <c r="AY123" i="8"/>
  <c r="BB123" i="8"/>
  <c r="BC123" i="8"/>
  <c r="BF123" i="8"/>
  <c r="AX123" i="8" s="1"/>
  <c r="BH123" i="8"/>
  <c r="BI123" i="8" s="1"/>
  <c r="BJ123" i="8"/>
  <c r="BK123" i="8"/>
  <c r="BL123" i="8"/>
  <c r="AY124" i="8"/>
  <c r="BB124" i="8"/>
  <c r="BC124" i="8"/>
  <c r="BF124" i="8"/>
  <c r="BM124" i="8" s="1"/>
  <c r="BH124" i="8"/>
  <c r="BI124" i="8" s="1"/>
  <c r="BJ124" i="8"/>
  <c r="BK124" i="8"/>
  <c r="BL124" i="8"/>
  <c r="BQ124" i="8" s="1"/>
  <c r="AY125" i="8"/>
  <c r="BB125" i="8"/>
  <c r="BC125" i="8"/>
  <c r="BG125" i="8" s="1"/>
  <c r="BA125" i="8" s="1"/>
  <c r="BF125" i="8"/>
  <c r="AZ125" i="8" s="1"/>
  <c r="BH125" i="8"/>
  <c r="BI125" i="8" s="1"/>
  <c r="BJ125" i="8"/>
  <c r="BK125" i="8"/>
  <c r="BL125" i="8"/>
  <c r="AY126" i="8"/>
  <c r="BB126" i="8"/>
  <c r="BC126" i="8"/>
  <c r="BE126" i="8" s="1"/>
  <c r="BF126" i="8"/>
  <c r="BM126" i="8" s="1"/>
  <c r="BH126" i="8"/>
  <c r="BI126" i="8" s="1"/>
  <c r="BJ126" i="8"/>
  <c r="BK126" i="8"/>
  <c r="BL126" i="8"/>
  <c r="AY127" i="8"/>
  <c r="BB127" i="8"/>
  <c r="BC127" i="8"/>
  <c r="BG127" i="8" s="1"/>
  <c r="BA127" i="8" s="1"/>
  <c r="BF127" i="8"/>
  <c r="AX127" i="8" s="1"/>
  <c r="BH127" i="8"/>
  <c r="BI127" i="8" s="1"/>
  <c r="BJ127" i="8"/>
  <c r="BK127" i="8"/>
  <c r="BL127" i="8"/>
  <c r="AY128" i="8"/>
  <c r="BB128" i="8"/>
  <c r="BC128" i="8"/>
  <c r="BE128" i="8" s="1"/>
  <c r="BF128" i="8"/>
  <c r="BM128" i="8" s="1"/>
  <c r="BH128" i="8"/>
  <c r="BI128" i="8" s="1"/>
  <c r="BJ128" i="8"/>
  <c r="BK128" i="8"/>
  <c r="BL128" i="8"/>
  <c r="BQ128" i="8" s="1"/>
  <c r="AY129" i="8"/>
  <c r="BB129" i="8"/>
  <c r="BC129" i="8"/>
  <c r="BD129" i="8" s="1"/>
  <c r="BF129" i="8"/>
  <c r="AX129" i="8" s="1"/>
  <c r="BH129" i="8"/>
  <c r="BI129" i="8" s="1"/>
  <c r="BJ129" i="8"/>
  <c r="BK129" i="8"/>
  <c r="BL129" i="8"/>
  <c r="AY130" i="8"/>
  <c r="BB130" i="8"/>
  <c r="BC130" i="8"/>
  <c r="BD130" i="8" s="1"/>
  <c r="BE130" i="8"/>
  <c r="AV130" i="8" s="1"/>
  <c r="BF130" i="8"/>
  <c r="BM130" i="8" s="1"/>
  <c r="BG130" i="8"/>
  <c r="BA130" i="8" s="1"/>
  <c r="BH130" i="8"/>
  <c r="BI130" i="8" s="1"/>
  <c r="BJ130" i="8"/>
  <c r="BK130" i="8"/>
  <c r="BL130" i="8"/>
  <c r="AY131" i="8"/>
  <c r="BB131" i="8"/>
  <c r="BC131" i="8"/>
  <c r="BD131" i="8" s="1"/>
  <c r="BF131" i="8"/>
  <c r="BH131" i="8"/>
  <c r="BI131" i="8" s="1"/>
  <c r="BJ131" i="8"/>
  <c r="BK131" i="8"/>
  <c r="BL131" i="8"/>
  <c r="AY132" i="8"/>
  <c r="BB132" i="8"/>
  <c r="BC132" i="8"/>
  <c r="BD132" i="8" s="1"/>
  <c r="BF132" i="8"/>
  <c r="BM132" i="8" s="1"/>
  <c r="BH132" i="8"/>
  <c r="BI132" i="8" s="1"/>
  <c r="BJ132" i="8"/>
  <c r="BK132" i="8"/>
  <c r="BL132" i="8"/>
  <c r="AY133" i="8"/>
  <c r="BB133" i="8"/>
  <c r="BC133" i="8"/>
  <c r="BF133" i="8"/>
  <c r="AX133" i="8" s="1"/>
  <c r="BH133" i="8"/>
  <c r="BI133" i="8" s="1"/>
  <c r="BJ133" i="8"/>
  <c r="BK133" i="8"/>
  <c r="BL133" i="8"/>
  <c r="AY134" i="8"/>
  <c r="BB134" i="8"/>
  <c r="BC134" i="8"/>
  <c r="BE134" i="8" s="1"/>
  <c r="BF134" i="8"/>
  <c r="BM134" i="8" s="1"/>
  <c r="BH134" i="8"/>
  <c r="BI134" i="8" s="1"/>
  <c r="BJ134" i="8"/>
  <c r="BK134" i="8"/>
  <c r="BL134" i="8"/>
  <c r="BQ134" i="8" s="1"/>
  <c r="AY135" i="8"/>
  <c r="BB135" i="8"/>
  <c r="BC135" i="8"/>
  <c r="BD135" i="8" s="1"/>
  <c r="BF135" i="8"/>
  <c r="AX135" i="8" s="1"/>
  <c r="BH135" i="8"/>
  <c r="BI135" i="8" s="1"/>
  <c r="BJ135" i="8"/>
  <c r="BK135" i="8"/>
  <c r="BL135" i="8"/>
  <c r="BM135" i="8"/>
  <c r="AY136" i="8"/>
  <c r="BB136" i="8"/>
  <c r="BC136" i="8"/>
  <c r="BD136" i="8" s="1"/>
  <c r="BF136" i="8"/>
  <c r="BH136" i="8"/>
  <c r="BI136" i="8" s="1"/>
  <c r="BJ136" i="8"/>
  <c r="BK136" i="8"/>
  <c r="BL136" i="8"/>
  <c r="AY137" i="8"/>
  <c r="BB137" i="8"/>
  <c r="BC137" i="8"/>
  <c r="BF137" i="8"/>
  <c r="AZ137" i="8" s="1"/>
  <c r="BH137" i="8"/>
  <c r="BI137" i="8" s="1"/>
  <c r="BJ137" i="8"/>
  <c r="BK137" i="8"/>
  <c r="BL137" i="8"/>
  <c r="AY138" i="8"/>
  <c r="BB138" i="8"/>
  <c r="BC138" i="8"/>
  <c r="BF138" i="8"/>
  <c r="BH138" i="8"/>
  <c r="BI138" i="8" s="1"/>
  <c r="BJ138" i="8"/>
  <c r="BK138" i="8"/>
  <c r="BL138" i="8"/>
  <c r="AY139" i="8"/>
  <c r="BB139" i="8"/>
  <c r="BC139" i="8"/>
  <c r="BE139" i="8" s="1"/>
  <c r="BF139" i="8"/>
  <c r="BH139" i="8"/>
  <c r="BI139" i="8" s="1"/>
  <c r="BJ139" i="8"/>
  <c r="BK139" i="8"/>
  <c r="BL139" i="8"/>
  <c r="AY140" i="8"/>
  <c r="BB140" i="8"/>
  <c r="BC140" i="8"/>
  <c r="BF140" i="8"/>
  <c r="BH140" i="8"/>
  <c r="BI140" i="8" s="1"/>
  <c r="BJ140" i="8"/>
  <c r="BK140" i="8"/>
  <c r="BL140" i="8"/>
  <c r="AY141" i="8"/>
  <c r="BB141" i="8"/>
  <c r="BC141" i="8"/>
  <c r="BF141" i="8"/>
  <c r="BH141" i="8"/>
  <c r="BI141" i="8" s="1"/>
  <c r="BJ141" i="8"/>
  <c r="BK141" i="8"/>
  <c r="BL141" i="8"/>
  <c r="AY142" i="8"/>
  <c r="BB142" i="8"/>
  <c r="BC142" i="8"/>
  <c r="BG142" i="8" s="1"/>
  <c r="BA142" i="8" s="1"/>
  <c r="BF142" i="8"/>
  <c r="BM142" i="8" s="1"/>
  <c r="BH142" i="8"/>
  <c r="BI142" i="8" s="1"/>
  <c r="BJ142" i="8"/>
  <c r="BK142" i="8"/>
  <c r="BL142" i="8"/>
  <c r="AY143" i="8"/>
  <c r="BB143" i="8"/>
  <c r="BC143" i="8"/>
  <c r="BD143" i="8" s="1"/>
  <c r="BF143" i="8"/>
  <c r="AX143" i="8" s="1"/>
  <c r="BH143" i="8"/>
  <c r="BI143" i="8" s="1"/>
  <c r="BJ143" i="8"/>
  <c r="BK143" i="8"/>
  <c r="BL143" i="8"/>
  <c r="AY144" i="8"/>
  <c r="BB144" i="8"/>
  <c r="BC144" i="8"/>
  <c r="BD144" i="8" s="1"/>
  <c r="BF144" i="8"/>
  <c r="BH144" i="8"/>
  <c r="BI144" i="8" s="1"/>
  <c r="BJ144" i="8"/>
  <c r="BK144" i="8"/>
  <c r="BL144" i="8"/>
  <c r="AY145" i="8"/>
  <c r="BB145" i="8"/>
  <c r="BC145" i="8"/>
  <c r="BF145" i="8"/>
  <c r="AX145" i="8" s="1"/>
  <c r="BH145" i="8"/>
  <c r="BI145" i="8" s="1"/>
  <c r="BJ145" i="8"/>
  <c r="BK145" i="8"/>
  <c r="BL145" i="8"/>
  <c r="AY146" i="8"/>
  <c r="BB146" i="8"/>
  <c r="BC146" i="8"/>
  <c r="BG146" i="8" s="1"/>
  <c r="BA146" i="8" s="1"/>
  <c r="BF146" i="8"/>
  <c r="AX146" i="8" s="1"/>
  <c r="BH146" i="8"/>
  <c r="BI146" i="8" s="1"/>
  <c r="BJ146" i="8"/>
  <c r="BK146" i="8"/>
  <c r="BL146" i="8"/>
  <c r="AY147" i="8"/>
  <c r="BB147" i="8"/>
  <c r="BC147" i="8"/>
  <c r="BG147" i="8" s="1"/>
  <c r="BA147" i="8" s="1"/>
  <c r="BF147" i="8"/>
  <c r="BH147" i="8"/>
  <c r="BI147" i="8" s="1"/>
  <c r="BJ147" i="8"/>
  <c r="BK147" i="8"/>
  <c r="BL147" i="8"/>
  <c r="AY148" i="8"/>
  <c r="BB148" i="8"/>
  <c r="BC148" i="8"/>
  <c r="BG148" i="8" s="1"/>
  <c r="BA148" i="8" s="1"/>
  <c r="BF148" i="8"/>
  <c r="AX148" i="8" s="1"/>
  <c r="BH148" i="8"/>
  <c r="BI148" i="8" s="1"/>
  <c r="BJ148" i="8"/>
  <c r="BK148" i="8"/>
  <c r="BL148" i="8"/>
  <c r="AY149" i="8"/>
  <c r="BB149" i="8"/>
  <c r="BC149" i="8"/>
  <c r="BG149" i="8" s="1"/>
  <c r="BA149" i="8" s="1"/>
  <c r="BF149" i="8"/>
  <c r="AX149" i="8" s="1"/>
  <c r="BH149" i="8"/>
  <c r="BI149" i="8" s="1"/>
  <c r="BJ149" i="8"/>
  <c r="BK149" i="8"/>
  <c r="BL149" i="8"/>
  <c r="AY150" i="8"/>
  <c r="BB150" i="8"/>
  <c r="BC150" i="8"/>
  <c r="BG150" i="8" s="1"/>
  <c r="BA150" i="8" s="1"/>
  <c r="BF150" i="8"/>
  <c r="BH150" i="8"/>
  <c r="BI150" i="8" s="1"/>
  <c r="BJ150" i="8"/>
  <c r="BK150" i="8"/>
  <c r="BL150" i="8"/>
  <c r="AY151" i="8"/>
  <c r="BB151" i="8"/>
  <c r="BC151" i="8"/>
  <c r="BF151" i="8"/>
  <c r="BH151" i="8"/>
  <c r="BI151" i="8" s="1"/>
  <c r="BJ151" i="8"/>
  <c r="BK151" i="8"/>
  <c r="BL151" i="8"/>
  <c r="AY152" i="8"/>
  <c r="BB152" i="8"/>
  <c r="BC152" i="8"/>
  <c r="BG152" i="8" s="1"/>
  <c r="BA152" i="8" s="1"/>
  <c r="BF152" i="8"/>
  <c r="AZ152" i="8" s="1"/>
  <c r="BH152" i="8"/>
  <c r="BI152" i="8" s="1"/>
  <c r="BJ152" i="8"/>
  <c r="BK152" i="8"/>
  <c r="BL152" i="8"/>
  <c r="AY153" i="8"/>
  <c r="BB153" i="8"/>
  <c r="BC153" i="8"/>
  <c r="BE153" i="8" s="1"/>
  <c r="BF153" i="8"/>
  <c r="AX153" i="8" s="1"/>
  <c r="BH153" i="8"/>
  <c r="BI153" i="8" s="1"/>
  <c r="BJ153" i="8"/>
  <c r="BK153" i="8"/>
  <c r="BL153" i="8"/>
  <c r="BM153" i="8"/>
  <c r="AX154" i="8"/>
  <c r="AY154" i="8"/>
  <c r="BB154" i="8"/>
  <c r="BC154" i="8"/>
  <c r="BG154" i="8" s="1"/>
  <c r="BA154" i="8" s="1"/>
  <c r="BF154" i="8"/>
  <c r="BM154" i="8" s="1"/>
  <c r="BH154" i="8"/>
  <c r="BI154" i="8" s="1"/>
  <c r="BJ154" i="8"/>
  <c r="BK154" i="8"/>
  <c r="BL154" i="8"/>
  <c r="AY155" i="8"/>
  <c r="BB155" i="8"/>
  <c r="BC155" i="8"/>
  <c r="BE155" i="8" s="1"/>
  <c r="BF155" i="8"/>
  <c r="AX155" i="8" s="1"/>
  <c r="BH155" i="8"/>
  <c r="BI155" i="8" s="1"/>
  <c r="BJ155" i="8"/>
  <c r="BK155" i="8"/>
  <c r="BL155" i="8"/>
  <c r="AY156" i="8"/>
  <c r="BB156" i="8"/>
  <c r="BC156" i="8"/>
  <c r="BF156" i="8"/>
  <c r="BM156" i="8" s="1"/>
  <c r="BH156" i="8"/>
  <c r="BI156" i="8" s="1"/>
  <c r="BJ156" i="8"/>
  <c r="BK156" i="8"/>
  <c r="BL156" i="8"/>
  <c r="AY157" i="8"/>
  <c r="BA157" i="8"/>
  <c r="BB157" i="8"/>
  <c r="BC157" i="8"/>
  <c r="BG157" i="8" s="1"/>
  <c r="BE157" i="8"/>
  <c r="BF157" i="8"/>
  <c r="BH157" i="8"/>
  <c r="BI157" i="8" s="1"/>
  <c r="BJ157" i="8"/>
  <c r="BK157" i="8"/>
  <c r="BL157" i="8"/>
  <c r="BQ157" i="8" s="1"/>
  <c r="AY158" i="8"/>
  <c r="BB158" i="8"/>
  <c r="BC158" i="8"/>
  <c r="BG158" i="8" s="1"/>
  <c r="BA158" i="8" s="1"/>
  <c r="BF158" i="8"/>
  <c r="AX158" i="8" s="1"/>
  <c r="BH158" i="8"/>
  <c r="BI158" i="8" s="1"/>
  <c r="BJ158" i="8"/>
  <c r="BK158" i="8"/>
  <c r="BL158" i="8"/>
  <c r="BQ158" i="8" s="1"/>
  <c r="AY159" i="8"/>
  <c r="BB159" i="8"/>
  <c r="BC159" i="8"/>
  <c r="BF159" i="8"/>
  <c r="AX159" i="8" s="1"/>
  <c r="BH159" i="8"/>
  <c r="BI159" i="8" s="1"/>
  <c r="BJ159" i="8"/>
  <c r="BK159" i="8"/>
  <c r="BL159" i="8"/>
  <c r="AY160" i="8"/>
  <c r="BB160" i="8"/>
  <c r="BC160" i="8"/>
  <c r="BF160" i="8"/>
  <c r="AZ160" i="8" s="1"/>
  <c r="BH160" i="8"/>
  <c r="BI160" i="8" s="1"/>
  <c r="BJ160" i="8"/>
  <c r="BK160" i="8"/>
  <c r="BL160" i="8"/>
  <c r="BQ160" i="8" s="1"/>
  <c r="AY161" i="8"/>
  <c r="AZ161" i="8"/>
  <c r="BB161" i="8"/>
  <c r="BC161" i="8"/>
  <c r="BG161" i="8" s="1"/>
  <c r="BA161" i="8" s="1"/>
  <c r="BF161" i="8"/>
  <c r="AX161" i="8" s="1"/>
  <c r="BH161" i="8"/>
  <c r="BI161" i="8" s="1"/>
  <c r="BJ161" i="8"/>
  <c r="BK161" i="8"/>
  <c r="BL161" i="8"/>
  <c r="AY162" i="8"/>
  <c r="BB162" i="8"/>
  <c r="BC162" i="8"/>
  <c r="BG162" i="8" s="1"/>
  <c r="BA162" i="8" s="1"/>
  <c r="BF162" i="8"/>
  <c r="BM162" i="8" s="1"/>
  <c r="BH162" i="8"/>
  <c r="BI162" i="8" s="1"/>
  <c r="BJ162" i="8"/>
  <c r="BK162" i="8"/>
  <c r="BL162" i="8"/>
  <c r="AY163" i="8"/>
  <c r="BB163" i="8"/>
  <c r="BC163" i="8"/>
  <c r="BE163" i="8" s="1"/>
  <c r="BF163" i="8"/>
  <c r="AX163" i="8" s="1"/>
  <c r="BH163" i="8"/>
  <c r="BI163" i="8" s="1"/>
  <c r="BJ163" i="8"/>
  <c r="BK163" i="8"/>
  <c r="BL163" i="8"/>
  <c r="AY164" i="8"/>
  <c r="BB164" i="8"/>
  <c r="BC164" i="8"/>
  <c r="BF164" i="8"/>
  <c r="BM164" i="8" s="1"/>
  <c r="BH164" i="8"/>
  <c r="BI164" i="8" s="1"/>
  <c r="BJ164" i="8"/>
  <c r="BK164" i="8"/>
  <c r="BL164" i="8"/>
  <c r="BQ164" i="8" s="1"/>
  <c r="AY165" i="8"/>
  <c r="BB165" i="8"/>
  <c r="BC165" i="8"/>
  <c r="BD165" i="8" s="1"/>
  <c r="BF165" i="8"/>
  <c r="BH165" i="8"/>
  <c r="BI165" i="8" s="1"/>
  <c r="BJ165" i="8"/>
  <c r="BK165" i="8"/>
  <c r="BL165" i="8"/>
  <c r="AY166" i="8"/>
  <c r="BB166" i="8"/>
  <c r="BC166" i="8"/>
  <c r="BG166" i="8" s="1"/>
  <c r="BA166" i="8" s="1"/>
  <c r="BF166" i="8"/>
  <c r="BH166" i="8"/>
  <c r="BI166" i="8" s="1"/>
  <c r="BJ166" i="8"/>
  <c r="BK166" i="8"/>
  <c r="BL166" i="8"/>
  <c r="BQ166" i="8" s="1"/>
  <c r="AY167" i="8"/>
  <c r="BB167" i="8"/>
  <c r="BC167" i="8"/>
  <c r="BG167" i="8" s="1"/>
  <c r="BA167" i="8" s="1"/>
  <c r="BF167" i="8"/>
  <c r="AX167" i="8" s="1"/>
  <c r="BH167" i="8"/>
  <c r="BI167" i="8" s="1"/>
  <c r="BJ167" i="8"/>
  <c r="BK167" i="8"/>
  <c r="BL167" i="8"/>
  <c r="AY168" i="8"/>
  <c r="BB168" i="8"/>
  <c r="BC168" i="8"/>
  <c r="BF168" i="8"/>
  <c r="BH168" i="8"/>
  <c r="BI168" i="8" s="1"/>
  <c r="BJ168" i="8"/>
  <c r="BK168" i="8"/>
  <c r="BL168" i="8"/>
  <c r="AY169" i="8"/>
  <c r="BB169" i="8"/>
  <c r="BC169" i="8"/>
  <c r="BG169" i="8" s="1"/>
  <c r="BA169" i="8" s="1"/>
  <c r="BF169" i="8"/>
  <c r="BH169" i="8"/>
  <c r="BI169" i="8"/>
  <c r="BJ169" i="8"/>
  <c r="BK169" i="8"/>
  <c r="BL169" i="8"/>
  <c r="AY170" i="8"/>
  <c r="BB170" i="8"/>
  <c r="BC170" i="8"/>
  <c r="BG170" i="8" s="1"/>
  <c r="BA170" i="8" s="1"/>
  <c r="BF170" i="8"/>
  <c r="BH170" i="8"/>
  <c r="BI170" i="8" s="1"/>
  <c r="BJ170" i="8"/>
  <c r="BK170" i="8"/>
  <c r="BL170" i="8"/>
  <c r="AY171" i="8"/>
  <c r="BB171" i="8"/>
  <c r="BC171" i="8"/>
  <c r="BG171" i="8" s="1"/>
  <c r="BA171" i="8" s="1"/>
  <c r="BF171" i="8"/>
  <c r="AX171" i="8" s="1"/>
  <c r="BH171" i="8"/>
  <c r="BI171" i="8" s="1"/>
  <c r="BJ171" i="8"/>
  <c r="BK171" i="8"/>
  <c r="BL171" i="8"/>
  <c r="AY172" i="8"/>
  <c r="BB172" i="8"/>
  <c r="BC172" i="8"/>
  <c r="BF172" i="8"/>
  <c r="BM172" i="8" s="1"/>
  <c r="BH172" i="8"/>
  <c r="BI172" i="8" s="1"/>
  <c r="BJ172" i="8"/>
  <c r="BK172" i="8"/>
  <c r="BL172" i="8"/>
  <c r="AY173" i="8"/>
  <c r="BB173" i="8"/>
  <c r="BC173" i="8"/>
  <c r="BG173" i="8" s="1"/>
  <c r="BA173" i="8" s="1"/>
  <c r="BF173" i="8"/>
  <c r="AX173" i="8" s="1"/>
  <c r="BH173" i="8"/>
  <c r="BI173" i="8" s="1"/>
  <c r="BJ173" i="8"/>
  <c r="BK173" i="8"/>
  <c r="BL173" i="8"/>
  <c r="AY174" i="8"/>
  <c r="BB174" i="8"/>
  <c r="BC174" i="8"/>
  <c r="BG174" i="8" s="1"/>
  <c r="BA174" i="8" s="1"/>
  <c r="BF174" i="8"/>
  <c r="BM174" i="8" s="1"/>
  <c r="BH174" i="8"/>
  <c r="BI174" i="8"/>
  <c r="BJ174" i="8"/>
  <c r="BK174" i="8"/>
  <c r="BL174" i="8"/>
  <c r="AY175" i="8"/>
  <c r="BB175" i="8"/>
  <c r="BC175" i="8"/>
  <c r="BF175" i="8"/>
  <c r="AX175" i="8" s="1"/>
  <c r="BH175" i="8"/>
  <c r="BI175" i="8" s="1"/>
  <c r="BJ175" i="8"/>
  <c r="BK175" i="8"/>
  <c r="BL175" i="8"/>
  <c r="AY176" i="8"/>
  <c r="BB176" i="8"/>
  <c r="BC176" i="8"/>
  <c r="BF176" i="8"/>
  <c r="BH176" i="8"/>
  <c r="BI176" i="8" s="1"/>
  <c r="BJ176" i="8"/>
  <c r="BK176" i="8"/>
  <c r="BL176" i="8"/>
  <c r="AY177" i="8"/>
  <c r="BB177" i="8"/>
  <c r="BC177" i="8"/>
  <c r="BG177" i="8" s="1"/>
  <c r="BA177" i="8" s="1"/>
  <c r="BF177" i="8"/>
  <c r="AX177" i="8" s="1"/>
  <c r="BH177" i="8"/>
  <c r="BI177" i="8" s="1"/>
  <c r="BJ177" i="8"/>
  <c r="BK177" i="8"/>
  <c r="BL177" i="8"/>
  <c r="AY178" i="8"/>
  <c r="BB178" i="8"/>
  <c r="BC178" i="8"/>
  <c r="BG178" i="8" s="1"/>
  <c r="BA178" i="8" s="1"/>
  <c r="BF178" i="8"/>
  <c r="BH178" i="8"/>
  <c r="BI178" i="8" s="1"/>
  <c r="BJ178" i="8"/>
  <c r="BK178" i="8"/>
  <c r="BL178" i="8"/>
  <c r="AY179" i="8"/>
  <c r="BB179" i="8"/>
  <c r="BC179" i="8"/>
  <c r="BG179" i="8" s="1"/>
  <c r="BA179" i="8" s="1"/>
  <c r="BF179" i="8"/>
  <c r="AX179" i="8" s="1"/>
  <c r="BH179" i="8"/>
  <c r="BI179" i="8" s="1"/>
  <c r="BJ179" i="8"/>
  <c r="BK179" i="8"/>
  <c r="BL179" i="8"/>
  <c r="AY180" i="8"/>
  <c r="AZ180" i="8"/>
  <c r="BB180" i="8"/>
  <c r="BC180" i="8"/>
  <c r="BF180" i="8"/>
  <c r="BM180" i="8" s="1"/>
  <c r="BH180" i="8"/>
  <c r="BI180" i="8" s="1"/>
  <c r="BJ180" i="8"/>
  <c r="BK180" i="8"/>
  <c r="BL180" i="8"/>
  <c r="AY181" i="8"/>
  <c r="BB181" i="8"/>
  <c r="BC181" i="8"/>
  <c r="BG181" i="8" s="1"/>
  <c r="BA181" i="8" s="1"/>
  <c r="BF181" i="8"/>
  <c r="BH181" i="8"/>
  <c r="BI181" i="8" s="1"/>
  <c r="BJ181" i="8"/>
  <c r="BK181" i="8"/>
  <c r="BL181" i="8"/>
  <c r="AY182" i="8"/>
  <c r="BB182" i="8"/>
  <c r="BC182" i="8"/>
  <c r="BE182" i="8" s="1"/>
  <c r="AW182" i="8" s="1"/>
  <c r="BF182" i="8"/>
  <c r="BH182" i="8"/>
  <c r="BI182" i="8" s="1"/>
  <c r="BJ182" i="8"/>
  <c r="BK182" i="8"/>
  <c r="BL182" i="8"/>
  <c r="BQ182" i="8" s="1"/>
  <c r="AY183" i="8"/>
  <c r="BB183" i="8"/>
  <c r="BC183" i="8"/>
  <c r="BG183" i="8" s="1"/>
  <c r="BA183" i="8" s="1"/>
  <c r="BF183" i="8"/>
  <c r="BH183" i="8"/>
  <c r="BI183" i="8" s="1"/>
  <c r="BJ183" i="8"/>
  <c r="BK183" i="8"/>
  <c r="BL183" i="8"/>
  <c r="AY184" i="8"/>
  <c r="BB184" i="8"/>
  <c r="BC184" i="8"/>
  <c r="BF184" i="8"/>
  <c r="AZ184" i="8" s="1"/>
  <c r="BH184" i="8"/>
  <c r="BI184" i="8" s="1"/>
  <c r="BJ184" i="8"/>
  <c r="BK184" i="8"/>
  <c r="BL184" i="8"/>
  <c r="AY185" i="8"/>
  <c r="BB185" i="8"/>
  <c r="BC185" i="8"/>
  <c r="BE185" i="8" s="1"/>
  <c r="BF185" i="8"/>
  <c r="AX185" i="8" s="1"/>
  <c r="BH185" i="8"/>
  <c r="BI185" i="8" s="1"/>
  <c r="BJ185" i="8"/>
  <c r="BK185" i="8"/>
  <c r="BL185" i="8"/>
  <c r="AY186" i="8"/>
  <c r="BB186" i="8"/>
  <c r="BC186" i="8"/>
  <c r="BF186" i="8"/>
  <c r="BM186" i="8" s="1"/>
  <c r="BH186" i="8"/>
  <c r="BI186" i="8" s="1"/>
  <c r="BJ186" i="8"/>
  <c r="BK186" i="8"/>
  <c r="BL186" i="8"/>
  <c r="AY187" i="8"/>
  <c r="BB187" i="8"/>
  <c r="BC187" i="8"/>
  <c r="BF187" i="8"/>
  <c r="AX187" i="8" s="1"/>
  <c r="BH187" i="8"/>
  <c r="BI187" i="8" s="1"/>
  <c r="BJ187" i="8"/>
  <c r="BK187" i="8"/>
  <c r="BL187" i="8"/>
  <c r="AX188" i="8"/>
  <c r="AY188" i="8"/>
  <c r="BB188" i="8"/>
  <c r="BC188" i="8"/>
  <c r="BD188" i="8" s="1"/>
  <c r="BF188" i="8"/>
  <c r="BM188" i="8" s="1"/>
  <c r="BH188" i="8"/>
  <c r="BI188" i="8" s="1"/>
  <c r="BJ188" i="8"/>
  <c r="BK188" i="8"/>
  <c r="BL188" i="8"/>
  <c r="AY189" i="8"/>
  <c r="BB189" i="8"/>
  <c r="BC189" i="8"/>
  <c r="BF189" i="8"/>
  <c r="AX189" i="8" s="1"/>
  <c r="BH189" i="8"/>
  <c r="BI189" i="8" s="1"/>
  <c r="BJ189" i="8"/>
  <c r="BK189" i="8"/>
  <c r="BL189" i="8"/>
  <c r="AY190" i="8"/>
  <c r="BB190" i="8"/>
  <c r="BC190" i="8"/>
  <c r="BF190" i="8"/>
  <c r="BM190" i="8" s="1"/>
  <c r="BH190" i="8"/>
  <c r="BI190" i="8" s="1"/>
  <c r="BJ190" i="8"/>
  <c r="BK190" i="8"/>
  <c r="BL190" i="8"/>
  <c r="AY191" i="8"/>
  <c r="BB191" i="8"/>
  <c r="BC191" i="8"/>
  <c r="BF191" i="8"/>
  <c r="AX191" i="8" s="1"/>
  <c r="BH191" i="8"/>
  <c r="BI191" i="8" s="1"/>
  <c r="BJ191" i="8"/>
  <c r="BK191" i="8"/>
  <c r="BL191" i="8"/>
  <c r="AY192" i="8"/>
  <c r="BB192" i="8"/>
  <c r="BC192" i="8"/>
  <c r="BD192" i="8" s="1"/>
  <c r="BF192" i="8"/>
  <c r="BM192" i="8" s="1"/>
  <c r="BH192" i="8"/>
  <c r="BI192" i="8" s="1"/>
  <c r="BJ192" i="8"/>
  <c r="BK192" i="8"/>
  <c r="BL192" i="8"/>
  <c r="AY193" i="8"/>
  <c r="BB193" i="8"/>
  <c r="BC193" i="8"/>
  <c r="BF193" i="8"/>
  <c r="BH193" i="8"/>
  <c r="BI193" i="8" s="1"/>
  <c r="BJ193" i="8"/>
  <c r="BK193" i="8"/>
  <c r="BL193" i="8"/>
  <c r="AY194" i="8"/>
  <c r="BB194" i="8"/>
  <c r="BC194" i="8"/>
  <c r="BD194" i="8" s="1"/>
  <c r="BF194" i="8"/>
  <c r="BM194" i="8" s="1"/>
  <c r="BH194" i="8"/>
  <c r="BI194" i="8" s="1"/>
  <c r="BJ194" i="8"/>
  <c r="BK194" i="8"/>
  <c r="BL194" i="8"/>
  <c r="AY195" i="8"/>
  <c r="BB195" i="8"/>
  <c r="BC195" i="8"/>
  <c r="BF195" i="8"/>
  <c r="BM195" i="8" s="1"/>
  <c r="BH195" i="8"/>
  <c r="BI195" i="8" s="1"/>
  <c r="BJ195" i="8"/>
  <c r="BK195" i="8"/>
  <c r="BL195" i="8"/>
  <c r="AY196" i="8"/>
  <c r="BB196" i="8"/>
  <c r="BC196" i="8"/>
  <c r="BE196" i="8" s="1"/>
  <c r="BF196" i="8"/>
  <c r="BM196" i="8" s="1"/>
  <c r="BH196" i="8"/>
  <c r="BI196" i="8" s="1"/>
  <c r="BJ196" i="8"/>
  <c r="BK196" i="8"/>
  <c r="BL196" i="8"/>
  <c r="AY197" i="8"/>
  <c r="BB197" i="8"/>
  <c r="BC197" i="8"/>
  <c r="BF197" i="8"/>
  <c r="AZ197" i="8" s="1"/>
  <c r="BH197" i="8"/>
  <c r="BI197" i="8" s="1"/>
  <c r="BJ197" i="8"/>
  <c r="BK197" i="8"/>
  <c r="BL197" i="8"/>
  <c r="AY198" i="8"/>
  <c r="BB198" i="8"/>
  <c r="BC198" i="8"/>
  <c r="BD198" i="8" s="1"/>
  <c r="BF198" i="8"/>
  <c r="BH198" i="8"/>
  <c r="BI198" i="8" s="1"/>
  <c r="BJ198" i="8"/>
  <c r="BK198" i="8"/>
  <c r="BL198" i="8"/>
  <c r="AY199" i="8"/>
  <c r="BB199" i="8"/>
  <c r="BC199" i="8"/>
  <c r="BF199" i="8"/>
  <c r="AX199" i="8" s="1"/>
  <c r="BH199" i="8"/>
  <c r="BI199" i="8" s="1"/>
  <c r="BJ199" i="8"/>
  <c r="BK199" i="8"/>
  <c r="BL199" i="8"/>
  <c r="AY200" i="8"/>
  <c r="BB200" i="8"/>
  <c r="BC200" i="8"/>
  <c r="BD200" i="8" s="1"/>
  <c r="BF200" i="8"/>
  <c r="BH200" i="8"/>
  <c r="BI200" i="8" s="1"/>
  <c r="BJ200" i="8"/>
  <c r="BK200" i="8"/>
  <c r="BL200" i="8"/>
  <c r="AY201" i="8"/>
  <c r="BB201" i="8"/>
  <c r="BC201" i="8"/>
  <c r="BG201" i="8" s="1"/>
  <c r="BA201" i="8" s="1"/>
  <c r="BF201" i="8"/>
  <c r="BH201" i="8"/>
  <c r="BI201" i="8" s="1"/>
  <c r="BJ201" i="8"/>
  <c r="BK201" i="8"/>
  <c r="BL201" i="8"/>
  <c r="AY202" i="8"/>
  <c r="BB202" i="8"/>
  <c r="BC202" i="8"/>
  <c r="BD202" i="8" s="1"/>
  <c r="BF202" i="8"/>
  <c r="BM202" i="8" s="1"/>
  <c r="BH202" i="8"/>
  <c r="BI202" i="8"/>
  <c r="BJ202" i="8"/>
  <c r="BK202" i="8"/>
  <c r="BL202" i="8"/>
  <c r="AY203" i="8"/>
  <c r="BB203" i="8"/>
  <c r="BC203" i="8"/>
  <c r="BG203" i="8" s="1"/>
  <c r="BA203" i="8" s="1"/>
  <c r="BF203" i="8"/>
  <c r="AZ203" i="8" s="1"/>
  <c r="BH203" i="8"/>
  <c r="BI203" i="8" s="1"/>
  <c r="BJ203" i="8"/>
  <c r="BK203" i="8"/>
  <c r="BL203" i="8"/>
  <c r="AY204" i="8"/>
  <c r="BB204" i="8"/>
  <c r="BC204" i="8"/>
  <c r="BF204" i="8"/>
  <c r="BM204" i="8" s="1"/>
  <c r="BH204" i="8"/>
  <c r="BI204" i="8" s="1"/>
  <c r="BJ204" i="8"/>
  <c r="BK204" i="8"/>
  <c r="BL204" i="8"/>
  <c r="AX205" i="8"/>
  <c r="AY205" i="8"/>
  <c r="BB205" i="8"/>
  <c r="BC205" i="8"/>
  <c r="BF205" i="8"/>
  <c r="BM205" i="8" s="1"/>
  <c r="BH205" i="8"/>
  <c r="BI205" i="8" s="1"/>
  <c r="BJ205" i="8"/>
  <c r="BK205" i="8"/>
  <c r="BL205" i="8"/>
  <c r="AY206" i="8"/>
  <c r="BB206" i="8"/>
  <c r="BC206" i="8"/>
  <c r="BD206" i="8" s="1"/>
  <c r="BF206" i="8"/>
  <c r="BH206" i="8"/>
  <c r="BI206" i="8" s="1"/>
  <c r="BJ206" i="8"/>
  <c r="BK206" i="8"/>
  <c r="BL206" i="8"/>
  <c r="AY207" i="8"/>
  <c r="BB207" i="8"/>
  <c r="BC207" i="8"/>
  <c r="BF207" i="8"/>
  <c r="AX207" i="8" s="1"/>
  <c r="BH207" i="8"/>
  <c r="BI207" i="8" s="1"/>
  <c r="BJ207" i="8"/>
  <c r="BK207" i="8"/>
  <c r="BL207" i="8"/>
  <c r="AY208" i="8"/>
  <c r="BB208" i="8"/>
  <c r="BC208" i="8"/>
  <c r="BF208" i="8"/>
  <c r="AX208" i="8" s="1"/>
  <c r="BH208" i="8"/>
  <c r="BI208" i="8"/>
  <c r="BJ208" i="8"/>
  <c r="BK208" i="8"/>
  <c r="BL208" i="8"/>
  <c r="BQ208" i="8" s="1"/>
  <c r="AY209" i="8"/>
  <c r="BB209" i="8"/>
  <c r="BC209" i="8"/>
  <c r="BF209" i="8"/>
  <c r="BH209" i="8"/>
  <c r="BI209" i="8" s="1"/>
  <c r="BJ209" i="8"/>
  <c r="BK209" i="8"/>
  <c r="BL209" i="8"/>
  <c r="AY210" i="8"/>
  <c r="BB210" i="8"/>
  <c r="BC210" i="8"/>
  <c r="BD210" i="8" s="1"/>
  <c r="BF210" i="8"/>
  <c r="BH210" i="8"/>
  <c r="BI210" i="8" s="1"/>
  <c r="BJ210" i="8"/>
  <c r="BK210" i="8"/>
  <c r="BL210" i="8"/>
  <c r="AY211" i="8"/>
  <c r="BB211" i="8"/>
  <c r="BC211" i="8"/>
  <c r="BF211" i="8"/>
  <c r="AZ211" i="8" s="1"/>
  <c r="BH211" i="8"/>
  <c r="BI211" i="8" s="1"/>
  <c r="BJ211" i="8"/>
  <c r="BK211" i="8"/>
  <c r="BL211" i="8"/>
  <c r="AY212" i="8"/>
  <c r="BB212" i="8"/>
  <c r="BC212" i="8"/>
  <c r="BE212" i="8" s="1"/>
  <c r="BF212" i="8"/>
  <c r="BM212" i="8" s="1"/>
  <c r="BH212" i="8"/>
  <c r="BI212" i="8" s="1"/>
  <c r="BJ212" i="8"/>
  <c r="BK212" i="8"/>
  <c r="BL212" i="8"/>
  <c r="AY213" i="8"/>
  <c r="BB213" i="8"/>
  <c r="BC213" i="8"/>
  <c r="BF213" i="8"/>
  <c r="AZ213" i="8" s="1"/>
  <c r="BH213" i="8"/>
  <c r="BI213" i="8" s="1"/>
  <c r="BJ213" i="8"/>
  <c r="BK213" i="8"/>
  <c r="BL213" i="8"/>
  <c r="AY214" i="8"/>
  <c r="BB214" i="8"/>
  <c r="BC214" i="8"/>
  <c r="BD214" i="8" s="1"/>
  <c r="BF214" i="8"/>
  <c r="BH214" i="8"/>
  <c r="BI214" i="8" s="1"/>
  <c r="BJ214" i="8"/>
  <c r="BK214" i="8"/>
  <c r="BL214" i="8"/>
  <c r="AX215" i="8"/>
  <c r="AY215" i="8"/>
  <c r="BB215" i="8"/>
  <c r="BC215" i="8"/>
  <c r="BD215" i="8" s="1"/>
  <c r="BF215" i="8"/>
  <c r="BH215" i="8"/>
  <c r="BI215" i="8" s="1"/>
  <c r="BJ215" i="8"/>
  <c r="BK215" i="8"/>
  <c r="BL215" i="8"/>
  <c r="AX216" i="8"/>
  <c r="AY216" i="8"/>
  <c r="BB216" i="8"/>
  <c r="BC216" i="8"/>
  <c r="BG216" i="8" s="1"/>
  <c r="BA216" i="8" s="1"/>
  <c r="BF216" i="8"/>
  <c r="BH216" i="8"/>
  <c r="BI216" i="8"/>
  <c r="BJ216" i="8"/>
  <c r="BK216" i="8"/>
  <c r="BL216" i="8"/>
  <c r="AY217" i="8"/>
  <c r="BB217" i="8"/>
  <c r="BC217" i="8"/>
  <c r="BF217" i="8"/>
  <c r="AX217" i="8" s="1"/>
  <c r="BH217" i="8"/>
  <c r="BI217" i="8" s="1"/>
  <c r="BJ217" i="8"/>
  <c r="BK217" i="8"/>
  <c r="BL217" i="8"/>
  <c r="AY218" i="8"/>
  <c r="BB218" i="8"/>
  <c r="BC218" i="8"/>
  <c r="BF218" i="8"/>
  <c r="BH218" i="8"/>
  <c r="BI218" i="8" s="1"/>
  <c r="BJ218" i="8"/>
  <c r="BK218" i="8"/>
  <c r="BL218" i="8"/>
  <c r="AX219" i="8"/>
  <c r="AY219" i="8"/>
  <c r="BB219" i="8"/>
  <c r="BC219" i="8"/>
  <c r="BG219" i="8" s="1"/>
  <c r="BA219" i="8" s="1"/>
  <c r="BF219" i="8"/>
  <c r="BM219" i="8" s="1"/>
  <c r="BH219" i="8"/>
  <c r="BI219" i="8" s="1"/>
  <c r="BJ219" i="8"/>
  <c r="BK219" i="8"/>
  <c r="BL219" i="8"/>
  <c r="AY220" i="8"/>
  <c r="BB220" i="8"/>
  <c r="BC220" i="8"/>
  <c r="BD220" i="8" s="1"/>
  <c r="BF220" i="8"/>
  <c r="BH220" i="8"/>
  <c r="BI220" i="8" s="1"/>
  <c r="BJ220" i="8"/>
  <c r="BK220" i="8"/>
  <c r="BL220" i="8"/>
  <c r="AY221" i="8"/>
  <c r="BB221" i="8"/>
  <c r="BC221" i="8"/>
  <c r="BG221" i="8" s="1"/>
  <c r="BA221" i="8" s="1"/>
  <c r="BF221" i="8"/>
  <c r="BH221" i="8"/>
  <c r="BI221" i="8" s="1"/>
  <c r="BJ221" i="8"/>
  <c r="BK221" i="8"/>
  <c r="BL221" i="8"/>
  <c r="AY222" i="8"/>
  <c r="BB222" i="8"/>
  <c r="BC222" i="8"/>
  <c r="BF222" i="8"/>
  <c r="BH222" i="8"/>
  <c r="BI222" i="8" s="1"/>
  <c r="BJ222" i="8"/>
  <c r="BK222" i="8"/>
  <c r="BL222" i="8"/>
  <c r="AY223" i="8"/>
  <c r="BB223" i="8"/>
  <c r="BC223" i="8"/>
  <c r="BF223" i="8"/>
  <c r="AX223" i="8" s="1"/>
  <c r="BH223" i="8"/>
  <c r="BI223" i="8" s="1"/>
  <c r="BJ223" i="8"/>
  <c r="BK223" i="8"/>
  <c r="BL223" i="8"/>
  <c r="AY224" i="8"/>
  <c r="BB224" i="8"/>
  <c r="BC224" i="8"/>
  <c r="BF224" i="8"/>
  <c r="AZ224" i="8" s="1"/>
  <c r="BH224" i="8"/>
  <c r="BI224" i="8" s="1"/>
  <c r="BJ224" i="8"/>
  <c r="BK224" i="8"/>
  <c r="BL224" i="8"/>
  <c r="AY225" i="8"/>
  <c r="BA225" i="8"/>
  <c r="BB225" i="8"/>
  <c r="BC225" i="8"/>
  <c r="BG225" i="8" s="1"/>
  <c r="BD225" i="8"/>
  <c r="BF225" i="8"/>
  <c r="AX225" i="8" s="1"/>
  <c r="BH225" i="8"/>
  <c r="BI225" i="8" s="1"/>
  <c r="BJ225" i="8"/>
  <c r="BK225" i="8"/>
  <c r="BL225" i="8"/>
  <c r="AY226" i="8"/>
  <c r="BB226" i="8"/>
  <c r="BC226" i="8"/>
  <c r="BE226" i="8" s="1"/>
  <c r="BF226" i="8"/>
  <c r="AX226" i="8" s="1"/>
  <c r="BH226" i="8"/>
  <c r="BI226" i="8" s="1"/>
  <c r="BJ226" i="8"/>
  <c r="BK226" i="8"/>
  <c r="BL226" i="8"/>
  <c r="AY227" i="8"/>
  <c r="BB227" i="8"/>
  <c r="BC227" i="8"/>
  <c r="BD227" i="8" s="1"/>
  <c r="BF227" i="8"/>
  <c r="AZ227" i="8" s="1"/>
  <c r="BH227" i="8"/>
  <c r="BI227" i="8" s="1"/>
  <c r="BJ227" i="8"/>
  <c r="BK227" i="8"/>
  <c r="BL227" i="8"/>
  <c r="AY228" i="8"/>
  <c r="BB228" i="8"/>
  <c r="BC228" i="8"/>
  <c r="BE228" i="8" s="1"/>
  <c r="BF228" i="8"/>
  <c r="BH228" i="8"/>
  <c r="BI228" i="8" s="1"/>
  <c r="BJ228" i="8"/>
  <c r="BK228" i="8"/>
  <c r="BL228" i="8"/>
  <c r="AY229" i="8"/>
  <c r="BB229" i="8"/>
  <c r="BC229" i="8"/>
  <c r="BD229" i="8" s="1"/>
  <c r="BF229" i="8"/>
  <c r="AZ229" i="8" s="1"/>
  <c r="BH229" i="8"/>
  <c r="BI229" i="8" s="1"/>
  <c r="BJ229" i="8"/>
  <c r="BK229" i="8"/>
  <c r="BL229" i="8"/>
  <c r="AY230" i="8"/>
  <c r="BB230" i="8"/>
  <c r="BC230" i="8"/>
  <c r="BE230" i="8" s="1"/>
  <c r="BF230" i="8"/>
  <c r="AZ230" i="8" s="1"/>
  <c r="BH230" i="8"/>
  <c r="BI230" i="8" s="1"/>
  <c r="BJ230" i="8"/>
  <c r="BK230" i="8"/>
  <c r="BL230" i="8"/>
  <c r="AY231" i="8"/>
  <c r="BB231" i="8"/>
  <c r="BC231" i="8"/>
  <c r="BD231" i="8" s="1"/>
  <c r="BF231" i="8"/>
  <c r="BH231" i="8"/>
  <c r="BI231" i="8" s="1"/>
  <c r="BJ231" i="8"/>
  <c r="BK231" i="8"/>
  <c r="BL231" i="8"/>
  <c r="AY232" i="8"/>
  <c r="BB232" i="8"/>
  <c r="BC232" i="8"/>
  <c r="BE232" i="8" s="1"/>
  <c r="BF232" i="8"/>
  <c r="AX232" i="8" s="1"/>
  <c r="BH232" i="8"/>
  <c r="BI232" i="8" s="1"/>
  <c r="BJ232" i="8"/>
  <c r="BK232" i="8"/>
  <c r="BL232" i="8"/>
  <c r="AY233" i="8"/>
  <c r="BB233" i="8"/>
  <c r="BC233" i="8"/>
  <c r="BF233" i="8"/>
  <c r="AX233" i="8" s="1"/>
  <c r="BH233" i="8"/>
  <c r="BI233" i="8" s="1"/>
  <c r="BJ233" i="8"/>
  <c r="BK233" i="8"/>
  <c r="BL233" i="8"/>
  <c r="AY234" i="8"/>
  <c r="BB234" i="8"/>
  <c r="BC234" i="8"/>
  <c r="BE234" i="8" s="1"/>
  <c r="BF234" i="8"/>
  <c r="AX234" i="8" s="1"/>
  <c r="BH234" i="8"/>
  <c r="BI234" i="8" s="1"/>
  <c r="BJ234" i="8"/>
  <c r="BK234" i="8"/>
  <c r="BL234" i="8"/>
  <c r="AY235" i="8"/>
  <c r="BB235" i="8"/>
  <c r="BC235" i="8"/>
  <c r="BF235" i="8"/>
  <c r="BH235" i="8"/>
  <c r="BI235" i="8" s="1"/>
  <c r="BJ235" i="8"/>
  <c r="BK235" i="8"/>
  <c r="BL235" i="8"/>
  <c r="AY236" i="8"/>
  <c r="BB236" i="8"/>
  <c r="BC236" i="8"/>
  <c r="BE236" i="8" s="1"/>
  <c r="BF236" i="8"/>
  <c r="BM236" i="8" s="1"/>
  <c r="BH236" i="8"/>
  <c r="BI236" i="8" s="1"/>
  <c r="BJ236" i="8"/>
  <c r="BK236" i="8"/>
  <c r="BL236" i="8"/>
  <c r="BQ236" i="8" s="1"/>
  <c r="AY237" i="8"/>
  <c r="BB237" i="8"/>
  <c r="BC237" i="8"/>
  <c r="BD237" i="8" s="1"/>
  <c r="BF237" i="8"/>
  <c r="BG237" i="8"/>
  <c r="BA237" i="8" s="1"/>
  <c r="BH237" i="8"/>
  <c r="BI237" i="8" s="1"/>
  <c r="BJ237" i="8"/>
  <c r="BK237" i="8"/>
  <c r="BL237" i="8"/>
  <c r="AY238" i="8"/>
  <c r="BB238" i="8"/>
  <c r="BC238" i="8"/>
  <c r="BG238" i="8" s="1"/>
  <c r="BA238" i="8" s="1"/>
  <c r="BF238" i="8"/>
  <c r="AX238" i="8" s="1"/>
  <c r="BH238" i="8"/>
  <c r="BI238" i="8" s="1"/>
  <c r="BJ238" i="8"/>
  <c r="BK238" i="8"/>
  <c r="BL238" i="8"/>
  <c r="AY239" i="8"/>
  <c r="BB239" i="8"/>
  <c r="BC239" i="8"/>
  <c r="BD239" i="8" s="1"/>
  <c r="BF239" i="8"/>
  <c r="BH239" i="8"/>
  <c r="BI239" i="8" s="1"/>
  <c r="BJ239" i="8"/>
  <c r="BK239" i="8"/>
  <c r="BL239" i="8"/>
  <c r="AY240" i="8"/>
  <c r="BB240" i="8"/>
  <c r="BC240" i="8"/>
  <c r="BG240" i="8" s="1"/>
  <c r="BA240" i="8" s="1"/>
  <c r="BF240" i="8"/>
  <c r="BH240" i="8"/>
  <c r="BI240" i="8" s="1"/>
  <c r="BJ240" i="8"/>
  <c r="BK240" i="8"/>
  <c r="BL240" i="8"/>
  <c r="AY241" i="8"/>
  <c r="BB241" i="8"/>
  <c r="BC241" i="8"/>
  <c r="BF241" i="8"/>
  <c r="BH241" i="8"/>
  <c r="BI241" i="8" s="1"/>
  <c r="BJ241" i="8"/>
  <c r="BK241" i="8"/>
  <c r="BL241" i="8"/>
  <c r="AY242" i="8"/>
  <c r="BB242" i="8"/>
  <c r="BC242" i="8"/>
  <c r="BF242" i="8"/>
  <c r="BH242" i="8"/>
  <c r="BI242" i="8" s="1"/>
  <c r="BJ242" i="8"/>
  <c r="BK242" i="8"/>
  <c r="BL242" i="8"/>
  <c r="AY243" i="8"/>
  <c r="BB243" i="8"/>
  <c r="BC243" i="8"/>
  <c r="BD243" i="8" s="1"/>
  <c r="BF243" i="8"/>
  <c r="BM243" i="8" s="1"/>
  <c r="BH243" i="8"/>
  <c r="BI243" i="8"/>
  <c r="BJ243" i="8"/>
  <c r="BK243" i="8"/>
  <c r="BL243" i="8"/>
  <c r="AY244" i="8"/>
  <c r="BB244" i="8"/>
  <c r="BC244" i="8"/>
  <c r="BG244" i="8" s="1"/>
  <c r="BA244" i="8" s="1"/>
  <c r="BF244" i="8"/>
  <c r="AX244" i="8" s="1"/>
  <c r="BH244" i="8"/>
  <c r="BI244" i="8" s="1"/>
  <c r="BJ244" i="8"/>
  <c r="BK244" i="8"/>
  <c r="BL244" i="8"/>
  <c r="AY245" i="8"/>
  <c r="BB245" i="8"/>
  <c r="BC245" i="8"/>
  <c r="BF245" i="8"/>
  <c r="BM245" i="8" s="1"/>
  <c r="BH245" i="8"/>
  <c r="BI245" i="8" s="1"/>
  <c r="BJ245" i="8"/>
  <c r="BK245" i="8"/>
  <c r="BL245" i="8"/>
  <c r="AY246" i="8"/>
  <c r="BB246" i="8"/>
  <c r="BC246" i="8"/>
  <c r="BG246" i="8" s="1"/>
  <c r="BA246" i="8" s="1"/>
  <c r="BF246" i="8"/>
  <c r="AX246" i="8" s="1"/>
  <c r="BH246" i="8"/>
  <c r="BI246" i="8" s="1"/>
  <c r="BJ246" i="8"/>
  <c r="BK246" i="8"/>
  <c r="BL246" i="8"/>
  <c r="AY247" i="8"/>
  <c r="BB247" i="8"/>
  <c r="BC247" i="8"/>
  <c r="BD247" i="8" s="1"/>
  <c r="BF247" i="8"/>
  <c r="BM247" i="8" s="1"/>
  <c r="BH247" i="8"/>
  <c r="BI247" i="8" s="1"/>
  <c r="BJ247" i="8"/>
  <c r="BK247" i="8"/>
  <c r="BL247" i="8"/>
  <c r="AY248" i="8"/>
  <c r="BB248" i="8"/>
  <c r="BC248" i="8"/>
  <c r="BG248" i="8" s="1"/>
  <c r="BA248" i="8" s="1"/>
  <c r="BF248" i="8"/>
  <c r="AX248" i="8" s="1"/>
  <c r="BH248" i="8"/>
  <c r="BI248" i="8" s="1"/>
  <c r="BJ248" i="8"/>
  <c r="BK248" i="8"/>
  <c r="BL248" i="8"/>
  <c r="BM248" i="8"/>
  <c r="AX249" i="8"/>
  <c r="AY249" i="8"/>
  <c r="BB249" i="8"/>
  <c r="BC249" i="8"/>
  <c r="BD249" i="8" s="1"/>
  <c r="BF249" i="8"/>
  <c r="BM249" i="8" s="1"/>
  <c r="BH249" i="8"/>
  <c r="BI249" i="8" s="1"/>
  <c r="BJ249" i="8"/>
  <c r="BK249" i="8"/>
  <c r="BL249" i="8"/>
  <c r="AY250" i="8"/>
  <c r="BB250" i="8"/>
  <c r="BC250" i="8"/>
  <c r="BF250" i="8"/>
  <c r="BH250" i="8"/>
  <c r="BI250" i="8" s="1"/>
  <c r="BJ250" i="8"/>
  <c r="BK250" i="8"/>
  <c r="BL250" i="8"/>
  <c r="AY251" i="8"/>
  <c r="BB251" i="8"/>
  <c r="BC251" i="8"/>
  <c r="BE251" i="8" s="1"/>
  <c r="BF251" i="8"/>
  <c r="BM251" i="8" s="1"/>
  <c r="BH251" i="8"/>
  <c r="BI251" i="8" s="1"/>
  <c r="BJ251" i="8"/>
  <c r="BK251" i="8"/>
  <c r="BL251" i="8"/>
  <c r="AY252" i="8"/>
  <c r="BB252" i="8"/>
  <c r="BC252" i="8"/>
  <c r="BG252" i="8" s="1"/>
  <c r="BA252" i="8" s="1"/>
  <c r="BF252" i="8"/>
  <c r="AX252" i="8" s="1"/>
  <c r="BH252" i="8"/>
  <c r="BI252" i="8" s="1"/>
  <c r="BJ252" i="8"/>
  <c r="BK252" i="8"/>
  <c r="BL252" i="8"/>
  <c r="AY253" i="8"/>
  <c r="BB253" i="8"/>
  <c r="BC253" i="8"/>
  <c r="BG253" i="8" s="1"/>
  <c r="BA253" i="8" s="1"/>
  <c r="BE253" i="8"/>
  <c r="BF253" i="8"/>
  <c r="BH253" i="8"/>
  <c r="BI253" i="8" s="1"/>
  <c r="BJ253" i="8"/>
  <c r="BK253" i="8"/>
  <c r="BL253" i="8"/>
  <c r="AY254" i="8"/>
  <c r="BB254" i="8"/>
  <c r="BC254" i="8"/>
  <c r="BG254" i="8" s="1"/>
  <c r="BA254" i="8" s="1"/>
  <c r="BF254" i="8"/>
  <c r="AZ254" i="8" s="1"/>
  <c r="BH254" i="8"/>
  <c r="BI254" i="8" s="1"/>
  <c r="BJ254" i="8"/>
  <c r="BK254" i="8"/>
  <c r="BL254" i="8"/>
  <c r="AY255" i="8"/>
  <c r="BB255" i="8"/>
  <c r="BC255" i="8"/>
  <c r="BF255" i="8"/>
  <c r="BH255" i="8"/>
  <c r="BI255" i="8" s="1"/>
  <c r="BJ255" i="8"/>
  <c r="BK255" i="8"/>
  <c r="BL255" i="8"/>
  <c r="AY256" i="8"/>
  <c r="BB256" i="8"/>
  <c r="BC256" i="8"/>
  <c r="BG256" i="8" s="1"/>
  <c r="BA256" i="8" s="1"/>
  <c r="BF256" i="8"/>
  <c r="BM256" i="8" s="1"/>
  <c r="BH256" i="8"/>
  <c r="BI256" i="8" s="1"/>
  <c r="BJ256" i="8"/>
  <c r="BK256" i="8"/>
  <c r="BL256" i="8"/>
  <c r="AY257" i="8"/>
  <c r="BB257" i="8"/>
  <c r="BC257" i="8"/>
  <c r="BD257" i="8" s="1"/>
  <c r="BF257" i="8"/>
  <c r="BH257" i="8"/>
  <c r="BI257" i="8" s="1"/>
  <c r="BJ257" i="8"/>
  <c r="BK257" i="8"/>
  <c r="BL257" i="8"/>
  <c r="AY258" i="8"/>
  <c r="BB258" i="8"/>
  <c r="BC258" i="8"/>
  <c r="BG258" i="8" s="1"/>
  <c r="BA258" i="8" s="1"/>
  <c r="BF258" i="8"/>
  <c r="BH258" i="8"/>
  <c r="BI258" i="8" s="1"/>
  <c r="BJ258" i="8"/>
  <c r="BK258" i="8"/>
  <c r="BL258" i="8"/>
  <c r="AY259" i="8"/>
  <c r="BB259" i="8"/>
  <c r="BC259" i="8"/>
  <c r="BG259" i="8" s="1"/>
  <c r="BA259" i="8" s="1"/>
  <c r="BF259" i="8"/>
  <c r="BM259" i="8" s="1"/>
  <c r="BH259" i="8"/>
  <c r="BI259" i="8" s="1"/>
  <c r="BJ259" i="8"/>
  <c r="BK259" i="8"/>
  <c r="BL259" i="8"/>
  <c r="AY260" i="8"/>
  <c r="BB260" i="8"/>
  <c r="BC260" i="8"/>
  <c r="BG260" i="8" s="1"/>
  <c r="BA260" i="8" s="1"/>
  <c r="BF260" i="8"/>
  <c r="AX260" i="8" s="1"/>
  <c r="BH260" i="8"/>
  <c r="BI260" i="8" s="1"/>
  <c r="BJ260" i="8"/>
  <c r="BK260" i="8"/>
  <c r="BL260" i="8"/>
  <c r="BQ260" i="8" s="1"/>
  <c r="AY261" i="8"/>
  <c r="BB261" i="8"/>
  <c r="BC261" i="8"/>
  <c r="BE261" i="8" s="1"/>
  <c r="BD261" i="8"/>
  <c r="BF261" i="8"/>
  <c r="BG261" i="8"/>
  <c r="BA261" i="8" s="1"/>
  <c r="BH261" i="8"/>
  <c r="BI261" i="8" s="1"/>
  <c r="BJ261" i="8"/>
  <c r="BK261" i="8"/>
  <c r="BL261" i="8"/>
  <c r="AY262" i="8"/>
  <c r="BB262" i="8"/>
  <c r="BC262" i="8"/>
  <c r="BF262" i="8"/>
  <c r="BH262" i="8"/>
  <c r="BI262" i="8"/>
  <c r="BJ262" i="8"/>
  <c r="BK262" i="8"/>
  <c r="BL262" i="8"/>
  <c r="BQ262" i="8" s="1"/>
  <c r="BM262" i="8"/>
  <c r="AY263" i="8"/>
  <c r="BB263" i="8"/>
  <c r="BC263" i="8"/>
  <c r="BD263" i="8" s="1"/>
  <c r="BF263" i="8"/>
  <c r="BM263" i="8" s="1"/>
  <c r="BH263" i="8"/>
  <c r="BI263" i="8" s="1"/>
  <c r="BJ263" i="8"/>
  <c r="BK263" i="8"/>
  <c r="BL263" i="8"/>
  <c r="AY264" i="8"/>
  <c r="BB264" i="8"/>
  <c r="BC264" i="8"/>
  <c r="BG264" i="8" s="1"/>
  <c r="BA264" i="8" s="1"/>
  <c r="BF264" i="8"/>
  <c r="BH264" i="8"/>
  <c r="BI264" i="8" s="1"/>
  <c r="BJ264" i="8"/>
  <c r="BK264" i="8"/>
  <c r="BL264" i="8"/>
  <c r="AY265" i="8"/>
  <c r="BB265" i="8"/>
  <c r="BC265" i="8"/>
  <c r="BD265" i="8" s="1"/>
  <c r="BF265" i="8"/>
  <c r="BM265" i="8" s="1"/>
  <c r="BH265" i="8"/>
  <c r="BI265" i="8" s="1"/>
  <c r="BJ265" i="8"/>
  <c r="BK265" i="8"/>
  <c r="BL265" i="8"/>
  <c r="AY266" i="8"/>
  <c r="BB266" i="8"/>
  <c r="BC266" i="8"/>
  <c r="BF266" i="8"/>
  <c r="BH266" i="8"/>
  <c r="BI266" i="8" s="1"/>
  <c r="BJ266" i="8"/>
  <c r="BK266" i="8"/>
  <c r="BL266" i="8"/>
  <c r="BQ266" i="8" s="1"/>
  <c r="AY267" i="8"/>
  <c r="BB267" i="8"/>
  <c r="BC267" i="8"/>
  <c r="BF267" i="8"/>
  <c r="BM267" i="8" s="1"/>
  <c r="BH267" i="8"/>
  <c r="BI267" i="8"/>
  <c r="BJ267" i="8"/>
  <c r="BK267" i="8"/>
  <c r="BL267" i="8"/>
  <c r="AY268" i="8"/>
  <c r="BB268" i="8"/>
  <c r="BC268" i="8"/>
  <c r="BG268" i="8" s="1"/>
  <c r="BA268" i="8" s="1"/>
  <c r="BF268" i="8"/>
  <c r="AX268" i="8" s="1"/>
  <c r="BH268" i="8"/>
  <c r="BI268" i="8"/>
  <c r="BJ268" i="8"/>
  <c r="BK268" i="8"/>
  <c r="BL268" i="8"/>
  <c r="AY269" i="8"/>
  <c r="BB269" i="8"/>
  <c r="BC269" i="8"/>
  <c r="BD269" i="8" s="1"/>
  <c r="BF269" i="8"/>
  <c r="BM269" i="8" s="1"/>
  <c r="BH269" i="8"/>
  <c r="BI269" i="8" s="1"/>
  <c r="BJ269" i="8"/>
  <c r="BK269" i="8"/>
  <c r="BL269" i="8"/>
  <c r="AY270" i="8"/>
  <c r="BB270" i="8"/>
  <c r="BC270" i="8"/>
  <c r="BG270" i="8" s="1"/>
  <c r="BA270" i="8" s="1"/>
  <c r="BF270" i="8"/>
  <c r="AX270" i="8" s="1"/>
  <c r="BH270" i="8"/>
  <c r="BI270" i="8" s="1"/>
  <c r="BJ270" i="8"/>
  <c r="BK270" i="8"/>
  <c r="BL270" i="8"/>
  <c r="AY271" i="8"/>
  <c r="BB271" i="8"/>
  <c r="BC271" i="8"/>
  <c r="BF271" i="8"/>
  <c r="BH271" i="8"/>
  <c r="BI271" i="8" s="1"/>
  <c r="BJ271" i="8"/>
  <c r="BK271" i="8"/>
  <c r="BL271" i="8"/>
  <c r="AY272" i="8"/>
  <c r="BB272" i="8"/>
  <c r="BC272" i="8"/>
  <c r="BG272" i="8" s="1"/>
  <c r="BA272" i="8" s="1"/>
  <c r="BF272" i="8"/>
  <c r="BM272" i="8" s="1"/>
  <c r="BH272" i="8"/>
  <c r="BI272" i="8" s="1"/>
  <c r="BJ272" i="8"/>
  <c r="BK272" i="8"/>
  <c r="BL272" i="8"/>
  <c r="AY273" i="8"/>
  <c r="BB273" i="8"/>
  <c r="BC273" i="8"/>
  <c r="BD273" i="8" s="1"/>
  <c r="BF273" i="8"/>
  <c r="AX273" i="8" s="1"/>
  <c r="BH273" i="8"/>
  <c r="BI273" i="8" s="1"/>
  <c r="BJ273" i="8"/>
  <c r="BK273" i="8"/>
  <c r="BL273" i="8"/>
  <c r="AY274" i="8"/>
  <c r="BB274" i="8"/>
  <c r="BC274" i="8"/>
  <c r="BF274" i="8"/>
  <c r="BH274" i="8"/>
  <c r="BI274" i="8"/>
  <c r="BJ274" i="8"/>
  <c r="BK274" i="8"/>
  <c r="BL274" i="8"/>
  <c r="AY275" i="8"/>
  <c r="BB275" i="8"/>
  <c r="BC275" i="8"/>
  <c r="BF275" i="8"/>
  <c r="AX275" i="8" s="1"/>
  <c r="BH275" i="8"/>
  <c r="BI275" i="8" s="1"/>
  <c r="BJ275" i="8"/>
  <c r="BK275" i="8"/>
  <c r="BL275" i="8"/>
  <c r="AY276" i="8"/>
  <c r="BB276" i="8"/>
  <c r="BC276" i="8"/>
  <c r="BG276" i="8" s="1"/>
  <c r="BA276" i="8" s="1"/>
  <c r="BF276" i="8"/>
  <c r="AX276" i="8" s="1"/>
  <c r="BH276" i="8"/>
  <c r="BI276" i="8" s="1"/>
  <c r="BJ276" i="8"/>
  <c r="BK276" i="8"/>
  <c r="BL276" i="8"/>
  <c r="AY277" i="8"/>
  <c r="BB277" i="8"/>
  <c r="BC277" i="8"/>
  <c r="BG277" i="8" s="1"/>
  <c r="BA277" i="8" s="1"/>
  <c r="BF277" i="8"/>
  <c r="BH277" i="8"/>
  <c r="BI277" i="8" s="1"/>
  <c r="BJ277" i="8"/>
  <c r="BK277" i="8"/>
  <c r="BL277" i="8"/>
  <c r="AY278" i="8"/>
  <c r="BB278" i="8"/>
  <c r="BC278" i="8"/>
  <c r="BG278" i="8" s="1"/>
  <c r="BA278" i="8" s="1"/>
  <c r="BF278" i="8"/>
  <c r="BM278" i="8" s="1"/>
  <c r="BH278" i="8"/>
  <c r="BI278" i="8" s="1"/>
  <c r="BJ278" i="8"/>
  <c r="BK278" i="8"/>
  <c r="BL278" i="8"/>
  <c r="BQ278" i="8" s="1"/>
  <c r="AY279" i="8"/>
  <c r="BB279" i="8"/>
  <c r="BC279" i="8"/>
  <c r="BG279" i="8" s="1"/>
  <c r="BA279" i="8" s="1"/>
  <c r="BF279" i="8"/>
  <c r="BM279" i="8" s="1"/>
  <c r="BH279" i="8"/>
  <c r="BI279" i="8" s="1"/>
  <c r="BJ279" i="8"/>
  <c r="BK279" i="8"/>
  <c r="BL279" i="8"/>
  <c r="AY280" i="8"/>
  <c r="BB280" i="8"/>
  <c r="BC280" i="8"/>
  <c r="BG280" i="8" s="1"/>
  <c r="BA280" i="8" s="1"/>
  <c r="BF280" i="8"/>
  <c r="AX280" i="8" s="1"/>
  <c r="BH280" i="8"/>
  <c r="BI280" i="8" s="1"/>
  <c r="BJ280" i="8"/>
  <c r="BK280" i="8"/>
  <c r="BL280" i="8"/>
  <c r="AY281" i="8"/>
  <c r="BB281" i="8"/>
  <c r="BC281" i="8"/>
  <c r="BD281" i="8" s="1"/>
  <c r="BF281" i="8"/>
  <c r="BM281" i="8" s="1"/>
  <c r="BH281" i="8"/>
  <c r="BI281" i="8" s="1"/>
  <c r="BJ281" i="8"/>
  <c r="BK281" i="8"/>
  <c r="BL281" i="8"/>
  <c r="AY282" i="8"/>
  <c r="BB282" i="8"/>
  <c r="BC282" i="8"/>
  <c r="BF282" i="8"/>
  <c r="AX282" i="8" s="1"/>
  <c r="BH282" i="8"/>
  <c r="BI282" i="8"/>
  <c r="BJ282" i="8"/>
  <c r="BK282" i="8"/>
  <c r="BL282" i="8"/>
  <c r="AY283" i="8"/>
  <c r="BB283" i="8"/>
  <c r="BC283" i="8"/>
  <c r="BF283" i="8"/>
  <c r="BM283" i="8" s="1"/>
  <c r="BH283" i="8"/>
  <c r="BI283" i="8" s="1"/>
  <c r="BJ283" i="8"/>
  <c r="BK283" i="8"/>
  <c r="BL283" i="8"/>
  <c r="AY284" i="8"/>
  <c r="BB284" i="8"/>
  <c r="BC284" i="8"/>
  <c r="BE284" i="8" s="1"/>
  <c r="BF284" i="8"/>
  <c r="AX284" i="8" s="1"/>
  <c r="BH284" i="8"/>
  <c r="BI284" i="8" s="1"/>
  <c r="BJ284" i="8"/>
  <c r="BK284" i="8"/>
  <c r="BL284" i="8"/>
  <c r="AY285" i="8"/>
  <c r="BB285" i="8"/>
  <c r="BC285" i="8"/>
  <c r="BG285" i="8" s="1"/>
  <c r="BA285" i="8" s="1"/>
  <c r="BF285" i="8"/>
  <c r="BM285" i="8" s="1"/>
  <c r="BH285" i="8"/>
  <c r="BI285" i="8" s="1"/>
  <c r="BJ285" i="8"/>
  <c r="BK285" i="8"/>
  <c r="BL285" i="8"/>
  <c r="AY286" i="8"/>
  <c r="BB286" i="8"/>
  <c r="BC286" i="8"/>
  <c r="BF286" i="8"/>
  <c r="AZ286" i="8" s="1"/>
  <c r="BH286" i="8"/>
  <c r="BI286" i="8" s="1"/>
  <c r="BJ286" i="8"/>
  <c r="BK286" i="8"/>
  <c r="BL286" i="8"/>
  <c r="AY287" i="8"/>
  <c r="BB287" i="8"/>
  <c r="BC287" i="8"/>
  <c r="BE287" i="8"/>
  <c r="BF287" i="8"/>
  <c r="BM287" i="8" s="1"/>
  <c r="BH287" i="8"/>
  <c r="BI287" i="8" s="1"/>
  <c r="BJ287" i="8"/>
  <c r="BK287" i="8"/>
  <c r="BL287" i="8"/>
  <c r="AY288" i="8"/>
  <c r="AZ288" i="8"/>
  <c r="BB288" i="8"/>
  <c r="BC288" i="8"/>
  <c r="BG288" i="8" s="1"/>
  <c r="BA288" i="8" s="1"/>
  <c r="BF288" i="8"/>
  <c r="BM288" i="8" s="1"/>
  <c r="BH288" i="8"/>
  <c r="BI288" i="8" s="1"/>
  <c r="BJ288" i="8"/>
  <c r="BK288" i="8"/>
  <c r="BL288" i="8"/>
  <c r="AY289" i="8"/>
  <c r="BB289" i="8"/>
  <c r="BC289" i="8"/>
  <c r="BD289" i="8" s="1"/>
  <c r="BF289" i="8"/>
  <c r="BM289" i="8" s="1"/>
  <c r="BH289" i="8"/>
  <c r="BI289" i="8" s="1"/>
  <c r="BJ289" i="8"/>
  <c r="BK289" i="8"/>
  <c r="BL289" i="8"/>
  <c r="AY290" i="8"/>
  <c r="BB290" i="8"/>
  <c r="BC290" i="8"/>
  <c r="BG290" i="8" s="1"/>
  <c r="BA290" i="8" s="1"/>
  <c r="BF290" i="8"/>
  <c r="BH290" i="8"/>
  <c r="BI290" i="8" s="1"/>
  <c r="BJ290" i="8"/>
  <c r="BK290" i="8"/>
  <c r="BL290" i="8"/>
  <c r="AY291" i="8"/>
  <c r="AZ291" i="8"/>
  <c r="BB291" i="8"/>
  <c r="BC291" i="8"/>
  <c r="BD291" i="8" s="1"/>
  <c r="BF291" i="8"/>
  <c r="BM291" i="8" s="1"/>
  <c r="BH291" i="8"/>
  <c r="BI291" i="8" s="1"/>
  <c r="BJ291" i="8"/>
  <c r="BK291" i="8"/>
  <c r="BL291" i="8"/>
  <c r="AY292" i="8"/>
  <c r="BB292" i="8"/>
  <c r="BC292" i="8"/>
  <c r="BG292" i="8" s="1"/>
  <c r="BA292" i="8" s="1"/>
  <c r="BE292" i="8"/>
  <c r="BF292" i="8"/>
  <c r="AX292" i="8" s="1"/>
  <c r="BH292" i="8"/>
  <c r="BI292" i="8" s="1"/>
  <c r="BJ292" i="8"/>
  <c r="BK292" i="8"/>
  <c r="BL292" i="8"/>
  <c r="AY293" i="8"/>
  <c r="BB293" i="8"/>
  <c r="BC293" i="8"/>
  <c r="BD293" i="8" s="1"/>
  <c r="BF293" i="8"/>
  <c r="BM293" i="8" s="1"/>
  <c r="BH293" i="8"/>
  <c r="BI293" i="8" s="1"/>
  <c r="BJ293" i="8"/>
  <c r="BK293" i="8"/>
  <c r="BL293" i="8"/>
  <c r="AY294" i="8"/>
  <c r="BA294" i="8"/>
  <c r="BB294" i="8"/>
  <c r="BC294" i="8"/>
  <c r="BG294" i="8" s="1"/>
  <c r="BF294" i="8"/>
  <c r="AZ294" i="8" s="1"/>
  <c r="BH294" i="8"/>
  <c r="BI294" i="8" s="1"/>
  <c r="BJ294" i="8"/>
  <c r="BK294" i="8"/>
  <c r="BL294" i="8"/>
  <c r="AY295" i="8"/>
  <c r="BB295" i="8"/>
  <c r="BC295" i="8"/>
  <c r="BD295" i="8" s="1"/>
  <c r="BF295" i="8"/>
  <c r="BH295" i="8"/>
  <c r="BI295" i="8" s="1"/>
  <c r="BJ295" i="8"/>
  <c r="BK295" i="8"/>
  <c r="BL295" i="8"/>
  <c r="AY296" i="8"/>
  <c r="BB296" i="8"/>
  <c r="BC296" i="8"/>
  <c r="BG296" i="8" s="1"/>
  <c r="BA296" i="8" s="1"/>
  <c r="BF296" i="8"/>
  <c r="BM296" i="8" s="1"/>
  <c r="BH296" i="8"/>
  <c r="BI296" i="8" s="1"/>
  <c r="BJ296" i="8"/>
  <c r="BK296" i="8"/>
  <c r="BL296" i="8"/>
  <c r="AY297" i="8"/>
  <c r="BB297" i="8"/>
  <c r="BC297" i="8"/>
  <c r="BD297" i="8" s="1"/>
  <c r="BF297" i="8"/>
  <c r="BM297" i="8" s="1"/>
  <c r="BH297" i="8"/>
  <c r="BI297" i="8" s="1"/>
  <c r="BJ297" i="8"/>
  <c r="BK297" i="8"/>
  <c r="BL297" i="8"/>
  <c r="AY298" i="8"/>
  <c r="BB298" i="8"/>
  <c r="BC298" i="8"/>
  <c r="BG298" i="8" s="1"/>
  <c r="BA298" i="8" s="1"/>
  <c r="BF298" i="8"/>
  <c r="AX298" i="8" s="1"/>
  <c r="BH298" i="8"/>
  <c r="BI298" i="8" s="1"/>
  <c r="BJ298" i="8"/>
  <c r="BK298" i="8"/>
  <c r="BL298" i="8"/>
  <c r="AY299" i="8"/>
  <c r="BB299" i="8"/>
  <c r="BC299" i="8"/>
  <c r="BD299" i="8" s="1"/>
  <c r="BF299" i="8"/>
  <c r="BM299" i="8" s="1"/>
  <c r="BH299" i="8"/>
  <c r="BI299" i="8" s="1"/>
  <c r="BJ299" i="8"/>
  <c r="BK299" i="8"/>
  <c r="BL299" i="8"/>
  <c r="AY300" i="8"/>
  <c r="BB300" i="8"/>
  <c r="BC300" i="8"/>
  <c r="BG300" i="8" s="1"/>
  <c r="BA300" i="8" s="1"/>
  <c r="BF300" i="8"/>
  <c r="BH300" i="8"/>
  <c r="BI300" i="8" s="1"/>
  <c r="BJ300" i="8"/>
  <c r="BK300" i="8"/>
  <c r="BL300" i="8"/>
  <c r="AY301" i="8"/>
  <c r="BB301" i="8"/>
  <c r="BC301" i="8"/>
  <c r="BD301" i="8" s="1"/>
  <c r="BF301" i="8"/>
  <c r="BM301" i="8" s="1"/>
  <c r="BH301" i="8"/>
  <c r="BI301" i="8" s="1"/>
  <c r="BJ301" i="8"/>
  <c r="BK301" i="8"/>
  <c r="BL301" i="8"/>
  <c r="AX302" i="8"/>
  <c r="AY302" i="8"/>
  <c r="BB302" i="8"/>
  <c r="BC302" i="8"/>
  <c r="BG302" i="8" s="1"/>
  <c r="BA302" i="8" s="1"/>
  <c r="BF302" i="8"/>
  <c r="BM302" i="8" s="1"/>
  <c r="BH302" i="8"/>
  <c r="BI302" i="8" s="1"/>
  <c r="BJ302" i="8"/>
  <c r="BK302" i="8"/>
  <c r="BL302" i="8"/>
  <c r="BQ302" i="8" s="1"/>
  <c r="AY303" i="8"/>
  <c r="BB303" i="8"/>
  <c r="BC303" i="8"/>
  <c r="BD303" i="8" s="1"/>
  <c r="BF303" i="8"/>
  <c r="BH303" i="8"/>
  <c r="BI303" i="8" s="1"/>
  <c r="BJ303" i="8"/>
  <c r="BK303" i="8"/>
  <c r="BL303" i="8"/>
  <c r="AY304" i="8"/>
  <c r="BB304" i="8"/>
  <c r="BC304" i="8"/>
  <c r="BG304" i="8" s="1"/>
  <c r="BA304" i="8" s="1"/>
  <c r="BF304" i="8"/>
  <c r="BM304" i="8" s="1"/>
  <c r="BH304" i="8"/>
  <c r="BI304" i="8" s="1"/>
  <c r="BJ304" i="8"/>
  <c r="BK304" i="8"/>
  <c r="BL304" i="8"/>
  <c r="BQ304" i="8" s="1"/>
  <c r="AY305" i="8"/>
  <c r="BB305" i="8"/>
  <c r="BC305" i="8"/>
  <c r="BD305" i="8" s="1"/>
  <c r="BF305" i="8"/>
  <c r="BM305" i="8" s="1"/>
  <c r="BH305" i="8"/>
  <c r="BI305" i="8" s="1"/>
  <c r="BJ305" i="8"/>
  <c r="BK305" i="8"/>
  <c r="BL305" i="8"/>
  <c r="AY306" i="8"/>
  <c r="BB306" i="8"/>
  <c r="BC306" i="8"/>
  <c r="BG306" i="8" s="1"/>
  <c r="BA306" i="8" s="1"/>
  <c r="BD306" i="8"/>
  <c r="BF306" i="8"/>
  <c r="AX306" i="8" s="1"/>
  <c r="BH306" i="8"/>
  <c r="BI306" i="8" s="1"/>
  <c r="BJ306" i="8"/>
  <c r="BK306" i="8"/>
  <c r="BL306" i="8"/>
  <c r="AY307" i="8"/>
  <c r="BB307" i="8"/>
  <c r="BC307" i="8"/>
  <c r="BD307" i="8" s="1"/>
  <c r="BF307" i="8"/>
  <c r="AX307" i="8" s="1"/>
  <c r="BH307" i="8"/>
  <c r="BI307" i="8" s="1"/>
  <c r="BJ307" i="8"/>
  <c r="BK307" i="8"/>
  <c r="BL307" i="8"/>
  <c r="AY308" i="8"/>
  <c r="BB308" i="8"/>
  <c r="BC308" i="8"/>
  <c r="BG308" i="8" s="1"/>
  <c r="BA308" i="8" s="1"/>
  <c r="BD308" i="8"/>
  <c r="BE308" i="8"/>
  <c r="BF308" i="8"/>
  <c r="BH308" i="8"/>
  <c r="BI308" i="8" s="1"/>
  <c r="BJ308" i="8"/>
  <c r="BK308" i="8"/>
  <c r="BL308" i="8"/>
  <c r="AY309" i="8"/>
  <c r="BB309" i="8"/>
  <c r="BC309" i="8"/>
  <c r="BD309" i="8" s="1"/>
  <c r="BF309" i="8"/>
  <c r="AZ309" i="8" s="1"/>
  <c r="BH309" i="8"/>
  <c r="BI309" i="8" s="1"/>
  <c r="BJ309" i="8"/>
  <c r="BK309" i="8"/>
  <c r="BL309" i="8"/>
  <c r="AY310" i="8"/>
  <c r="BB310" i="8"/>
  <c r="BC310" i="8"/>
  <c r="BD310" i="8" s="1"/>
  <c r="BF310" i="8"/>
  <c r="AX310" i="8" s="1"/>
  <c r="BH310" i="8"/>
  <c r="BI310" i="8" s="1"/>
  <c r="BJ310" i="8"/>
  <c r="BK310" i="8"/>
  <c r="BL310" i="8"/>
  <c r="AY311" i="8"/>
  <c r="BB311" i="8"/>
  <c r="BC311" i="8"/>
  <c r="BD311" i="8" s="1"/>
  <c r="BF311" i="8"/>
  <c r="AX311" i="8" s="1"/>
  <c r="BH311" i="8"/>
  <c r="BI311" i="8" s="1"/>
  <c r="BJ311" i="8"/>
  <c r="BK311" i="8"/>
  <c r="BL311" i="8"/>
  <c r="AY312" i="8"/>
  <c r="BB312" i="8"/>
  <c r="BC312" i="8"/>
  <c r="BF312" i="8"/>
  <c r="BM312" i="8" s="1"/>
  <c r="BH312" i="8"/>
  <c r="BI312" i="8" s="1"/>
  <c r="BJ312" i="8"/>
  <c r="BK312" i="8"/>
  <c r="BL312" i="8"/>
  <c r="AY313" i="8"/>
  <c r="BB313" i="8"/>
  <c r="BC313" i="8"/>
  <c r="BD313" i="8" s="1"/>
  <c r="BF313" i="8"/>
  <c r="BM313" i="8" s="1"/>
  <c r="BH313" i="8"/>
  <c r="BI313" i="8" s="1"/>
  <c r="BJ313" i="8"/>
  <c r="BK313" i="8"/>
  <c r="BL313" i="8"/>
  <c r="AY314" i="8"/>
  <c r="AZ314" i="8"/>
  <c r="BB314" i="8"/>
  <c r="BC314" i="8"/>
  <c r="BG314" i="8" s="1"/>
  <c r="BA314" i="8" s="1"/>
  <c r="BF314" i="8"/>
  <c r="BM314" i="8" s="1"/>
  <c r="BH314" i="8"/>
  <c r="BI314" i="8" s="1"/>
  <c r="BJ314" i="8"/>
  <c r="BK314" i="8"/>
  <c r="BL314" i="8"/>
  <c r="AY315" i="8"/>
  <c r="BB315" i="8"/>
  <c r="BC315" i="8"/>
  <c r="BD315" i="8" s="1"/>
  <c r="BF315" i="8"/>
  <c r="BM315" i="8" s="1"/>
  <c r="BH315" i="8"/>
  <c r="BI315" i="8" s="1"/>
  <c r="BJ315" i="8"/>
  <c r="BK315" i="8"/>
  <c r="BL315" i="8"/>
  <c r="AY316" i="8"/>
  <c r="BB316" i="8"/>
  <c r="BC316" i="8"/>
  <c r="BG316" i="8" s="1"/>
  <c r="BA316" i="8" s="1"/>
  <c r="BF316" i="8"/>
  <c r="BM316" i="8" s="1"/>
  <c r="BH316" i="8"/>
  <c r="BI316" i="8" s="1"/>
  <c r="BJ316" i="8"/>
  <c r="BK316" i="8"/>
  <c r="BL316" i="8"/>
  <c r="AY317" i="8"/>
  <c r="BB317" i="8"/>
  <c r="BC317" i="8"/>
  <c r="BD317" i="8" s="1"/>
  <c r="BF317" i="8"/>
  <c r="BH317" i="8"/>
  <c r="BI317" i="8" s="1"/>
  <c r="BJ317" i="8"/>
  <c r="BK317" i="8"/>
  <c r="BL317" i="8"/>
  <c r="AY318" i="8"/>
  <c r="BB318" i="8"/>
  <c r="BC318" i="8"/>
  <c r="BG318" i="8" s="1"/>
  <c r="BA318" i="8" s="1"/>
  <c r="BF318" i="8"/>
  <c r="BM318" i="8" s="1"/>
  <c r="BH318" i="8"/>
  <c r="BI318" i="8" s="1"/>
  <c r="BJ318" i="8"/>
  <c r="BK318" i="8"/>
  <c r="BL318" i="8"/>
  <c r="AY319" i="8"/>
  <c r="BB319" i="8"/>
  <c r="BC319" i="8"/>
  <c r="BD319" i="8" s="1"/>
  <c r="BF319" i="8"/>
  <c r="BM319" i="8" s="1"/>
  <c r="BH319" i="8"/>
  <c r="BI319" i="8" s="1"/>
  <c r="BJ319" i="8"/>
  <c r="BK319" i="8"/>
  <c r="BL319" i="8"/>
  <c r="AY320" i="8"/>
  <c r="BB320" i="8"/>
  <c r="BC320" i="8"/>
  <c r="BG320" i="8" s="1"/>
  <c r="BA320" i="8" s="1"/>
  <c r="BF320" i="8"/>
  <c r="BM320" i="8" s="1"/>
  <c r="BH320" i="8"/>
  <c r="BI320" i="8" s="1"/>
  <c r="BJ320" i="8"/>
  <c r="BK320" i="8"/>
  <c r="BL320" i="8"/>
  <c r="AY321" i="8"/>
  <c r="BB321" i="8"/>
  <c r="BC321" i="8"/>
  <c r="BD321" i="8" s="1"/>
  <c r="BF321" i="8"/>
  <c r="AX321" i="8" s="1"/>
  <c r="BH321" i="8"/>
  <c r="BI321" i="8" s="1"/>
  <c r="BJ321" i="8"/>
  <c r="BK321" i="8"/>
  <c r="BL321" i="8"/>
  <c r="AY322" i="8"/>
  <c r="BB322" i="8"/>
  <c r="BC322" i="8"/>
  <c r="BF322" i="8"/>
  <c r="BM322" i="8" s="1"/>
  <c r="BH322" i="8"/>
  <c r="BI322" i="8" s="1"/>
  <c r="BJ322" i="8"/>
  <c r="BK322" i="8"/>
  <c r="BL322" i="8"/>
  <c r="AY323" i="8"/>
  <c r="BB323" i="8"/>
  <c r="BC323" i="8"/>
  <c r="BD323" i="8" s="1"/>
  <c r="BF323" i="8"/>
  <c r="AX323" i="8" s="1"/>
  <c r="BH323" i="8"/>
  <c r="BI323" i="8" s="1"/>
  <c r="BJ323" i="8"/>
  <c r="BK323" i="8"/>
  <c r="BL323" i="8"/>
  <c r="BM323" i="8"/>
  <c r="AY324" i="8"/>
  <c r="BB324" i="8"/>
  <c r="BC324" i="8"/>
  <c r="BG324" i="8" s="1"/>
  <c r="BA324" i="8" s="1"/>
  <c r="BF324" i="8"/>
  <c r="BM324" i="8" s="1"/>
  <c r="BH324" i="8"/>
  <c r="BI324" i="8" s="1"/>
  <c r="BJ324" i="8"/>
  <c r="BK324" i="8"/>
  <c r="BL324" i="8"/>
  <c r="AY325" i="8"/>
  <c r="BB325" i="8"/>
  <c r="BC325" i="8"/>
  <c r="BD325" i="8" s="1"/>
  <c r="BF325" i="8"/>
  <c r="AX325" i="8" s="1"/>
  <c r="BH325" i="8"/>
  <c r="BI325" i="8" s="1"/>
  <c r="BJ325" i="8"/>
  <c r="BK325" i="8"/>
  <c r="BL325" i="8"/>
  <c r="AY326" i="8"/>
  <c r="BB326" i="8"/>
  <c r="BC326" i="8"/>
  <c r="BG326" i="8" s="1"/>
  <c r="BA326" i="8" s="1"/>
  <c r="BF326" i="8"/>
  <c r="BM326" i="8" s="1"/>
  <c r="BH326" i="8"/>
  <c r="BI326" i="8"/>
  <c r="BJ326" i="8"/>
  <c r="BK326" i="8"/>
  <c r="BL326" i="8"/>
  <c r="AY327" i="8"/>
  <c r="BB327" i="8"/>
  <c r="BC327" i="8"/>
  <c r="BD327" i="8" s="1"/>
  <c r="BF327" i="8"/>
  <c r="AX327" i="8" s="1"/>
  <c r="BH327" i="8"/>
  <c r="BI327" i="8"/>
  <c r="BJ327" i="8"/>
  <c r="BK327" i="8"/>
  <c r="BL327" i="8"/>
  <c r="BQ327" i="8" s="1"/>
  <c r="AY328" i="8"/>
  <c r="BB328" i="8"/>
  <c r="BC328" i="8"/>
  <c r="BF328" i="8"/>
  <c r="BM328" i="8" s="1"/>
  <c r="BH328" i="8"/>
  <c r="BI328" i="8" s="1"/>
  <c r="BJ328" i="8"/>
  <c r="BK328" i="8"/>
  <c r="BL328" i="8"/>
  <c r="AY329" i="8"/>
  <c r="BB329" i="8"/>
  <c r="BC329" i="8"/>
  <c r="BD329" i="8" s="1"/>
  <c r="BF329" i="8"/>
  <c r="AX329" i="8" s="1"/>
  <c r="BH329" i="8"/>
  <c r="BI329" i="8"/>
  <c r="BJ329" i="8"/>
  <c r="BK329" i="8"/>
  <c r="BL329" i="8"/>
  <c r="AY330" i="8"/>
  <c r="BB330" i="8"/>
  <c r="BC330" i="8"/>
  <c r="BG330" i="8" s="1"/>
  <c r="BA330" i="8" s="1"/>
  <c r="BF330" i="8"/>
  <c r="BM330" i="8" s="1"/>
  <c r="BH330" i="8"/>
  <c r="BI330" i="8" s="1"/>
  <c r="BJ330" i="8"/>
  <c r="BK330" i="8"/>
  <c r="BL330" i="8"/>
  <c r="AY331" i="8"/>
  <c r="BB331" i="8"/>
  <c r="BC331" i="8"/>
  <c r="BD331" i="8" s="1"/>
  <c r="BF331" i="8"/>
  <c r="AX331" i="8" s="1"/>
  <c r="BH331" i="8"/>
  <c r="BI331" i="8" s="1"/>
  <c r="BJ331" i="8"/>
  <c r="BK331" i="8"/>
  <c r="BL331" i="8"/>
  <c r="BM331" i="8"/>
  <c r="AY332" i="8"/>
  <c r="BB332" i="8"/>
  <c r="BC332" i="8"/>
  <c r="BG332" i="8" s="1"/>
  <c r="BA332" i="8" s="1"/>
  <c r="BF332" i="8"/>
  <c r="BM332" i="8" s="1"/>
  <c r="BH332" i="8"/>
  <c r="BI332" i="8" s="1"/>
  <c r="BJ332" i="8"/>
  <c r="BK332" i="8"/>
  <c r="BL332" i="8"/>
  <c r="BQ332" i="8" s="1"/>
  <c r="AY333" i="8"/>
  <c r="BB333" i="8"/>
  <c r="BC333" i="8"/>
  <c r="BD333" i="8" s="1"/>
  <c r="BF333" i="8"/>
  <c r="AX333" i="8" s="1"/>
  <c r="BH333" i="8"/>
  <c r="BI333" i="8" s="1"/>
  <c r="BJ333" i="8"/>
  <c r="BK333" i="8"/>
  <c r="BL333" i="8"/>
  <c r="AY334" i="8"/>
  <c r="BB334" i="8"/>
  <c r="BC334" i="8"/>
  <c r="BF334" i="8"/>
  <c r="BM334" i="8" s="1"/>
  <c r="BH334" i="8"/>
  <c r="BI334" i="8" s="1"/>
  <c r="BJ334" i="8"/>
  <c r="BK334" i="8"/>
  <c r="BL334" i="8"/>
  <c r="AY335" i="8"/>
  <c r="BB335" i="8"/>
  <c r="BC335" i="8"/>
  <c r="BE335" i="8" s="1"/>
  <c r="BF335" i="8"/>
  <c r="AX335" i="8" s="1"/>
  <c r="BH335" i="8"/>
  <c r="BI335" i="8" s="1"/>
  <c r="BJ335" i="8"/>
  <c r="BK335" i="8"/>
  <c r="BL335" i="8"/>
  <c r="AY336" i="8"/>
  <c r="BB336" i="8"/>
  <c r="BC336" i="8"/>
  <c r="BG336" i="8" s="1"/>
  <c r="BA336" i="8" s="1"/>
  <c r="BF336" i="8"/>
  <c r="BM336" i="8" s="1"/>
  <c r="BH336" i="8"/>
  <c r="BI336" i="8" s="1"/>
  <c r="BJ336" i="8"/>
  <c r="BK336" i="8"/>
  <c r="BL336" i="8"/>
  <c r="AY337" i="8"/>
  <c r="BB337" i="8"/>
  <c r="BC337" i="8"/>
  <c r="BE337" i="8" s="1"/>
  <c r="BF337" i="8"/>
  <c r="AX337" i="8" s="1"/>
  <c r="BH337" i="8"/>
  <c r="BI337" i="8" s="1"/>
  <c r="BJ337" i="8"/>
  <c r="BK337" i="8"/>
  <c r="BL337" i="8"/>
  <c r="AY338" i="8"/>
  <c r="BB338" i="8"/>
  <c r="BC338" i="8"/>
  <c r="BG338" i="8" s="1"/>
  <c r="BA338" i="8" s="1"/>
  <c r="BF338" i="8"/>
  <c r="AZ338" i="8" s="1"/>
  <c r="BH338" i="8"/>
  <c r="BI338" i="8" s="1"/>
  <c r="BJ338" i="8"/>
  <c r="BK338" i="8"/>
  <c r="BL338" i="8"/>
  <c r="AY339" i="8"/>
  <c r="BB339" i="8"/>
  <c r="BC339" i="8"/>
  <c r="BE339" i="8" s="1"/>
  <c r="BF339" i="8"/>
  <c r="AX339" i="8" s="1"/>
  <c r="BH339" i="8"/>
  <c r="BI339" i="8" s="1"/>
  <c r="BJ339" i="8"/>
  <c r="BK339" i="8"/>
  <c r="BL339" i="8"/>
  <c r="AY340" i="8"/>
  <c r="BB340" i="8"/>
  <c r="BC340" i="8"/>
  <c r="BG340" i="8" s="1"/>
  <c r="BA340" i="8" s="1"/>
  <c r="BF340" i="8"/>
  <c r="BH340" i="8"/>
  <c r="BI340" i="8" s="1"/>
  <c r="BJ340" i="8"/>
  <c r="BK340" i="8"/>
  <c r="BL340" i="8"/>
  <c r="AY341" i="8"/>
  <c r="BB341" i="8"/>
  <c r="BC341" i="8"/>
  <c r="BE341" i="8" s="1"/>
  <c r="BF341" i="8"/>
  <c r="AX341" i="8" s="1"/>
  <c r="BH341" i="8"/>
  <c r="BI341" i="8" s="1"/>
  <c r="BJ341" i="8"/>
  <c r="BK341" i="8"/>
  <c r="BL341" i="8"/>
  <c r="AY342" i="8"/>
  <c r="BB342" i="8"/>
  <c r="BC342" i="8"/>
  <c r="BG342" i="8" s="1"/>
  <c r="BA342" i="8" s="1"/>
  <c r="BF342" i="8"/>
  <c r="AX342" i="8" s="1"/>
  <c r="BH342" i="8"/>
  <c r="BI342" i="8" s="1"/>
  <c r="BJ342" i="8"/>
  <c r="BK342" i="8"/>
  <c r="BL342" i="8"/>
  <c r="AY343" i="8"/>
  <c r="BB343" i="8"/>
  <c r="BC343" i="8"/>
  <c r="BE343" i="8" s="1"/>
  <c r="BF343" i="8"/>
  <c r="AX343" i="8" s="1"/>
  <c r="BH343" i="8"/>
  <c r="BI343" i="8" s="1"/>
  <c r="BJ343" i="8"/>
  <c r="BK343" i="8"/>
  <c r="BL343" i="8"/>
  <c r="AY344" i="8"/>
  <c r="BB344" i="8"/>
  <c r="BC344" i="8"/>
  <c r="BG344" i="8" s="1"/>
  <c r="BA344" i="8" s="1"/>
  <c r="BF344" i="8"/>
  <c r="AX344" i="8" s="1"/>
  <c r="BH344" i="8"/>
  <c r="BI344" i="8" s="1"/>
  <c r="BJ344" i="8"/>
  <c r="BK344" i="8"/>
  <c r="BL344" i="8"/>
  <c r="AY345" i="8"/>
  <c r="BB345" i="8"/>
  <c r="BC345" i="8"/>
  <c r="BE345" i="8" s="1"/>
  <c r="BF345" i="8"/>
  <c r="AX345" i="8" s="1"/>
  <c r="BH345" i="8"/>
  <c r="BI345" i="8" s="1"/>
  <c r="BJ345" i="8"/>
  <c r="BK345" i="8"/>
  <c r="BL345" i="8"/>
  <c r="AY346" i="8"/>
  <c r="BB346" i="8"/>
  <c r="BC346" i="8"/>
  <c r="BG346" i="8" s="1"/>
  <c r="BA346" i="8" s="1"/>
  <c r="BF346" i="8"/>
  <c r="AZ346" i="8" s="1"/>
  <c r="BH346" i="8"/>
  <c r="BI346" i="8" s="1"/>
  <c r="BJ346" i="8"/>
  <c r="BK346" i="8"/>
  <c r="BL346" i="8"/>
  <c r="AY347" i="8"/>
  <c r="BB347" i="8"/>
  <c r="BC347" i="8"/>
  <c r="BE347" i="8" s="1"/>
  <c r="BF347" i="8"/>
  <c r="AX347" i="8" s="1"/>
  <c r="BH347" i="8"/>
  <c r="BI347" i="8"/>
  <c r="BJ347" i="8"/>
  <c r="BK347" i="8"/>
  <c r="BL347" i="8"/>
  <c r="AY348" i="8"/>
  <c r="BB348" i="8"/>
  <c r="BC348" i="8"/>
  <c r="BF348" i="8"/>
  <c r="AZ348" i="8" s="1"/>
  <c r="BH348" i="8"/>
  <c r="BI348" i="8" s="1"/>
  <c r="BJ348" i="8"/>
  <c r="BK348" i="8"/>
  <c r="BL348" i="8"/>
  <c r="AY349" i="8"/>
  <c r="BB349" i="8"/>
  <c r="BC349" i="8"/>
  <c r="BE349" i="8" s="1"/>
  <c r="BF349" i="8"/>
  <c r="AX349" i="8" s="1"/>
  <c r="BH349" i="8"/>
  <c r="BI349" i="8" s="1"/>
  <c r="BJ349" i="8"/>
  <c r="BK349" i="8"/>
  <c r="BL349" i="8"/>
  <c r="AY350" i="8"/>
  <c r="BB350" i="8"/>
  <c r="BC350" i="8"/>
  <c r="BG350" i="8" s="1"/>
  <c r="BA350" i="8" s="1"/>
  <c r="BF350" i="8"/>
  <c r="AX350" i="8" s="1"/>
  <c r="BH350" i="8"/>
  <c r="BI350" i="8" s="1"/>
  <c r="BJ350" i="8"/>
  <c r="BK350" i="8"/>
  <c r="BL350" i="8"/>
  <c r="BQ350" i="8" s="1"/>
  <c r="AY351" i="8"/>
  <c r="BB351" i="8"/>
  <c r="BC351" i="8"/>
  <c r="BE351" i="8" s="1"/>
  <c r="BF351" i="8"/>
  <c r="AX351" i="8" s="1"/>
  <c r="BH351" i="8"/>
  <c r="BI351" i="8" s="1"/>
  <c r="BJ351" i="8"/>
  <c r="BK351" i="8"/>
  <c r="BL351" i="8"/>
  <c r="BQ244" i="8" l="1"/>
  <c r="AZ270" i="8"/>
  <c r="AZ133" i="8"/>
  <c r="BQ64" i="8"/>
  <c r="BQ5" i="8"/>
  <c r="BQ255" i="8"/>
  <c r="BQ248" i="8"/>
  <c r="BQ212" i="8"/>
  <c r="BD169" i="8"/>
  <c r="BM125" i="8"/>
  <c r="AX106" i="8"/>
  <c r="BQ2" i="8"/>
  <c r="BQ328" i="8"/>
  <c r="BM309" i="8"/>
  <c r="AZ280" i="8"/>
  <c r="AX224" i="8"/>
  <c r="BQ28" i="8"/>
  <c r="BQ25" i="8"/>
  <c r="BQ220" i="8"/>
  <c r="AZ204" i="8"/>
  <c r="BD201" i="8"/>
  <c r="AX137" i="8"/>
  <c r="AZ127" i="8"/>
  <c r="AZ123" i="8"/>
  <c r="AX82" i="8"/>
  <c r="BQ136" i="8"/>
  <c r="BG61" i="8"/>
  <c r="BA61" i="8" s="1"/>
  <c r="BQ22" i="8"/>
  <c r="BQ316" i="8"/>
  <c r="AZ251" i="8"/>
  <c r="AX211" i="8"/>
  <c r="BQ181" i="8"/>
  <c r="BQ133" i="8"/>
  <c r="BQ122" i="8"/>
  <c r="BQ52" i="8"/>
  <c r="BQ279" i="8"/>
  <c r="BD347" i="8"/>
  <c r="BM345" i="8"/>
  <c r="AX291" i="8"/>
  <c r="BM280" i="8"/>
  <c r="BG239" i="8"/>
  <c r="BA239" i="8" s="1"/>
  <c r="AZ195" i="8"/>
  <c r="BQ178" i="8"/>
  <c r="BQ130" i="8"/>
  <c r="BQ46" i="8"/>
  <c r="AZ331" i="8"/>
  <c r="BQ326" i="8"/>
  <c r="BQ280" i="8"/>
  <c r="BQ250" i="8"/>
  <c r="BQ207" i="8"/>
  <c r="BQ169" i="8"/>
  <c r="BQ159" i="8"/>
  <c r="BQ152" i="8"/>
  <c r="BM123" i="8"/>
  <c r="BQ97" i="8"/>
  <c r="BD65" i="8"/>
  <c r="BQ13" i="8"/>
  <c r="BQ10" i="8"/>
  <c r="BQ218" i="8"/>
  <c r="BQ214" i="8"/>
  <c r="BQ110" i="8"/>
  <c r="BQ63" i="8"/>
  <c r="BQ56" i="8"/>
  <c r="BQ4" i="8"/>
  <c r="BQ308" i="8"/>
  <c r="AZ345" i="8"/>
  <c r="BQ289" i="8"/>
  <c r="BQ229" i="8"/>
  <c r="BQ184" i="8"/>
  <c r="BE179" i="8"/>
  <c r="BM177" i="8"/>
  <c r="BQ170" i="8"/>
  <c r="AX164" i="8"/>
  <c r="BE161" i="8"/>
  <c r="BM133" i="8"/>
  <c r="AZ105" i="8"/>
  <c r="AX91" i="8"/>
  <c r="BQ80" i="8"/>
  <c r="BQ70" i="8"/>
  <c r="BM344" i="8"/>
  <c r="BQ301" i="8"/>
  <c r="BD292" i="8"/>
  <c r="AV292" i="8" s="1"/>
  <c r="BD278" i="8"/>
  <c r="AX263" i="8"/>
  <c r="AZ259" i="8"/>
  <c r="BD253" i="8"/>
  <c r="BE246" i="8"/>
  <c r="AW246" i="8" s="1"/>
  <c r="AZ245" i="8"/>
  <c r="BQ243" i="8"/>
  <c r="AZ205" i="8"/>
  <c r="BQ202" i="8"/>
  <c r="BQ188" i="8"/>
  <c r="AZ186" i="8"/>
  <c r="BE169" i="8"/>
  <c r="BQ146" i="8"/>
  <c r="BQ104" i="8"/>
  <c r="BM98" i="8"/>
  <c r="BQ94" i="8"/>
  <c r="BQ87" i="8"/>
  <c r="AZ65" i="8"/>
  <c r="BQ32" i="8"/>
  <c r="AZ13" i="8"/>
  <c r="BE300" i="8"/>
  <c r="BQ195" i="8"/>
  <c r="BQ111" i="8"/>
  <c r="BQ39" i="8"/>
  <c r="BQ15" i="8"/>
  <c r="BQ17" i="8"/>
  <c r="BQ29" i="8"/>
  <c r="BQ41" i="8"/>
  <c r="BQ53" i="8"/>
  <c r="BQ65" i="8"/>
  <c r="BQ77" i="8"/>
  <c r="BQ89" i="8"/>
  <c r="BQ101" i="8"/>
  <c r="BQ125" i="8"/>
  <c r="BQ149" i="8"/>
  <c r="BQ161" i="8"/>
  <c r="BQ173" i="8"/>
  <c r="BQ185" i="8"/>
  <c r="BQ197" i="8"/>
  <c r="BQ245" i="8"/>
  <c r="BQ171" i="8"/>
  <c r="AW155" i="8"/>
  <c r="BQ6" i="8"/>
  <c r="BQ18" i="8"/>
  <c r="BQ30" i="8"/>
  <c r="BQ42" i="8"/>
  <c r="BQ54" i="8"/>
  <c r="BQ66" i="8"/>
  <c r="BQ78" i="8"/>
  <c r="BQ102" i="8"/>
  <c r="BQ114" i="8"/>
  <c r="BQ138" i="8"/>
  <c r="BQ162" i="8"/>
  <c r="BQ174" i="8"/>
  <c r="AX318" i="8"/>
  <c r="AX89" i="8"/>
  <c r="BQ7" i="8"/>
  <c r="BQ19" i="8"/>
  <c r="BQ31" i="8"/>
  <c r="BQ43" i="8"/>
  <c r="BQ55" i="8"/>
  <c r="BQ67" i="8"/>
  <c r="BQ79" i="8"/>
  <c r="BQ91" i="8"/>
  <c r="BQ115" i="8"/>
  <c r="BQ127" i="8"/>
  <c r="BQ139" i="8"/>
  <c r="BQ151" i="8"/>
  <c r="BQ163" i="8"/>
  <c r="AZ351" i="8"/>
  <c r="BD294" i="8"/>
  <c r="BQ291" i="8"/>
  <c r="BQ277" i="8"/>
  <c r="BQ224" i="8"/>
  <c r="BQ196" i="8"/>
  <c r="BD181" i="8"/>
  <c r="BM161" i="8"/>
  <c r="BQ147" i="8"/>
  <c r="BQ99" i="8"/>
  <c r="BQ92" i="8"/>
  <c r="BG91" i="8"/>
  <c r="BA91" i="8" s="1"/>
  <c r="BQ88" i="8"/>
  <c r="BQ75" i="8"/>
  <c r="BQ16" i="8"/>
  <c r="BQ325" i="8"/>
  <c r="BQ303" i="8"/>
  <c r="BQ267" i="8"/>
  <c r="BQ217" i="8"/>
  <c r="BM213" i="8"/>
  <c r="BQ154" i="8"/>
  <c r="AX128" i="8"/>
  <c r="BQ112" i="8"/>
  <c r="BQ109" i="8"/>
  <c r="BQ106" i="8"/>
  <c r="BQ85" i="8"/>
  <c r="BQ82" i="8"/>
  <c r="AZ77" i="8"/>
  <c r="BQ51" i="8"/>
  <c r="BQ44" i="8"/>
  <c r="BQ3" i="8"/>
  <c r="BQ9" i="8"/>
  <c r="BQ21" i="8"/>
  <c r="BQ33" i="8"/>
  <c r="BQ45" i="8"/>
  <c r="BQ57" i="8"/>
  <c r="BQ69" i="8"/>
  <c r="BQ81" i="8"/>
  <c r="BQ93" i="8"/>
  <c r="BQ105" i="8"/>
  <c r="BQ117" i="8"/>
  <c r="BQ129" i="8"/>
  <c r="BQ141" i="8"/>
  <c r="BQ165" i="8"/>
  <c r="BQ177" i="8"/>
  <c r="BQ213" i="8"/>
  <c r="BQ225" i="8"/>
  <c r="BQ237" i="8"/>
  <c r="BG349" i="8"/>
  <c r="BA349" i="8" s="1"/>
  <c r="AX334" i="8"/>
  <c r="BM321" i="8"/>
  <c r="BQ314" i="8"/>
  <c r="BQ292" i="8"/>
  <c r="AZ269" i="8"/>
  <c r="BQ256" i="8"/>
  <c r="BQ253" i="8"/>
  <c r="AZ219" i="8"/>
  <c r="BE203" i="8"/>
  <c r="BQ200" i="8"/>
  <c r="BM197" i="8"/>
  <c r="BQ193" i="8"/>
  <c r="BG192" i="8"/>
  <c r="BA192" i="8" s="1"/>
  <c r="AZ177" i="8"/>
  <c r="BQ172" i="8"/>
  <c r="BQ135" i="8"/>
  <c r="AX132" i="8"/>
  <c r="BQ123" i="8"/>
  <c r="BD121" i="8"/>
  <c r="BD98" i="8"/>
  <c r="AZ97" i="8"/>
  <c r="BD91" i="8"/>
  <c r="AX70" i="8"/>
  <c r="BQ58" i="8"/>
  <c r="BQ20" i="8"/>
  <c r="AX11" i="8"/>
  <c r="BD302" i="8"/>
  <c r="AX265" i="8"/>
  <c r="BE244" i="8"/>
  <c r="BD240" i="8"/>
  <c r="BQ190" i="8"/>
  <c r="AX152" i="8"/>
  <c r="AX77" i="8"/>
  <c r="BQ27" i="8"/>
  <c r="BQ11" i="8"/>
  <c r="BQ23" i="8"/>
  <c r="BQ35" i="8"/>
  <c r="BQ47" i="8"/>
  <c r="BQ59" i="8"/>
  <c r="BQ71" i="8"/>
  <c r="BQ83" i="8"/>
  <c r="BQ95" i="8"/>
  <c r="BQ107" i="8"/>
  <c r="BQ131" i="8"/>
  <c r="BQ143" i="8"/>
  <c r="BQ167" i="8"/>
  <c r="BQ179" i="8"/>
  <c r="BQ203" i="8"/>
  <c r="BQ215" i="8"/>
  <c r="BQ238" i="8"/>
  <c r="BQ176" i="8"/>
  <c r="BQ142" i="8"/>
  <c r="BQ116" i="8"/>
  <c r="BQ100" i="8"/>
  <c r="BQ76" i="8"/>
  <c r="BQ12" i="8"/>
  <c r="BQ24" i="8"/>
  <c r="BQ36" i="8"/>
  <c r="BQ48" i="8"/>
  <c r="BQ60" i="8"/>
  <c r="BQ72" i="8"/>
  <c r="BQ84" i="8"/>
  <c r="BQ96" i="8"/>
  <c r="BQ132" i="8"/>
  <c r="BQ144" i="8"/>
  <c r="BQ156" i="8"/>
  <c r="BQ168" i="8"/>
  <c r="BQ192" i="8"/>
  <c r="BM351" i="8"/>
  <c r="AZ324" i="8"/>
  <c r="BQ322" i="8"/>
  <c r="BG303" i="8"/>
  <c r="BA303" i="8" s="1"/>
  <c r="BQ242" i="8"/>
  <c r="BM232" i="8"/>
  <c r="BM70" i="8"/>
  <c r="BQ38" i="8"/>
  <c r="BQ351" i="8"/>
  <c r="AX338" i="8"/>
  <c r="BG335" i="8"/>
  <c r="BA335" i="8" s="1"/>
  <c r="AX314" i="8"/>
  <c r="BD300" i="8"/>
  <c r="AX269" i="8"/>
  <c r="AZ265" i="8"/>
  <c r="BQ254" i="8"/>
  <c r="BM239" i="8"/>
  <c r="AX239" i="8"/>
  <c r="AX227" i="8"/>
  <c r="AX131" i="8"/>
  <c r="AZ131" i="8"/>
  <c r="BG119" i="8"/>
  <c r="BA119" i="8" s="1"/>
  <c r="BE119" i="8"/>
  <c r="BQ337" i="8"/>
  <c r="AZ316" i="8"/>
  <c r="BQ313" i="8"/>
  <c r="AZ310" i="8"/>
  <c r="BQ298" i="8"/>
  <c r="BQ284" i="8"/>
  <c r="AX281" i="8"/>
  <c r="BQ274" i="8"/>
  <c r="BM270" i="8"/>
  <c r="BQ268" i="8"/>
  <c r="AZ256" i="8"/>
  <c r="AX251" i="8"/>
  <c r="BM230" i="8"/>
  <c r="BQ226" i="8"/>
  <c r="BE220" i="8"/>
  <c r="AV220" i="8" s="1"/>
  <c r="BQ205" i="8"/>
  <c r="AX197" i="8"/>
  <c r="BM176" i="8"/>
  <c r="AX176" i="8"/>
  <c r="AZ176" i="8"/>
  <c r="BQ140" i="8"/>
  <c r="BG89" i="8"/>
  <c r="BA89" i="8" s="1"/>
  <c r="BE89" i="8"/>
  <c r="AW89" i="8" s="1"/>
  <c r="BD345" i="8"/>
  <c r="AZ339" i="8"/>
  <c r="BM325" i="8"/>
  <c r="BM294" i="8"/>
  <c r="BD277" i="8"/>
  <c r="AZ272" i="8"/>
  <c r="AX247" i="8"/>
  <c r="BQ241" i="8"/>
  <c r="BM234" i="8"/>
  <c r="BQ230" i="8"/>
  <c r="BM203" i="8"/>
  <c r="AW203" i="8"/>
  <c r="AX203" i="8"/>
  <c r="BG151" i="8"/>
  <c r="BA151" i="8" s="1"/>
  <c r="BD151" i="8"/>
  <c r="BE151" i="8"/>
  <c r="BQ113" i="8"/>
  <c r="BQ137" i="8"/>
  <c r="BQ209" i="8"/>
  <c r="BQ221" i="8"/>
  <c r="BQ233" i="8"/>
  <c r="BQ257" i="8"/>
  <c r="BQ269" i="8"/>
  <c r="BQ281" i="8"/>
  <c r="BQ293" i="8"/>
  <c r="BQ305" i="8"/>
  <c r="BQ317" i="8"/>
  <c r="BQ329" i="8"/>
  <c r="BQ341" i="8"/>
  <c r="AV300" i="8"/>
  <c r="AX316" i="8"/>
  <c r="BM310" i="8"/>
  <c r="AX256" i="8"/>
  <c r="BM227" i="8"/>
  <c r="BQ90" i="8"/>
  <c r="BQ126" i="8"/>
  <c r="BQ150" i="8"/>
  <c r="BQ186" i="8"/>
  <c r="BQ198" i="8"/>
  <c r="BQ210" i="8"/>
  <c r="BQ222" i="8"/>
  <c r="BQ234" i="8"/>
  <c r="BQ246" i="8"/>
  <c r="BQ258" i="8"/>
  <c r="BQ270" i="8"/>
  <c r="BQ282" i="8"/>
  <c r="BQ294" i="8"/>
  <c r="BQ306" i="8"/>
  <c r="BQ318" i="8"/>
  <c r="BQ330" i="8"/>
  <c r="BQ342" i="8"/>
  <c r="AZ228" i="8"/>
  <c r="AX228" i="8"/>
  <c r="BM339" i="8"/>
  <c r="BM348" i="8"/>
  <c r="BQ339" i="8"/>
  <c r="BQ338" i="8"/>
  <c r="BQ320" i="8"/>
  <c r="BQ310" i="8"/>
  <c r="AX272" i="8"/>
  <c r="BQ231" i="8"/>
  <c r="BD221" i="8"/>
  <c r="BQ206" i="8"/>
  <c r="BG195" i="8"/>
  <c r="BA195" i="8" s="1"/>
  <c r="BD195" i="8"/>
  <c r="BQ103" i="8"/>
  <c r="BQ175" i="8"/>
  <c r="BQ187" i="8"/>
  <c r="BQ199" i="8"/>
  <c r="BQ211" i="8"/>
  <c r="BQ223" i="8"/>
  <c r="BQ235" i="8"/>
  <c r="BQ247" i="8"/>
  <c r="BQ259" i="8"/>
  <c r="BQ271" i="8"/>
  <c r="BQ283" i="8"/>
  <c r="BQ295" i="8"/>
  <c r="BQ307" i="8"/>
  <c r="BQ319" i="8"/>
  <c r="BQ331" i="8"/>
  <c r="BQ343" i="8"/>
  <c r="BQ334" i="8"/>
  <c r="AX322" i="8"/>
  <c r="AZ318" i="8"/>
  <c r="BQ315" i="8"/>
  <c r="AZ283" i="8"/>
  <c r="BG269" i="8"/>
  <c r="BA269" i="8" s="1"/>
  <c r="BQ265" i="8"/>
  <c r="BE258" i="8"/>
  <c r="BQ219" i="8"/>
  <c r="BG159" i="8"/>
  <c r="BA159" i="8" s="1"/>
  <c r="BD159" i="8"/>
  <c r="BE159" i="8"/>
  <c r="AW159" i="8" s="1"/>
  <c r="BQ340" i="8"/>
  <c r="BD298" i="8"/>
  <c r="BE259" i="8"/>
  <c r="BD254" i="8"/>
  <c r="AZ249" i="8"/>
  <c r="BM228" i="8"/>
  <c r="AZ212" i="8"/>
  <c r="BG205" i="8"/>
  <c r="BA205" i="8" s="1"/>
  <c r="BD205" i="8"/>
  <c r="AZ188" i="8"/>
  <c r="BQ153" i="8"/>
  <c r="BQ189" i="8"/>
  <c r="BQ201" i="8"/>
  <c r="BQ249" i="8"/>
  <c r="BQ261" i="8"/>
  <c r="BQ273" i="8"/>
  <c r="BQ285" i="8"/>
  <c r="BQ297" i="8"/>
  <c r="BQ309" i="8"/>
  <c r="BQ321" i="8"/>
  <c r="BQ333" i="8"/>
  <c r="BQ345" i="8"/>
  <c r="AX328" i="8"/>
  <c r="BQ290" i="8"/>
  <c r="BQ286" i="8"/>
  <c r="AX283" i="8"/>
  <c r="BQ272" i="8"/>
  <c r="BD270" i="8"/>
  <c r="BE269" i="8"/>
  <c r="BD259" i="8"/>
  <c r="BG209" i="8"/>
  <c r="BA209" i="8" s="1"/>
  <c r="BD209" i="8"/>
  <c r="BQ183" i="8"/>
  <c r="BQ346" i="8"/>
  <c r="BQ344" i="8"/>
  <c r="BQ296" i="8"/>
  <c r="BG295" i="8"/>
  <c r="BA295" i="8" s="1"/>
  <c r="BQ232" i="8"/>
  <c r="BQ194" i="8"/>
  <c r="BQ119" i="8"/>
  <c r="BQ155" i="8"/>
  <c r="BQ191" i="8"/>
  <c r="BQ227" i="8"/>
  <c r="BQ239" i="8"/>
  <c r="BQ251" i="8"/>
  <c r="BQ263" i="8"/>
  <c r="BQ275" i="8"/>
  <c r="BQ287" i="8"/>
  <c r="BQ299" i="8"/>
  <c r="BQ311" i="8"/>
  <c r="BQ323" i="8"/>
  <c r="BQ335" i="8"/>
  <c r="BQ347" i="8"/>
  <c r="BG339" i="8"/>
  <c r="BA339" i="8" s="1"/>
  <c r="AX324" i="8"/>
  <c r="BG310" i="8"/>
  <c r="BA310" i="8" s="1"/>
  <c r="AX288" i="8"/>
  <c r="BD285" i="8"/>
  <c r="BE260" i="8"/>
  <c r="AW260" i="8" s="1"/>
  <c r="AX213" i="8"/>
  <c r="BQ148" i="8"/>
  <c r="BQ145" i="8"/>
  <c r="AX141" i="8"/>
  <c r="BM141" i="8"/>
  <c r="AZ141" i="8"/>
  <c r="BQ86" i="8"/>
  <c r="BQ108" i="8"/>
  <c r="BQ120" i="8"/>
  <c r="BQ180" i="8"/>
  <c r="BQ204" i="8"/>
  <c r="BQ216" i="8"/>
  <c r="BQ228" i="8"/>
  <c r="BQ240" i="8"/>
  <c r="BQ252" i="8"/>
  <c r="BQ264" i="8"/>
  <c r="BQ276" i="8"/>
  <c r="BQ288" i="8"/>
  <c r="BQ300" i="8"/>
  <c r="BQ312" i="8"/>
  <c r="BQ324" i="8"/>
  <c r="BQ336" i="8"/>
  <c r="BQ348" i="8"/>
  <c r="BE295" i="8"/>
  <c r="AV295" i="8" s="1"/>
  <c r="BG175" i="8"/>
  <c r="BA175" i="8" s="1"/>
  <c r="BE175" i="8"/>
  <c r="BQ349" i="8"/>
  <c r="AZ81" i="8"/>
  <c r="AZ248" i="8"/>
  <c r="BD219" i="8"/>
  <c r="BD203" i="8"/>
  <c r="AV203" i="8" s="1"/>
  <c r="AX195" i="8"/>
  <c r="BE192" i="8"/>
  <c r="AV192" i="8" s="1"/>
  <c r="AZ153" i="8"/>
  <c r="BE149" i="8"/>
  <c r="AV149" i="8" s="1"/>
  <c r="BE142" i="8"/>
  <c r="AX130" i="8"/>
  <c r="BG112" i="8"/>
  <c r="BA112" i="8" s="1"/>
  <c r="AX97" i="8"/>
  <c r="AX69" i="8"/>
  <c r="AZ60" i="8"/>
  <c r="BM58" i="8"/>
  <c r="AZ51" i="8"/>
  <c r="BM211" i="8"/>
  <c r="AZ154" i="8"/>
  <c r="BD149" i="8"/>
  <c r="BD142" i="8"/>
  <c r="BG116" i="8"/>
  <c r="BA116" i="8" s="1"/>
  <c r="BD90" i="8"/>
  <c r="AZ89" i="8"/>
  <c r="BM84" i="8"/>
  <c r="AZ82" i="8"/>
  <c r="AX81" i="8"/>
  <c r="AX65" i="8"/>
  <c r="BE44" i="8"/>
  <c r="AZ25" i="8"/>
  <c r="BD134" i="8"/>
  <c r="BE127" i="8"/>
  <c r="AW127" i="8" s="1"/>
  <c r="AX51" i="8"/>
  <c r="BE104" i="8"/>
  <c r="AW104" i="8" s="1"/>
  <c r="BD6" i="8"/>
  <c r="AV6" i="8" s="1"/>
  <c r="AZ5" i="8"/>
  <c r="AX180" i="8"/>
  <c r="BE177" i="8"/>
  <c r="AW177" i="8" s="1"/>
  <c r="AZ162" i="8"/>
  <c r="BD157" i="8"/>
  <c r="AZ156" i="8"/>
  <c r="AZ134" i="8"/>
  <c r="BM111" i="8"/>
  <c r="BE105" i="8"/>
  <c r="AZ128" i="8"/>
  <c r="BD106" i="8"/>
  <c r="AZ72" i="8"/>
  <c r="AX162" i="8"/>
  <c r="AX156" i="8"/>
  <c r="AZ122" i="8"/>
  <c r="AX113" i="8"/>
  <c r="AX109" i="8"/>
  <c r="BE97" i="8"/>
  <c r="AZ63" i="8"/>
  <c r="BD46" i="8"/>
  <c r="AZ15" i="8"/>
  <c r="BE173" i="8"/>
  <c r="AW173" i="8" s="1"/>
  <c r="AZ164" i="8"/>
  <c r="BM143" i="8"/>
  <c r="AZ129" i="8"/>
  <c r="BM121" i="8"/>
  <c r="AX19" i="8"/>
  <c r="AX15" i="8"/>
  <c r="BM92" i="8"/>
  <c r="AZ69" i="8"/>
  <c r="AZ64" i="8"/>
  <c r="BD8" i="8"/>
  <c r="AZ3" i="8"/>
  <c r="AW153" i="8"/>
  <c r="AW290" i="8"/>
  <c r="BE283" i="8"/>
  <c r="AW283" i="8" s="1"/>
  <c r="BD283" i="8"/>
  <c r="BM277" i="8"/>
  <c r="AX277" i="8"/>
  <c r="BM253" i="8"/>
  <c r="AX253" i="8"/>
  <c r="AZ253" i="8"/>
  <c r="AX242" i="8"/>
  <c r="AZ242" i="8"/>
  <c r="BG217" i="8"/>
  <c r="BA217" i="8" s="1"/>
  <c r="BD217" i="8"/>
  <c r="AX183" i="8"/>
  <c r="BM183" i="8"/>
  <c r="AZ183" i="8"/>
  <c r="BM168" i="8"/>
  <c r="AX168" i="8"/>
  <c r="AZ168" i="8"/>
  <c r="AX157" i="8"/>
  <c r="AW157" i="8"/>
  <c r="AZ157" i="8"/>
  <c r="BM157" i="8"/>
  <c r="BG141" i="8"/>
  <c r="BA141" i="8" s="1"/>
  <c r="BD141" i="8"/>
  <c r="BD343" i="8"/>
  <c r="AV343" i="8" s="1"/>
  <c r="BM338" i="8"/>
  <c r="AZ326" i="8"/>
  <c r="AZ325" i="8"/>
  <c r="AV308" i="8"/>
  <c r="BE298" i="8"/>
  <c r="AX296" i="8"/>
  <c r="BE290" i="8"/>
  <c r="BG284" i="8"/>
  <c r="BA284" i="8" s="1"/>
  <c r="BD284" i="8"/>
  <c r="AV284" i="8" s="1"/>
  <c r="AZ247" i="8"/>
  <c r="BG242" i="8"/>
  <c r="BA242" i="8" s="1"/>
  <c r="BD242" i="8"/>
  <c r="AX229" i="8"/>
  <c r="BE219" i="8"/>
  <c r="BG193" i="8"/>
  <c r="BA193" i="8" s="1"/>
  <c r="BD193" i="8"/>
  <c r="BE183" i="8"/>
  <c r="BG163" i="8"/>
  <c r="BA163" i="8" s="1"/>
  <c r="BD163" i="8"/>
  <c r="AV163" i="8" s="1"/>
  <c r="BM71" i="8"/>
  <c r="AX71" i="8"/>
  <c r="AZ71" i="8"/>
  <c r="BM261" i="8"/>
  <c r="AX261" i="8"/>
  <c r="AZ261" i="8"/>
  <c r="BM255" i="8"/>
  <c r="BM235" i="8"/>
  <c r="AX235" i="8"/>
  <c r="AZ235" i="8"/>
  <c r="BG211" i="8"/>
  <c r="BA211" i="8" s="1"/>
  <c r="BD211" i="8"/>
  <c r="BE211" i="8"/>
  <c r="AW211" i="8" s="1"/>
  <c r="BD184" i="8"/>
  <c r="BE184" i="8"/>
  <c r="AV184" i="8" s="1"/>
  <c r="AX151" i="8"/>
  <c r="BM151" i="8"/>
  <c r="AX147" i="8"/>
  <c r="BM147" i="8"/>
  <c r="AZ147" i="8"/>
  <c r="BD95" i="8"/>
  <c r="BE95" i="8"/>
  <c r="AW95" i="8" s="1"/>
  <c r="BM83" i="8"/>
  <c r="AX83" i="8"/>
  <c r="AZ83" i="8"/>
  <c r="AZ327" i="8"/>
  <c r="BD255" i="8"/>
  <c r="BG255" i="8"/>
  <c r="BA255" i="8" s="1"/>
  <c r="BE255" i="8"/>
  <c r="AW255" i="8" s="1"/>
  <c r="BD235" i="8"/>
  <c r="BG235" i="8"/>
  <c r="BA235" i="8" s="1"/>
  <c r="BM231" i="8"/>
  <c r="AX231" i="8"/>
  <c r="AZ231" i="8"/>
  <c r="AX221" i="8"/>
  <c r="BM221" i="8"/>
  <c r="AZ221" i="8"/>
  <c r="BM200" i="8"/>
  <c r="AX200" i="8"/>
  <c r="AW185" i="8"/>
  <c r="AX165" i="8"/>
  <c r="AZ165" i="8"/>
  <c r="BM165" i="8"/>
  <c r="BM144" i="8"/>
  <c r="AX144" i="8"/>
  <c r="BM53" i="8"/>
  <c r="AX53" i="8"/>
  <c r="AZ53" i="8"/>
  <c r="AX169" i="8"/>
  <c r="AZ169" i="8"/>
  <c r="BM169" i="8"/>
  <c r="AZ278" i="8"/>
  <c r="BD312" i="8"/>
  <c r="BG312" i="8"/>
  <c r="BA312" i="8" s="1"/>
  <c r="AZ299" i="8"/>
  <c r="AX290" i="8"/>
  <c r="BG266" i="8"/>
  <c r="BA266" i="8" s="1"/>
  <c r="BE266" i="8"/>
  <c r="AX240" i="8"/>
  <c r="BM240" i="8"/>
  <c r="BG189" i="8"/>
  <c r="BA189" i="8" s="1"/>
  <c r="BD189" i="8"/>
  <c r="BG185" i="8"/>
  <c r="BA185" i="8" s="1"/>
  <c r="BD185" i="8"/>
  <c r="AV185" i="8" s="1"/>
  <c r="BM170" i="8"/>
  <c r="AZ170" i="8"/>
  <c r="BM76" i="8"/>
  <c r="AX76" i="8"/>
  <c r="AZ76" i="8"/>
  <c r="BG62" i="8"/>
  <c r="BA62" i="8" s="1"/>
  <c r="BD62" i="8"/>
  <c r="AV62" i="8" s="1"/>
  <c r="BM45" i="8"/>
  <c r="AX45" i="8"/>
  <c r="AZ45" i="8"/>
  <c r="BD349" i="8"/>
  <c r="AV349" i="8" s="1"/>
  <c r="BD337" i="8"/>
  <c r="AV337" i="8" s="1"/>
  <c r="BM327" i="8"/>
  <c r="BG305" i="8"/>
  <c r="BA305" i="8" s="1"/>
  <c r="BE303" i="8"/>
  <c r="AV303" i="8" s="1"/>
  <c r="AX278" i="8"/>
  <c r="AX274" i="8"/>
  <c r="BE267" i="8"/>
  <c r="BD267" i="8"/>
  <c r="BG263" i="8"/>
  <c r="BA263" i="8" s="1"/>
  <c r="AX262" i="8"/>
  <c r="AZ262" i="8"/>
  <c r="AZ255" i="8"/>
  <c r="BM242" i="8"/>
  <c r="BG213" i="8"/>
  <c r="BA213" i="8" s="1"/>
  <c r="BD213" i="8"/>
  <c r="BM166" i="8"/>
  <c r="AX166" i="8"/>
  <c r="BG165" i="8"/>
  <c r="BA165" i="8" s="1"/>
  <c r="BE165" i="8"/>
  <c r="AV165" i="8" s="1"/>
  <c r="BG123" i="8"/>
  <c r="BA123" i="8" s="1"/>
  <c r="BD123" i="8"/>
  <c r="BD87" i="8"/>
  <c r="BE87" i="8"/>
  <c r="AW87" i="8" s="1"/>
  <c r="BE10" i="8"/>
  <c r="AW10" i="8" s="1"/>
  <c r="BD10" i="8"/>
  <c r="BM273" i="8"/>
  <c r="AZ273" i="8"/>
  <c r="BG286" i="8"/>
  <c r="BA286" i="8" s="1"/>
  <c r="BD286" i="8"/>
  <c r="AW266" i="8"/>
  <c r="AW343" i="8"/>
  <c r="BD279" i="8"/>
  <c r="BE279" i="8"/>
  <c r="BG341" i="8"/>
  <c r="BA341" i="8" s="1"/>
  <c r="BD339" i="8"/>
  <c r="AV339" i="8" s="1"/>
  <c r="AW335" i="8"/>
  <c r="AZ320" i="8"/>
  <c r="AZ312" i="8"/>
  <c r="AX299" i="8"/>
  <c r="BD287" i="8"/>
  <c r="AV287" i="8" s="1"/>
  <c r="BG287" i="8"/>
  <c r="BA287" i="8" s="1"/>
  <c r="BG274" i="8"/>
  <c r="BA274" i="8" s="1"/>
  <c r="BE274" i="8"/>
  <c r="AW274" i="8" s="1"/>
  <c r="BG262" i="8"/>
  <c r="BA262" i="8" s="1"/>
  <c r="BD262" i="8"/>
  <c r="BG250" i="8"/>
  <c r="BA250" i="8" s="1"/>
  <c r="BE250" i="8"/>
  <c r="AW250" i="8" s="1"/>
  <c r="BD245" i="8"/>
  <c r="BE245" i="8"/>
  <c r="BG245" i="8"/>
  <c r="BA245" i="8" s="1"/>
  <c r="BD186" i="8"/>
  <c r="BG186" i="8"/>
  <c r="BA186" i="8" s="1"/>
  <c r="BE186" i="8"/>
  <c r="AX181" i="8"/>
  <c r="BM181" i="8"/>
  <c r="AZ181" i="8"/>
  <c r="BM160" i="8"/>
  <c r="AX160" i="8"/>
  <c r="BM136" i="8"/>
  <c r="AX136" i="8"/>
  <c r="BM54" i="8"/>
  <c r="AX54" i="8"/>
  <c r="AZ46" i="8"/>
  <c r="BM307" i="8"/>
  <c r="AZ307" i="8"/>
  <c r="AX336" i="8"/>
  <c r="AZ304" i="8"/>
  <c r="AX286" i="8"/>
  <c r="BM275" i="8"/>
  <c r="AZ275" i="8"/>
  <c r="AZ267" i="8"/>
  <c r="BM257" i="8"/>
  <c r="AX257" i="8"/>
  <c r="AZ257" i="8"/>
  <c r="AX255" i="8"/>
  <c r="BG251" i="8"/>
  <c r="BA251" i="8" s="1"/>
  <c r="BD251" i="8"/>
  <c r="AV251" i="8" s="1"/>
  <c r="BM241" i="8"/>
  <c r="AX241" i="8"/>
  <c r="AZ226" i="8"/>
  <c r="BG197" i="8"/>
  <c r="BA197" i="8" s="1"/>
  <c r="BD197" i="8"/>
  <c r="BD190" i="8"/>
  <c r="BE190" i="8"/>
  <c r="BG190" i="8"/>
  <c r="BA190" i="8" s="1"/>
  <c r="BG153" i="8"/>
  <c r="BA153" i="8" s="1"/>
  <c r="BD153" i="8"/>
  <c r="AV153" i="8" s="1"/>
  <c r="BD124" i="8"/>
  <c r="BE124" i="8"/>
  <c r="BG124" i="8"/>
  <c r="BA124" i="8" s="1"/>
  <c r="BM184" i="8"/>
  <c r="AX184" i="8"/>
  <c r="BM158" i="8"/>
  <c r="AZ158" i="8"/>
  <c r="BM346" i="8"/>
  <c r="BD341" i="8"/>
  <c r="AV341" i="8" s="1"/>
  <c r="AZ337" i="8"/>
  <c r="AX330" i="8"/>
  <c r="AZ321" i="8"/>
  <c r="AX312" i="8"/>
  <c r="BE275" i="8"/>
  <c r="BD275" i="8"/>
  <c r="AZ240" i="8"/>
  <c r="BM233" i="8"/>
  <c r="AZ233" i="8"/>
  <c r="BG191" i="8"/>
  <c r="BA191" i="8" s="1"/>
  <c r="BD191" i="8"/>
  <c r="BE191" i="8"/>
  <c r="BM182" i="8"/>
  <c r="AX182" i="8"/>
  <c r="BE167" i="8"/>
  <c r="AW167" i="8" s="1"/>
  <c r="AZ166" i="8"/>
  <c r="BM107" i="8"/>
  <c r="AX107" i="8"/>
  <c r="AX254" i="8"/>
  <c r="BM254" i="8"/>
  <c r="BM311" i="8"/>
  <c r="AX304" i="8"/>
  <c r="AZ302" i="8"/>
  <c r="BM286" i="8"/>
  <c r="BM271" i="8"/>
  <c r="AX271" i="8"/>
  <c r="AX267" i="8"/>
  <c r="AX264" i="8"/>
  <c r="AZ264" i="8"/>
  <c r="BM264" i="8"/>
  <c r="BD140" i="8"/>
  <c r="BE140" i="8"/>
  <c r="BM55" i="8"/>
  <c r="AX55" i="8"/>
  <c r="AZ55" i="8"/>
  <c r="BG133" i="8"/>
  <c r="BA133" i="8" s="1"/>
  <c r="BE133" i="8"/>
  <c r="AW133" i="8" s="1"/>
  <c r="BM329" i="8"/>
  <c r="AW349" i="8"/>
  <c r="BG343" i="8"/>
  <c r="BA343" i="8" s="1"/>
  <c r="BM337" i="8"/>
  <c r="AZ296" i="8"/>
  <c r="AX294" i="8"/>
  <c r="BG282" i="8"/>
  <c r="BA282" i="8" s="1"/>
  <c r="BE282" i="8"/>
  <c r="AW282" i="8" s="1"/>
  <c r="BD276" i="8"/>
  <c r="BD271" i="8"/>
  <c r="BG271" i="8"/>
  <c r="BA271" i="8" s="1"/>
  <c r="BE271" i="8"/>
  <c r="AZ241" i="8"/>
  <c r="BM226" i="8"/>
  <c r="BD182" i="8"/>
  <c r="AV182" i="8" s="1"/>
  <c r="BG182" i="8"/>
  <c r="BA182" i="8" s="1"/>
  <c r="BM178" i="8"/>
  <c r="AZ178" i="8"/>
  <c r="BG155" i="8"/>
  <c r="BA155" i="8" s="1"/>
  <c r="BD155" i="8"/>
  <c r="AV155" i="8" s="1"/>
  <c r="BE141" i="8"/>
  <c r="AW141" i="8" s="1"/>
  <c r="BM99" i="8"/>
  <c r="AX99" i="8"/>
  <c r="BG60" i="8"/>
  <c r="BA60" i="8" s="1"/>
  <c r="BD60" i="8"/>
  <c r="BE60" i="8"/>
  <c r="AW60" i="8" s="1"/>
  <c r="BG51" i="8"/>
  <c r="BA51" i="8" s="1"/>
  <c r="BD51" i="8"/>
  <c r="AV51" i="8" s="1"/>
  <c r="BM21" i="8"/>
  <c r="AX21" i="8"/>
  <c r="AZ21" i="8"/>
  <c r="BE12" i="8"/>
  <c r="BD12" i="8"/>
  <c r="AV12" i="8" s="1"/>
  <c r="AZ196" i="8"/>
  <c r="BM191" i="8"/>
  <c r="AZ191" i="8"/>
  <c r="BD161" i="8"/>
  <c r="AV161" i="8" s="1"/>
  <c r="AX142" i="8"/>
  <c r="AZ135" i="8"/>
  <c r="AX134" i="8"/>
  <c r="BM131" i="8"/>
  <c r="BM129" i="8"/>
  <c r="BM127" i="8"/>
  <c r="AX125" i="8"/>
  <c r="AX124" i="8"/>
  <c r="AX122" i="8"/>
  <c r="AZ121" i="8"/>
  <c r="AX111" i="8"/>
  <c r="BE107" i="8"/>
  <c r="AW107" i="8" s="1"/>
  <c r="BE99" i="8"/>
  <c r="BE96" i="8"/>
  <c r="AW96" i="8" s="1"/>
  <c r="BE88" i="8"/>
  <c r="AX75" i="8"/>
  <c r="AV65" i="8"/>
  <c r="BM60" i="8"/>
  <c r="BE54" i="8"/>
  <c r="AW54" i="8" s="1"/>
  <c r="BD53" i="8"/>
  <c r="BE46" i="8"/>
  <c r="AW46" i="8" s="1"/>
  <c r="BD14" i="8"/>
  <c r="AV14" i="8" s="1"/>
  <c r="BD107" i="8"/>
  <c r="BD99" i="8"/>
  <c r="BE147" i="8"/>
  <c r="BE117" i="8"/>
  <c r="AW117" i="8" s="1"/>
  <c r="BE115" i="8"/>
  <c r="AW115" i="8" s="1"/>
  <c r="BG114" i="8"/>
  <c r="BA114" i="8" s="1"/>
  <c r="BE113" i="8"/>
  <c r="BG111" i="8"/>
  <c r="BA111" i="8" s="1"/>
  <c r="AW258" i="8"/>
  <c r="BG247" i="8"/>
  <c r="BA247" i="8" s="1"/>
  <c r="BE171" i="8"/>
  <c r="BD147" i="8"/>
  <c r="BG128" i="8"/>
  <c r="BA128" i="8" s="1"/>
  <c r="AW119" i="8"/>
  <c r="BD118" i="8"/>
  <c r="AV118" i="8" s="1"/>
  <c r="BD117" i="8"/>
  <c r="BD115" i="8"/>
  <c r="BD113" i="8"/>
  <c r="BD112" i="8"/>
  <c r="AV112" i="8" s="1"/>
  <c r="AZ108" i="8"/>
  <c r="AZ100" i="8"/>
  <c r="AZ78" i="8"/>
  <c r="AZ66" i="8"/>
  <c r="BE111" i="8"/>
  <c r="AZ90" i="8"/>
  <c r="BD68" i="8"/>
  <c r="AW65" i="8"/>
  <c r="BE48" i="8"/>
  <c r="AW48" i="8" s="1"/>
  <c r="BD2" i="8"/>
  <c r="BE247" i="8"/>
  <c r="BD173" i="8"/>
  <c r="AW161" i="8"/>
  <c r="BD128" i="8"/>
  <c r="BD126" i="8"/>
  <c r="BD125" i="8"/>
  <c r="BD119" i="8"/>
  <c r="AV119" i="8" s="1"/>
  <c r="AX73" i="8"/>
  <c r="AZ41" i="8"/>
  <c r="AZ17" i="8"/>
  <c r="AZ115" i="8"/>
  <c r="AZ113" i="8"/>
  <c r="AX101" i="8"/>
  <c r="BM90" i="8"/>
  <c r="AX79" i="8"/>
  <c r="AX67" i="8"/>
  <c r="AX230" i="8"/>
  <c r="BE195" i="8"/>
  <c r="AV195" i="8" s="1"/>
  <c r="AZ174" i="8"/>
  <c r="AZ172" i="8"/>
  <c r="BM145" i="8"/>
  <c r="BG136" i="8"/>
  <c r="BA136" i="8" s="1"/>
  <c r="BE121" i="8"/>
  <c r="AV121" i="8" s="1"/>
  <c r="BM115" i="8"/>
  <c r="AX93" i="8"/>
  <c r="AX85" i="8"/>
  <c r="AX41" i="8"/>
  <c r="AX17" i="8"/>
  <c r="BD4" i="8"/>
  <c r="BM173" i="8"/>
  <c r="AZ173" i="8"/>
  <c r="AX172" i="8"/>
  <c r="AV157" i="8"/>
  <c r="AV151" i="8"/>
  <c r="AZ143" i="8"/>
  <c r="AZ142" i="8"/>
  <c r="AX126" i="8"/>
  <c r="BD348" i="8"/>
  <c r="BE348" i="8"/>
  <c r="BD334" i="8"/>
  <c r="BE334" i="8"/>
  <c r="AV334" i="8" s="1"/>
  <c r="BD328" i="8"/>
  <c r="BE328" i="8"/>
  <c r="BD322" i="8"/>
  <c r="BE322" i="8"/>
  <c r="AX315" i="8"/>
  <c r="AZ315" i="8"/>
  <c r="BD233" i="8"/>
  <c r="BG233" i="8"/>
  <c r="BA233" i="8" s="1"/>
  <c r="BE233" i="8"/>
  <c r="AX346" i="8"/>
  <c r="BM349" i="8"/>
  <c r="BG337" i="8"/>
  <c r="BA337" i="8" s="1"/>
  <c r="BG309" i="8"/>
  <c r="BA309" i="8" s="1"/>
  <c r="BE309" i="8"/>
  <c r="AV309" i="8" s="1"/>
  <c r="BG351" i="8"/>
  <c r="BA351" i="8" s="1"/>
  <c r="AV345" i="8"/>
  <c r="AZ342" i="8"/>
  <c r="AZ349" i="8"/>
  <c r="BM342" i="8"/>
  <c r="BD351" i="8"/>
  <c r="AV351" i="8" s="1"/>
  <c r="BG347" i="8"/>
  <c r="BA347" i="8" s="1"/>
  <c r="BD344" i="8"/>
  <c r="BE344" i="8"/>
  <c r="AW339" i="8"/>
  <c r="BM335" i="8"/>
  <c r="AZ335" i="8"/>
  <c r="AZ334" i="8"/>
  <c r="AZ329" i="8"/>
  <c r="AZ328" i="8"/>
  <c r="AZ323" i="8"/>
  <c r="AZ322" i="8"/>
  <c r="BM317" i="8"/>
  <c r="BG315" i="8"/>
  <c r="BA315" i="8" s="1"/>
  <c r="BE315" i="8"/>
  <c r="BD241" i="8"/>
  <c r="BG241" i="8"/>
  <c r="BA241" i="8" s="1"/>
  <c r="BE241" i="8"/>
  <c r="AW226" i="8"/>
  <c r="BG333" i="8"/>
  <c r="BA333" i="8" s="1"/>
  <c r="BE333" i="8"/>
  <c r="BG327" i="8"/>
  <c r="BA327" i="8" s="1"/>
  <c r="BE327" i="8"/>
  <c r="AV327" i="8" s="1"/>
  <c r="BG321" i="8"/>
  <c r="BA321" i="8" s="1"/>
  <c r="BE321" i="8"/>
  <c r="AV321" i="8" s="1"/>
  <c r="BD314" i="8"/>
  <c r="BE314" i="8"/>
  <c r="BG301" i="8"/>
  <c r="BA301" i="8" s="1"/>
  <c r="BE301" i="8"/>
  <c r="AV301" i="8" s="1"/>
  <c r="AW228" i="8"/>
  <c r="BD332" i="8"/>
  <c r="BE332" i="8"/>
  <c r="BD326" i="8"/>
  <c r="BE326" i="8"/>
  <c r="BD320" i="8"/>
  <c r="BE320" i="8"/>
  <c r="AX313" i="8"/>
  <c r="AZ313" i="8"/>
  <c r="AV269" i="8"/>
  <c r="BD350" i="8"/>
  <c r="BE350" i="8"/>
  <c r="AX348" i="8"/>
  <c r="AV347" i="8"/>
  <c r="AW345" i="8"/>
  <c r="AZ344" i="8"/>
  <c r="BM341" i="8"/>
  <c r="AZ341" i="8"/>
  <c r="AX319" i="8"/>
  <c r="AZ319" i="8"/>
  <c r="AW236" i="8"/>
  <c r="BD340" i="8"/>
  <c r="BE340" i="8"/>
  <c r="BD336" i="8"/>
  <c r="BE336" i="8"/>
  <c r="AZ333" i="8"/>
  <c r="AZ332" i="8"/>
  <c r="BG313" i="8"/>
  <c r="BA313" i="8" s="1"/>
  <c r="BE313" i="8"/>
  <c r="BE222" i="8"/>
  <c r="BG222" i="8"/>
  <c r="BA222" i="8" s="1"/>
  <c r="BD222" i="8"/>
  <c r="BD168" i="8"/>
  <c r="BE168" i="8"/>
  <c r="BG168" i="8"/>
  <c r="BA168" i="8" s="1"/>
  <c r="BD346" i="8"/>
  <c r="BE346" i="8"/>
  <c r="AV346" i="8" s="1"/>
  <c r="AW341" i="8"/>
  <c r="AZ340" i="8"/>
  <c r="BM333" i="8"/>
  <c r="BG331" i="8"/>
  <c r="BA331" i="8" s="1"/>
  <c r="BE331" i="8"/>
  <c r="BG325" i="8"/>
  <c r="BA325" i="8" s="1"/>
  <c r="BE325" i="8"/>
  <c r="BG319" i="8"/>
  <c r="BA319" i="8" s="1"/>
  <c r="BE319" i="8"/>
  <c r="BD318" i="8"/>
  <c r="BE318" i="8"/>
  <c r="BM237" i="8"/>
  <c r="AX237" i="8"/>
  <c r="AZ237" i="8"/>
  <c r="AW230" i="8"/>
  <c r="AX332" i="8"/>
  <c r="BD330" i="8"/>
  <c r="BE330" i="8"/>
  <c r="AW330" i="8" s="1"/>
  <c r="AW327" i="8"/>
  <c r="AX326" i="8"/>
  <c r="BD324" i="8"/>
  <c r="BE324" i="8"/>
  <c r="AW321" i="8"/>
  <c r="AX320" i="8"/>
  <c r="AX317" i="8"/>
  <c r="AZ317" i="8"/>
  <c r="AW351" i="8"/>
  <c r="AZ350" i="8"/>
  <c r="AZ347" i="8"/>
  <c r="BM350" i="8"/>
  <c r="BD342" i="8"/>
  <c r="BE342" i="8"/>
  <c r="AX340" i="8"/>
  <c r="AW337" i="8"/>
  <c r="AZ336" i="8"/>
  <c r="AW326" i="8"/>
  <c r="BM295" i="8"/>
  <c r="AW295" i="8"/>
  <c r="AX295" i="8"/>
  <c r="AZ295" i="8"/>
  <c r="BG223" i="8"/>
  <c r="BA223" i="8" s="1"/>
  <c r="BE223" i="8"/>
  <c r="AW223" i="8" s="1"/>
  <c r="BD223" i="8"/>
  <c r="BM347" i="8"/>
  <c r="BM340" i="8"/>
  <c r="BG345" i="8"/>
  <c r="BA345" i="8" s="1"/>
  <c r="BG348" i="8"/>
  <c r="BA348" i="8" s="1"/>
  <c r="AW347" i="8"/>
  <c r="BM343" i="8"/>
  <c r="AZ343" i="8"/>
  <c r="BD335" i="8"/>
  <c r="AV335" i="8" s="1"/>
  <c r="BG334" i="8"/>
  <c r="BA334" i="8" s="1"/>
  <c r="AZ330" i="8"/>
  <c r="BG328" i="8"/>
  <c r="BA328" i="8" s="1"/>
  <c r="BG322" i="8"/>
  <c r="BA322" i="8" s="1"/>
  <c r="BG317" i="8"/>
  <c r="BA317" i="8" s="1"/>
  <c r="BE317" i="8"/>
  <c r="AV317" i="8" s="1"/>
  <c r="BG311" i="8"/>
  <c r="BA311" i="8" s="1"/>
  <c r="BE311" i="8"/>
  <c r="AX308" i="8"/>
  <c r="AZ308" i="8"/>
  <c r="BM308" i="8"/>
  <c r="AW308" i="8"/>
  <c r="AW298" i="8"/>
  <c r="BG293" i="8"/>
  <c r="BA293" i="8" s="1"/>
  <c r="BE293" i="8"/>
  <c r="AV293" i="8" s="1"/>
  <c r="BG204" i="8"/>
  <c r="BA204" i="8" s="1"/>
  <c r="BD204" i="8"/>
  <c r="BE204" i="8"/>
  <c r="BD338" i="8"/>
  <c r="BE338" i="8"/>
  <c r="BG329" i="8"/>
  <c r="BA329" i="8" s="1"/>
  <c r="BE329" i="8"/>
  <c r="BG323" i="8"/>
  <c r="BA323" i="8" s="1"/>
  <c r="BE323" i="8"/>
  <c r="BD316" i="8"/>
  <c r="BE316" i="8"/>
  <c r="BE306" i="8"/>
  <c r="AV306" i="8" s="1"/>
  <c r="BM303" i="8"/>
  <c r="AW303" i="8"/>
  <c r="AX303" i="8"/>
  <c r="AZ303" i="8"/>
  <c r="AX300" i="8"/>
  <c r="AZ300" i="8"/>
  <c r="BM300" i="8"/>
  <c r="AW300" i="8"/>
  <c r="AV298" i="8"/>
  <c r="AV261" i="8"/>
  <c r="AV253" i="8"/>
  <c r="AW232" i="8"/>
  <c r="BM206" i="8"/>
  <c r="AX206" i="8"/>
  <c r="AZ206" i="8"/>
  <c r="AX305" i="8"/>
  <c r="AX297" i="8"/>
  <c r="AW292" i="8"/>
  <c r="AX289" i="8"/>
  <c r="BE285" i="8"/>
  <c r="AV285" i="8" s="1"/>
  <c r="AW284" i="8"/>
  <c r="BE277" i="8"/>
  <c r="AV277" i="8" s="1"/>
  <c r="BD224" i="8"/>
  <c r="BE224" i="8"/>
  <c r="BD164" i="8"/>
  <c r="BE164" i="8"/>
  <c r="BG164" i="8"/>
  <c r="BA164" i="8" s="1"/>
  <c r="BD160" i="8"/>
  <c r="BE160" i="8"/>
  <c r="AW160" i="8" s="1"/>
  <c r="BG160" i="8"/>
  <c r="BA160" i="8" s="1"/>
  <c r="BD156" i="8"/>
  <c r="BE156" i="8"/>
  <c r="AW156" i="8" s="1"/>
  <c r="BG156" i="8"/>
  <c r="BA156" i="8" s="1"/>
  <c r="BM140" i="8"/>
  <c r="AW140" i="8"/>
  <c r="AX140" i="8"/>
  <c r="AZ140" i="8"/>
  <c r="BD290" i="8"/>
  <c r="AV290" i="8" s="1"/>
  <c r="BD282" i="8"/>
  <c r="AV282" i="8" s="1"/>
  <c r="BD274" i="8"/>
  <c r="AV274" i="8" s="1"/>
  <c r="BD266" i="8"/>
  <c r="AV266" i="8" s="1"/>
  <c r="BD258" i="8"/>
  <c r="AV258" i="8" s="1"/>
  <c r="BD250" i="8"/>
  <c r="BD244" i="8"/>
  <c r="AV244" i="8" s="1"/>
  <c r="BE237" i="8"/>
  <c r="AV237" i="8" s="1"/>
  <c r="BD228" i="8"/>
  <c r="AV228" i="8" s="1"/>
  <c r="BG228" i="8"/>
  <c r="BA228" i="8" s="1"/>
  <c r="BG220" i="8"/>
  <c r="BA220" i="8" s="1"/>
  <c r="AX193" i="8"/>
  <c r="AZ193" i="8"/>
  <c r="BM193" i="8"/>
  <c r="BG137" i="8"/>
  <c r="BA137" i="8" s="1"/>
  <c r="BE137" i="8"/>
  <c r="BD137" i="8"/>
  <c r="BE263" i="8"/>
  <c r="AX259" i="8"/>
  <c r="AX245" i="8"/>
  <c r="BG243" i="8"/>
  <c r="BA243" i="8" s="1"/>
  <c r="BE240" i="8"/>
  <c r="BM238" i="8"/>
  <c r="AZ238" i="8"/>
  <c r="AW234" i="8"/>
  <c r="BG231" i="8"/>
  <c r="BA231" i="8" s="1"/>
  <c r="BG227" i="8"/>
  <c r="BA227" i="8" s="1"/>
  <c r="BM220" i="8"/>
  <c r="AW220" i="8"/>
  <c r="AX220" i="8"/>
  <c r="BM214" i="8"/>
  <c r="AX214" i="8"/>
  <c r="AZ214" i="8"/>
  <c r="BD172" i="8"/>
  <c r="BE172" i="8"/>
  <c r="BG172" i="8"/>
  <c r="BA172" i="8" s="1"/>
  <c r="AZ301" i="8"/>
  <c r="BG297" i="8"/>
  <c r="BA297" i="8" s="1"/>
  <c r="AZ293" i="8"/>
  <c r="BG289" i="8"/>
  <c r="BA289" i="8" s="1"/>
  <c r="AZ285" i="8"/>
  <c r="BG281" i="8"/>
  <c r="BA281" i="8" s="1"/>
  <c r="AZ277" i="8"/>
  <c r="BE276" i="8"/>
  <c r="BG273" i="8"/>
  <c r="BA273" i="8" s="1"/>
  <c r="BE268" i="8"/>
  <c r="AW268" i="8" s="1"/>
  <c r="AW267" i="8"/>
  <c r="BG265" i="8"/>
  <c r="BA265" i="8" s="1"/>
  <c r="BG257" i="8"/>
  <c r="BA257" i="8" s="1"/>
  <c r="BE252" i="8"/>
  <c r="AW251" i="8"/>
  <c r="BG249" i="8"/>
  <c r="BA249" i="8" s="1"/>
  <c r="AW245" i="8"/>
  <c r="AX236" i="8"/>
  <c r="AZ236" i="8"/>
  <c r="BD232" i="8"/>
  <c r="AV232" i="8" s="1"/>
  <c r="BG232" i="8"/>
  <c r="BA232" i="8" s="1"/>
  <c r="AZ217" i="8"/>
  <c r="BM217" i="8"/>
  <c r="BG207" i="8"/>
  <c r="BA207" i="8" s="1"/>
  <c r="BE207" i="8"/>
  <c r="BD207" i="8"/>
  <c r="BM198" i="8"/>
  <c r="AX198" i="8"/>
  <c r="AZ198" i="8"/>
  <c r="AZ311" i="8"/>
  <c r="BD268" i="8"/>
  <c r="BD260" i="8"/>
  <c r="AV260" i="8" s="1"/>
  <c r="BD252" i="8"/>
  <c r="BE243" i="8"/>
  <c r="AV243" i="8" s="1"/>
  <c r="BE231" i="8"/>
  <c r="BE227" i="8"/>
  <c r="BM216" i="8"/>
  <c r="AZ216" i="8"/>
  <c r="BG215" i="8"/>
  <c r="BA215" i="8" s="1"/>
  <c r="BE215" i="8"/>
  <c r="AV215" i="8" s="1"/>
  <c r="BE214" i="8"/>
  <c r="AV214" i="8" s="1"/>
  <c r="BG214" i="8"/>
  <c r="BA214" i="8" s="1"/>
  <c r="AZ209" i="8"/>
  <c r="BM209" i="8"/>
  <c r="BM208" i="8"/>
  <c r="AZ208" i="8"/>
  <c r="BG196" i="8"/>
  <c r="BA196" i="8" s="1"/>
  <c r="BD196" i="8"/>
  <c r="AV196" i="8" s="1"/>
  <c r="BD176" i="8"/>
  <c r="BE176" i="8"/>
  <c r="BG176" i="8"/>
  <c r="BA176" i="8" s="1"/>
  <c r="BM138" i="8"/>
  <c r="AZ138" i="8"/>
  <c r="AX138" i="8"/>
  <c r="BM306" i="8"/>
  <c r="AZ306" i="8"/>
  <c r="BE305" i="8"/>
  <c r="AX301" i="8"/>
  <c r="BM298" i="8"/>
  <c r="AZ298" i="8"/>
  <c r="BE297" i="8"/>
  <c r="AX293" i="8"/>
  <c r="BM290" i="8"/>
  <c r="AZ290" i="8"/>
  <c r="BE289" i="8"/>
  <c r="AX285" i="8"/>
  <c r="BM282" i="8"/>
  <c r="AZ282" i="8"/>
  <c r="BE281" i="8"/>
  <c r="BM274" i="8"/>
  <c r="AZ274" i="8"/>
  <c r="BE273" i="8"/>
  <c r="BM266" i="8"/>
  <c r="AZ266" i="8"/>
  <c r="BE265" i="8"/>
  <c r="BM258" i="8"/>
  <c r="AZ258" i="8"/>
  <c r="BE257" i="8"/>
  <c r="BM250" i="8"/>
  <c r="AZ250" i="8"/>
  <c r="BE249" i="8"/>
  <c r="BM244" i="8"/>
  <c r="AZ244" i="8"/>
  <c r="BD236" i="8"/>
  <c r="AV236" i="8" s="1"/>
  <c r="BG236" i="8"/>
  <c r="BA236" i="8" s="1"/>
  <c r="BM218" i="8"/>
  <c r="AX218" i="8"/>
  <c r="AZ218" i="8"/>
  <c r="BD216" i="8"/>
  <c r="BE216" i="8"/>
  <c r="AV211" i="8"/>
  <c r="BD208" i="8"/>
  <c r="BE208" i="8"/>
  <c r="BG208" i="8"/>
  <c r="BA208" i="8" s="1"/>
  <c r="BE312" i="8"/>
  <c r="BE310" i="8"/>
  <c r="AX309" i="8"/>
  <c r="BG307" i="8"/>
  <c r="BA307" i="8" s="1"/>
  <c r="BE302" i="8"/>
  <c r="BG299" i="8"/>
  <c r="BA299" i="8" s="1"/>
  <c r="BE294" i="8"/>
  <c r="BG291" i="8"/>
  <c r="BA291" i="8" s="1"/>
  <c r="AZ287" i="8"/>
  <c r="BE286" i="8"/>
  <c r="BG283" i="8"/>
  <c r="BA283" i="8" s="1"/>
  <c r="AZ279" i="8"/>
  <c r="BE278" i="8"/>
  <c r="BG275" i="8"/>
  <c r="BA275" i="8" s="1"/>
  <c r="AZ271" i="8"/>
  <c r="BE270" i="8"/>
  <c r="AW269" i="8"/>
  <c r="BG267" i="8"/>
  <c r="BA267" i="8" s="1"/>
  <c r="AZ263" i="8"/>
  <c r="BE262" i="8"/>
  <c r="AW261" i="8"/>
  <c r="BE254" i="8"/>
  <c r="AW253" i="8"/>
  <c r="BD246" i="8"/>
  <c r="BE239" i="8"/>
  <c r="BE235" i="8"/>
  <c r="AZ220" i="8"/>
  <c r="BD218" i="8"/>
  <c r="BE218" i="8"/>
  <c r="BG218" i="8"/>
  <c r="BA218" i="8" s="1"/>
  <c r="BG212" i="8"/>
  <c r="BA212" i="8" s="1"/>
  <c r="BD212" i="8"/>
  <c r="AV212" i="8" s="1"/>
  <c r="BG199" i="8"/>
  <c r="BA199" i="8" s="1"/>
  <c r="BE199" i="8"/>
  <c r="BD199" i="8"/>
  <c r="AX266" i="8"/>
  <c r="AX258" i="8"/>
  <c r="AX250" i="8"/>
  <c r="AW244" i="8"/>
  <c r="AZ243" i="8"/>
  <c r="BE242" i="8"/>
  <c r="BD226" i="8"/>
  <c r="AV226" i="8" s="1"/>
  <c r="BG226" i="8"/>
  <c r="BA226" i="8" s="1"/>
  <c r="BM210" i="8"/>
  <c r="AX210" i="8"/>
  <c r="AZ210" i="8"/>
  <c r="BD180" i="8"/>
  <c r="BG180" i="8"/>
  <c r="BA180" i="8" s="1"/>
  <c r="BE180" i="8"/>
  <c r="BE307" i="8"/>
  <c r="BE299" i="8"/>
  <c r="AV299" i="8" s="1"/>
  <c r="BM292" i="8"/>
  <c r="AZ292" i="8"/>
  <c r="BE291" i="8"/>
  <c r="AV291" i="8" s="1"/>
  <c r="AX287" i="8"/>
  <c r="BM284" i="8"/>
  <c r="AZ284" i="8"/>
  <c r="AX279" i="8"/>
  <c r="BM276" i="8"/>
  <c r="AZ276" i="8"/>
  <c r="BM268" i="8"/>
  <c r="AZ268" i="8"/>
  <c r="BM260" i="8"/>
  <c r="AZ260" i="8"/>
  <c r="BM252" i="8"/>
  <c r="AZ252" i="8"/>
  <c r="BD230" i="8"/>
  <c r="AV230" i="8" s="1"/>
  <c r="BG230" i="8"/>
  <c r="BA230" i="8" s="1"/>
  <c r="BG229" i="8"/>
  <c r="BA229" i="8" s="1"/>
  <c r="AZ225" i="8"/>
  <c r="BM225" i="8"/>
  <c r="AX201" i="8"/>
  <c r="AZ201" i="8"/>
  <c r="BM201" i="8"/>
  <c r="AZ139" i="8"/>
  <c r="BM139" i="8"/>
  <c r="AW139" i="8"/>
  <c r="AX139" i="8"/>
  <c r="AZ305" i="8"/>
  <c r="BE304" i="8"/>
  <c r="AZ297" i="8"/>
  <c r="BE296" i="8"/>
  <c r="AZ289" i="8"/>
  <c r="BE288" i="8"/>
  <c r="AW288" i="8" s="1"/>
  <c r="AW287" i="8"/>
  <c r="AZ281" i="8"/>
  <c r="BE280" i="8"/>
  <c r="AW279" i="8"/>
  <c r="BE272" i="8"/>
  <c r="AW271" i="8"/>
  <c r="BE264" i="8"/>
  <c r="AV264" i="8" s="1"/>
  <c r="BE256" i="8"/>
  <c r="BE248" i="8"/>
  <c r="AX243" i="8"/>
  <c r="AZ239" i="8"/>
  <c r="BE238" i="8"/>
  <c r="AW238" i="8" s="1"/>
  <c r="BG224" i="8"/>
  <c r="BA224" i="8" s="1"/>
  <c r="BG187" i="8"/>
  <c r="BA187" i="8" s="1"/>
  <c r="BE187" i="8"/>
  <c r="BD187" i="8"/>
  <c r="BD304" i="8"/>
  <c r="BD296" i="8"/>
  <c r="BD288" i="8"/>
  <c r="BD280" i="8"/>
  <c r="BD272" i="8"/>
  <c r="BD264" i="8"/>
  <c r="BD256" i="8"/>
  <c r="BD248" i="8"/>
  <c r="BM246" i="8"/>
  <c r="AZ246" i="8"/>
  <c r="AW243" i="8"/>
  <c r="BD238" i="8"/>
  <c r="BD234" i="8"/>
  <c r="AV234" i="8" s="1"/>
  <c r="BG234" i="8"/>
  <c r="BA234" i="8" s="1"/>
  <c r="BE229" i="8"/>
  <c r="BM224" i="8"/>
  <c r="AW224" i="8"/>
  <c r="BM222" i="8"/>
  <c r="AX222" i="8"/>
  <c r="AZ222" i="8"/>
  <c r="AX209" i="8"/>
  <c r="AW192" i="8"/>
  <c r="BD152" i="8"/>
  <c r="BE152" i="8"/>
  <c r="AW152" i="8" s="1"/>
  <c r="AZ145" i="8"/>
  <c r="AW137" i="8"/>
  <c r="BG135" i="8"/>
  <c r="BA135" i="8" s="1"/>
  <c r="BE135" i="8"/>
  <c r="AZ234" i="8"/>
  <c r="AZ232" i="8"/>
  <c r="BE225" i="8"/>
  <c r="AV225" i="8" s="1"/>
  <c r="BE217" i="8"/>
  <c r="BE209" i="8"/>
  <c r="AV209" i="8" s="1"/>
  <c r="BG206" i="8"/>
  <c r="BA206" i="8" s="1"/>
  <c r="AZ202" i="8"/>
  <c r="BE201" i="8"/>
  <c r="BG198" i="8"/>
  <c r="BA198" i="8" s="1"/>
  <c r="AZ194" i="8"/>
  <c r="BE193" i="8"/>
  <c r="BD183" i="8"/>
  <c r="AV183" i="8" s="1"/>
  <c r="BD138" i="8"/>
  <c r="BE138" i="8"/>
  <c r="AW138" i="8" s="1"/>
  <c r="BG138" i="8"/>
  <c r="BA138" i="8" s="1"/>
  <c r="BM150" i="8"/>
  <c r="BG139" i="8"/>
  <c r="BA139" i="8" s="1"/>
  <c r="BD139" i="8"/>
  <c r="AV139" i="8" s="1"/>
  <c r="BM223" i="8"/>
  <c r="AZ223" i="8"/>
  <c r="BM215" i="8"/>
  <c r="AZ215" i="8"/>
  <c r="BM207" i="8"/>
  <c r="AZ207" i="8"/>
  <c r="BE206" i="8"/>
  <c r="AV206" i="8" s="1"/>
  <c r="AX202" i="8"/>
  <c r="BM199" i="8"/>
  <c r="AZ199" i="8"/>
  <c r="BE198" i="8"/>
  <c r="AV198" i="8" s="1"/>
  <c r="AX194" i="8"/>
  <c r="AZ190" i="8"/>
  <c r="BE189" i="8"/>
  <c r="AV189" i="8" s="1"/>
  <c r="BM187" i="8"/>
  <c r="AZ187" i="8"/>
  <c r="AW184" i="8"/>
  <c r="BD179" i="8"/>
  <c r="AV179" i="8" s="1"/>
  <c r="BD175" i="8"/>
  <c r="AV175" i="8" s="1"/>
  <c r="BD171" i="8"/>
  <c r="AV171" i="8" s="1"/>
  <c r="AW169" i="8"/>
  <c r="BD167" i="8"/>
  <c r="AW165" i="8"/>
  <c r="BD150" i="8"/>
  <c r="BE150" i="8"/>
  <c r="BG200" i="8"/>
  <c r="BA200" i="8" s="1"/>
  <c r="AX190" i="8"/>
  <c r="BG188" i="8"/>
  <c r="BA188" i="8" s="1"/>
  <c r="AW168" i="8"/>
  <c r="AZ151" i="8"/>
  <c r="AZ150" i="8"/>
  <c r="AV113" i="8"/>
  <c r="AW113" i="8"/>
  <c r="BM229" i="8"/>
  <c r="AX212" i="8"/>
  <c r="AX204" i="8"/>
  <c r="BE200" i="8"/>
  <c r="AV200" i="8" s="1"/>
  <c r="AX196" i="8"/>
  <c r="AW190" i="8"/>
  <c r="BD178" i="8"/>
  <c r="BE178" i="8"/>
  <c r="BD174" i="8"/>
  <c r="BE174" i="8"/>
  <c r="AV174" i="8" s="1"/>
  <c r="BD170" i="8"/>
  <c r="BE170" i="8"/>
  <c r="BD166" i="8"/>
  <c r="BE166" i="8"/>
  <c r="BD162" i="8"/>
  <c r="BE162" i="8"/>
  <c r="BD158" i="8"/>
  <c r="BE158" i="8"/>
  <c r="BD154" i="8"/>
  <c r="BE154" i="8"/>
  <c r="BM148" i="8"/>
  <c r="AZ148" i="8"/>
  <c r="BG144" i="8"/>
  <c r="BA144" i="8" s="1"/>
  <c r="BM137" i="8"/>
  <c r="BE221" i="8"/>
  <c r="BE213" i="8"/>
  <c r="AW212" i="8"/>
  <c r="BG210" i="8"/>
  <c r="BA210" i="8" s="1"/>
  <c r="BE205" i="8"/>
  <c r="AW204" i="8"/>
  <c r="BG202" i="8"/>
  <c r="BA202" i="8" s="1"/>
  <c r="BE197" i="8"/>
  <c r="AW196" i="8"/>
  <c r="BG194" i="8"/>
  <c r="BA194" i="8" s="1"/>
  <c r="BE188" i="8"/>
  <c r="AV188" i="8" s="1"/>
  <c r="AX186" i="8"/>
  <c r="BG184" i="8"/>
  <c r="BA184" i="8" s="1"/>
  <c r="AW183" i="8"/>
  <c r="AZ182" i="8"/>
  <c r="BE181" i="8"/>
  <c r="BM179" i="8"/>
  <c r="AZ179" i="8"/>
  <c r="BM175" i="8"/>
  <c r="AZ175" i="8"/>
  <c r="BM171" i="8"/>
  <c r="AZ171" i="8"/>
  <c r="BM167" i="8"/>
  <c r="AZ167" i="8"/>
  <c r="BM163" i="8"/>
  <c r="AZ163" i="8"/>
  <c r="BM159" i="8"/>
  <c r="AZ159" i="8"/>
  <c r="BM155" i="8"/>
  <c r="AZ155" i="8"/>
  <c r="AW151" i="8"/>
  <c r="AX150" i="8"/>
  <c r="BD148" i="8"/>
  <c r="BE148" i="8"/>
  <c r="AV148" i="8" s="1"/>
  <c r="BG134" i="8"/>
  <c r="BA134" i="8" s="1"/>
  <c r="AZ192" i="8"/>
  <c r="BM189" i="8"/>
  <c r="AZ189" i="8"/>
  <c r="AW186" i="8"/>
  <c r="BE144" i="8"/>
  <c r="AV144" i="8" s="1"/>
  <c r="BG143" i="8"/>
  <c r="BA143" i="8" s="1"/>
  <c r="BE143" i="8"/>
  <c r="BG102" i="8"/>
  <c r="BA102" i="8" s="1"/>
  <c r="BD102" i="8"/>
  <c r="BE102" i="8"/>
  <c r="BE210" i="8"/>
  <c r="AV210" i="8" s="1"/>
  <c r="BE202" i="8"/>
  <c r="AV202" i="8" s="1"/>
  <c r="BE194" i="8"/>
  <c r="AW179" i="8"/>
  <c r="BD177" i="8"/>
  <c r="AW175" i="8"/>
  <c r="AW171" i="8"/>
  <c r="AW163" i="8"/>
  <c r="BM149" i="8"/>
  <c r="AZ149" i="8"/>
  <c r="AZ146" i="8"/>
  <c r="BM146" i="8"/>
  <c r="BG145" i="8"/>
  <c r="BA145" i="8" s="1"/>
  <c r="BE145" i="8"/>
  <c r="AW145" i="8" s="1"/>
  <c r="BD145" i="8"/>
  <c r="AV128" i="8"/>
  <c r="AW128" i="8"/>
  <c r="AV126" i="8"/>
  <c r="AZ200" i="8"/>
  <c r="AX192" i="8"/>
  <c r="BM185" i="8"/>
  <c r="AZ185" i="8"/>
  <c r="AX178" i="8"/>
  <c r="AX174" i="8"/>
  <c r="AX170" i="8"/>
  <c r="BM152" i="8"/>
  <c r="BD146" i="8"/>
  <c r="BE146" i="8"/>
  <c r="AV134" i="8"/>
  <c r="AW134" i="8"/>
  <c r="BE132" i="8"/>
  <c r="AV132" i="8" s="1"/>
  <c r="BG132" i="8"/>
  <c r="BA132" i="8" s="1"/>
  <c r="BG131" i="8"/>
  <c r="BA131" i="8" s="1"/>
  <c r="BE131" i="8"/>
  <c r="BG129" i="8"/>
  <c r="BA129" i="8" s="1"/>
  <c r="BE129" i="8"/>
  <c r="AV122" i="8"/>
  <c r="AW122" i="8"/>
  <c r="AZ132" i="8"/>
  <c r="AZ126" i="8"/>
  <c r="BE125" i="8"/>
  <c r="AW121" i="8"/>
  <c r="AW118" i="8"/>
  <c r="BM118" i="8"/>
  <c r="AW102" i="8"/>
  <c r="AZ102" i="8"/>
  <c r="BM102" i="8"/>
  <c r="AV91" i="8"/>
  <c r="AV87" i="8"/>
  <c r="BE81" i="8"/>
  <c r="BG81" i="8"/>
  <c r="BA81" i="8" s="1"/>
  <c r="BD81" i="8"/>
  <c r="BG76" i="8"/>
  <c r="BA76" i="8" s="1"/>
  <c r="BD76" i="8"/>
  <c r="BE76" i="8"/>
  <c r="AV76" i="8" s="1"/>
  <c r="AW6" i="8"/>
  <c r="AX6" i="8"/>
  <c r="AZ6" i="8"/>
  <c r="BM6" i="8"/>
  <c r="AZ114" i="8"/>
  <c r="BM103" i="8"/>
  <c r="AZ103" i="8"/>
  <c r="BG92" i="8"/>
  <c r="BA92" i="8" s="1"/>
  <c r="BE92" i="8"/>
  <c r="AW92" i="8" s="1"/>
  <c r="BD92" i="8"/>
  <c r="BG82" i="8"/>
  <c r="BA82" i="8" s="1"/>
  <c r="BD82" i="8"/>
  <c r="BE82" i="8"/>
  <c r="BE77" i="8"/>
  <c r="BD77" i="8"/>
  <c r="BG77" i="8"/>
  <c r="BA77" i="8" s="1"/>
  <c r="BE63" i="8"/>
  <c r="AW63" i="8" s="1"/>
  <c r="BG63" i="8"/>
  <c r="BA63" i="8" s="1"/>
  <c r="BD63" i="8"/>
  <c r="BM52" i="8"/>
  <c r="AX52" i="8"/>
  <c r="AZ52" i="8"/>
  <c r="AW126" i="8"/>
  <c r="BM119" i="8"/>
  <c r="AZ119" i="8"/>
  <c r="AW112" i="8"/>
  <c r="AZ112" i="8"/>
  <c r="BM112" i="8"/>
  <c r="AZ104" i="8"/>
  <c r="BM104" i="8"/>
  <c r="AX104" i="8"/>
  <c r="BE83" i="8"/>
  <c r="BD83" i="8"/>
  <c r="BG83" i="8"/>
  <c r="BA83" i="8" s="1"/>
  <c r="BE136" i="8"/>
  <c r="AV136" i="8" s="1"/>
  <c r="BG108" i="8"/>
  <c r="BA108" i="8" s="1"/>
  <c r="BE108" i="8"/>
  <c r="BD108" i="8"/>
  <c r="BD93" i="8"/>
  <c r="BE93" i="8"/>
  <c r="BG72" i="8"/>
  <c r="BA72" i="8" s="1"/>
  <c r="BE72" i="8"/>
  <c r="BD72" i="8"/>
  <c r="BM56" i="8"/>
  <c r="AX56" i="8"/>
  <c r="AW56" i="8"/>
  <c r="AZ56" i="8"/>
  <c r="BD133" i="8"/>
  <c r="AV133" i="8" s="1"/>
  <c r="BD127" i="8"/>
  <c r="AV127" i="8" s="1"/>
  <c r="BG120" i="8"/>
  <c r="BA120" i="8" s="1"/>
  <c r="AX119" i="8"/>
  <c r="AW116" i="8"/>
  <c r="BM116" i="8"/>
  <c r="AZ94" i="8"/>
  <c r="BM94" i="8"/>
  <c r="BG78" i="8"/>
  <c r="BA78" i="8" s="1"/>
  <c r="BE78" i="8"/>
  <c r="AW78" i="8" s="1"/>
  <c r="BD78" i="8"/>
  <c r="BG66" i="8"/>
  <c r="BA66" i="8" s="1"/>
  <c r="BE66" i="8"/>
  <c r="AW66" i="8" s="1"/>
  <c r="BD66" i="8"/>
  <c r="BG126" i="8"/>
  <c r="BA126" i="8" s="1"/>
  <c r="BM120" i="8"/>
  <c r="AX118" i="8"/>
  <c r="BD116" i="8"/>
  <c r="AV116" i="8" s="1"/>
  <c r="BD109" i="8"/>
  <c r="BE109" i="8"/>
  <c r="AX103" i="8"/>
  <c r="AW88" i="8"/>
  <c r="BG84" i="8"/>
  <c r="BA84" i="8" s="1"/>
  <c r="BE84" i="8"/>
  <c r="BD84" i="8"/>
  <c r="BE120" i="8"/>
  <c r="AV120" i="8" s="1"/>
  <c r="AZ110" i="8"/>
  <c r="BM110" i="8"/>
  <c r="BM95" i="8"/>
  <c r="AX95" i="8"/>
  <c r="AZ95" i="8"/>
  <c r="BE79" i="8"/>
  <c r="BD79" i="8"/>
  <c r="BG79" i="8"/>
  <c r="BA79" i="8" s="1"/>
  <c r="AZ144" i="8"/>
  <c r="AW142" i="8"/>
  <c r="BG140" i="8"/>
  <c r="BA140" i="8" s="1"/>
  <c r="AZ136" i="8"/>
  <c r="AZ130" i="8"/>
  <c r="AZ124" i="8"/>
  <c r="BE123" i="8"/>
  <c r="BM117" i="8"/>
  <c r="AZ117" i="8"/>
  <c r="AV115" i="8"/>
  <c r="AX112" i="8"/>
  <c r="BG110" i="8"/>
  <c r="BA110" i="8" s="1"/>
  <c r="BD110" i="8"/>
  <c r="BE110" i="8"/>
  <c r="AW110" i="8" s="1"/>
  <c r="BD85" i="8"/>
  <c r="BE85" i="8"/>
  <c r="BG100" i="8"/>
  <c r="BA100" i="8" s="1"/>
  <c r="BE100" i="8"/>
  <c r="AW100" i="8" s="1"/>
  <c r="BD100" i="8"/>
  <c r="AZ86" i="8"/>
  <c r="BM86" i="8"/>
  <c r="AW114" i="8"/>
  <c r="BM114" i="8"/>
  <c r="BG80" i="8"/>
  <c r="BA80" i="8" s="1"/>
  <c r="BD80" i="8"/>
  <c r="BE80" i="8"/>
  <c r="AW80" i="8" s="1"/>
  <c r="BE69" i="8"/>
  <c r="BG69" i="8"/>
  <c r="BA69" i="8" s="1"/>
  <c r="BD69" i="8"/>
  <c r="BE59" i="8"/>
  <c r="BG59" i="8"/>
  <c r="BA59" i="8" s="1"/>
  <c r="BD59" i="8"/>
  <c r="AW130" i="8"/>
  <c r="AZ120" i="8"/>
  <c r="BG118" i="8"/>
  <c r="BA118" i="8" s="1"/>
  <c r="AX116" i="8"/>
  <c r="BD114" i="8"/>
  <c r="AV114" i="8" s="1"/>
  <c r="AX110" i="8"/>
  <c r="BD101" i="8"/>
  <c r="BE101" i="8"/>
  <c r="BM87" i="8"/>
  <c r="AX87" i="8"/>
  <c r="AZ87" i="8"/>
  <c r="BE75" i="8"/>
  <c r="BG75" i="8"/>
  <c r="BA75" i="8" s="1"/>
  <c r="BD75" i="8"/>
  <c r="AW62" i="8"/>
  <c r="AX62" i="8"/>
  <c r="AZ62" i="8"/>
  <c r="BM62" i="8"/>
  <c r="AX96" i="8"/>
  <c r="AX88" i="8"/>
  <c r="BM43" i="8"/>
  <c r="AX43" i="8"/>
  <c r="AZ43" i="8"/>
  <c r="BD105" i="8"/>
  <c r="AV105" i="8" s="1"/>
  <c r="BD97" i="8"/>
  <c r="AV97" i="8" s="1"/>
  <c r="BE94" i="8"/>
  <c r="AW94" i="8" s="1"/>
  <c r="BD89" i="8"/>
  <c r="BE86" i="8"/>
  <c r="AW79" i="8"/>
  <c r="AW73" i="8"/>
  <c r="BG71" i="8"/>
  <c r="BA71" i="8" s="1"/>
  <c r="AW67" i="8"/>
  <c r="BG65" i="8"/>
  <c r="BA65" i="8" s="1"/>
  <c r="BE58" i="8"/>
  <c r="AW55" i="8"/>
  <c r="BG52" i="8"/>
  <c r="BA52" i="8" s="1"/>
  <c r="BD52" i="8"/>
  <c r="BE52" i="8"/>
  <c r="BD94" i="8"/>
  <c r="BD86" i="8"/>
  <c r="BE74" i="8"/>
  <c r="AW74" i="8" s="1"/>
  <c r="BE68" i="8"/>
  <c r="BD58" i="8"/>
  <c r="BM57" i="8"/>
  <c r="AX57" i="8"/>
  <c r="AZ57" i="8"/>
  <c r="BG56" i="8"/>
  <c r="BA56" i="8" s="1"/>
  <c r="BD56" i="8"/>
  <c r="AV56" i="8" s="1"/>
  <c r="BG55" i="8"/>
  <c r="BA55" i="8" s="1"/>
  <c r="BD55" i="8"/>
  <c r="AV55" i="8" s="1"/>
  <c r="BD45" i="8"/>
  <c r="BE45" i="8"/>
  <c r="BG45" i="8"/>
  <c r="BA45" i="8" s="1"/>
  <c r="AX22" i="8"/>
  <c r="BM22" i="8"/>
  <c r="AZ22" i="8"/>
  <c r="BD74" i="8"/>
  <c r="BD71" i="8"/>
  <c r="AV71" i="8" s="1"/>
  <c r="BM61" i="8"/>
  <c r="AW61" i="8"/>
  <c r="BG57" i="8"/>
  <c r="BA57" i="8" s="1"/>
  <c r="BE57" i="8"/>
  <c r="AV57" i="8" s="1"/>
  <c r="BM47" i="8"/>
  <c r="AX47" i="8"/>
  <c r="AZ47" i="8"/>
  <c r="AX108" i="8"/>
  <c r="BD104" i="8"/>
  <c r="AV104" i="8" s="1"/>
  <c r="AX100" i="8"/>
  <c r="BD96" i="8"/>
  <c r="AV96" i="8" s="1"/>
  <c r="AX92" i="8"/>
  <c r="BD88" i="8"/>
  <c r="AV88" i="8" s="1"/>
  <c r="AX84" i="8"/>
  <c r="AX78" i="8"/>
  <c r="BG73" i="8"/>
  <c r="BA73" i="8" s="1"/>
  <c r="AX72" i="8"/>
  <c r="BG67" i="8"/>
  <c r="BA67" i="8" s="1"/>
  <c r="AX66" i="8"/>
  <c r="BD61" i="8"/>
  <c r="AV61" i="8" s="1"/>
  <c r="BM23" i="8"/>
  <c r="AX23" i="8"/>
  <c r="AZ23" i="8"/>
  <c r="AX105" i="8"/>
  <c r="BE70" i="8"/>
  <c r="BE64" i="8"/>
  <c r="AZ107" i="8"/>
  <c r="BE106" i="8"/>
  <c r="AW105" i="8"/>
  <c r="BG103" i="8"/>
  <c r="BA103" i="8" s="1"/>
  <c r="AZ99" i="8"/>
  <c r="BE98" i="8"/>
  <c r="AW97" i="8"/>
  <c r="BG95" i="8"/>
  <c r="BA95" i="8" s="1"/>
  <c r="AZ91" i="8"/>
  <c r="BE90" i="8"/>
  <c r="BG87" i="8"/>
  <c r="BA87" i="8" s="1"/>
  <c r="BM80" i="8"/>
  <c r="AZ80" i="8"/>
  <c r="BM74" i="8"/>
  <c r="AZ74" i="8"/>
  <c r="BD73" i="8"/>
  <c r="AV73" i="8" s="1"/>
  <c r="BD70" i="8"/>
  <c r="BM68" i="8"/>
  <c r="AZ68" i="8"/>
  <c r="BD67" i="8"/>
  <c r="AV67" i="8" s="1"/>
  <c r="BD64" i="8"/>
  <c r="AX42" i="8"/>
  <c r="BM42" i="8"/>
  <c r="AZ42" i="8"/>
  <c r="BE18" i="8"/>
  <c r="BG18" i="8"/>
  <c r="BA18" i="8" s="1"/>
  <c r="BD18" i="8"/>
  <c r="BE103" i="8"/>
  <c r="AV103" i="8" s="1"/>
  <c r="BM96" i="8"/>
  <c r="BM88" i="8"/>
  <c r="AW71" i="8"/>
  <c r="AZ109" i="8"/>
  <c r="AZ101" i="8"/>
  <c r="AZ93" i="8"/>
  <c r="AW91" i="8"/>
  <c r="AZ85" i="8"/>
  <c r="AZ79" i="8"/>
  <c r="AZ73" i="8"/>
  <c r="AZ67" i="8"/>
  <c r="BM63" i="8"/>
  <c r="AX61" i="8"/>
  <c r="BM59" i="8"/>
  <c r="BM50" i="8"/>
  <c r="AX50" i="8"/>
  <c r="BG49" i="8"/>
  <c r="BA49" i="8" s="1"/>
  <c r="BD49" i="8"/>
  <c r="BE49" i="8"/>
  <c r="BE53" i="8"/>
  <c r="AZ49" i="8"/>
  <c r="BD47" i="8"/>
  <c r="BG47" i="8"/>
  <c r="BA47" i="8" s="1"/>
  <c r="AV46" i="8"/>
  <c r="AX44" i="8"/>
  <c r="BM44" i="8"/>
  <c r="AX20" i="8"/>
  <c r="BM20" i="8"/>
  <c r="BE16" i="8"/>
  <c r="AV16" i="8" s="1"/>
  <c r="BG16" i="8"/>
  <c r="BA16" i="8" s="1"/>
  <c r="AV4" i="8"/>
  <c r="AZ54" i="8"/>
  <c r="AX49" i="8"/>
  <c r="BD44" i="8"/>
  <c r="AV44" i="8" s="1"/>
  <c r="BD43" i="8"/>
  <c r="BE43" i="8"/>
  <c r="BG43" i="8"/>
  <c r="BA43" i="8" s="1"/>
  <c r="BE42" i="8"/>
  <c r="AW42" i="8" s="1"/>
  <c r="AX40" i="8"/>
  <c r="BM40" i="8"/>
  <c r="AX24" i="8"/>
  <c r="BM24" i="8"/>
  <c r="BE20" i="8"/>
  <c r="AV20" i="8" s="1"/>
  <c r="BG20" i="8"/>
  <c r="BA20" i="8" s="1"/>
  <c r="AZ19" i="8"/>
  <c r="BM7" i="8"/>
  <c r="BD42" i="8"/>
  <c r="BD41" i="8"/>
  <c r="BE41" i="8"/>
  <c r="BG41" i="8"/>
  <c r="BA41" i="8" s="1"/>
  <c r="BE40" i="8"/>
  <c r="AX38" i="8"/>
  <c r="BM38" i="8"/>
  <c r="AX36" i="8"/>
  <c r="BM36" i="8"/>
  <c r="AX34" i="8"/>
  <c r="BM34" i="8"/>
  <c r="AX32" i="8"/>
  <c r="BM32" i="8"/>
  <c r="AX30" i="8"/>
  <c r="BM30" i="8"/>
  <c r="AX28" i="8"/>
  <c r="BM28" i="8"/>
  <c r="AX26" i="8"/>
  <c r="BM26" i="8"/>
  <c r="BE22" i="8"/>
  <c r="AV22" i="8" s="1"/>
  <c r="BG22" i="8"/>
  <c r="BA22" i="8" s="1"/>
  <c r="AW8" i="8"/>
  <c r="AX8" i="8"/>
  <c r="BM8" i="8"/>
  <c r="BD40" i="8"/>
  <c r="BD39" i="8"/>
  <c r="BE39" i="8"/>
  <c r="BG39" i="8"/>
  <c r="BA39" i="8" s="1"/>
  <c r="BD37" i="8"/>
  <c r="BE37" i="8"/>
  <c r="BG37" i="8"/>
  <c r="BA37" i="8" s="1"/>
  <c r="BD35" i="8"/>
  <c r="BE35" i="8"/>
  <c r="AW35" i="8" s="1"/>
  <c r="BG35" i="8"/>
  <c r="BA35" i="8" s="1"/>
  <c r="BD33" i="8"/>
  <c r="BE33" i="8"/>
  <c r="BG33" i="8"/>
  <c r="BA33" i="8" s="1"/>
  <c r="BD31" i="8"/>
  <c r="BE31" i="8"/>
  <c r="BG31" i="8"/>
  <c r="BA31" i="8" s="1"/>
  <c r="BD29" i="8"/>
  <c r="BE29" i="8"/>
  <c r="BG29" i="8"/>
  <c r="BA29" i="8" s="1"/>
  <c r="BD27" i="8"/>
  <c r="BE27" i="8"/>
  <c r="AW27" i="8" s="1"/>
  <c r="BG27" i="8"/>
  <c r="BA27" i="8" s="1"/>
  <c r="BE24" i="8"/>
  <c r="AV24" i="8" s="1"/>
  <c r="BG24" i="8"/>
  <c r="BA24" i="8" s="1"/>
  <c r="BM9" i="8"/>
  <c r="BE38" i="8"/>
  <c r="AV38" i="8" s="1"/>
  <c r="BG38" i="8"/>
  <c r="BA38" i="8" s="1"/>
  <c r="BE36" i="8"/>
  <c r="AV36" i="8" s="1"/>
  <c r="BG36" i="8"/>
  <c r="BA36" i="8" s="1"/>
  <c r="BE34" i="8"/>
  <c r="AV34" i="8" s="1"/>
  <c r="BG34" i="8"/>
  <c r="BA34" i="8" s="1"/>
  <c r="BE32" i="8"/>
  <c r="AV32" i="8" s="1"/>
  <c r="BG32" i="8"/>
  <c r="BA32" i="8" s="1"/>
  <c r="BE30" i="8"/>
  <c r="AV30" i="8" s="1"/>
  <c r="BG30" i="8"/>
  <c r="BA30" i="8" s="1"/>
  <c r="BE28" i="8"/>
  <c r="AV28" i="8" s="1"/>
  <c r="BG28" i="8"/>
  <c r="BA28" i="8" s="1"/>
  <c r="BE26" i="8"/>
  <c r="AV26" i="8" s="1"/>
  <c r="BG26" i="8"/>
  <c r="BA26" i="8" s="1"/>
  <c r="AX10" i="8"/>
  <c r="BM10" i="8"/>
  <c r="AV8" i="8"/>
  <c r="BE50" i="8"/>
  <c r="AZ39" i="8"/>
  <c r="AZ37" i="8"/>
  <c r="AZ35" i="8"/>
  <c r="AZ33" i="8"/>
  <c r="AZ31" i="8"/>
  <c r="AZ29" i="8"/>
  <c r="AZ27" i="8"/>
  <c r="BM11" i="8"/>
  <c r="BD50" i="8"/>
  <c r="AW44" i="8"/>
  <c r="AZ38" i="8"/>
  <c r="AZ36" i="8"/>
  <c r="AZ34" i="8"/>
  <c r="AZ32" i="8"/>
  <c r="AZ30" i="8"/>
  <c r="AZ28" i="8"/>
  <c r="AZ26" i="8"/>
  <c r="AW12" i="8"/>
  <c r="AX12" i="8"/>
  <c r="BM12" i="8"/>
  <c r="AZ9" i="8"/>
  <c r="AZ8" i="8"/>
  <c r="AX7" i="8"/>
  <c r="AW2" i="8"/>
  <c r="AX2" i="8"/>
  <c r="AZ2" i="8"/>
  <c r="BM2" i="8"/>
  <c r="AX39" i="8"/>
  <c r="AX37" i="8"/>
  <c r="AX35" i="8"/>
  <c r="AX33" i="8"/>
  <c r="AX31" i="8"/>
  <c r="AX29" i="8"/>
  <c r="AX27" i="8"/>
  <c r="BM13" i="8"/>
  <c r="AX48" i="8"/>
  <c r="BM48" i="8"/>
  <c r="AW37" i="8"/>
  <c r="AW14" i="8"/>
  <c r="AX14" i="8"/>
  <c r="BM14" i="8"/>
  <c r="AZ10" i="8"/>
  <c r="AX9" i="8"/>
  <c r="AV2" i="8"/>
  <c r="AX16" i="8"/>
  <c r="BM16" i="8"/>
  <c r="AW4" i="8"/>
  <c r="AX4" i="8"/>
  <c r="AZ4" i="8"/>
  <c r="BM4" i="8"/>
  <c r="BD54" i="8"/>
  <c r="AW51" i="8"/>
  <c r="BD48" i="8"/>
  <c r="BE47" i="8"/>
  <c r="AX46" i="8"/>
  <c r="BM46" i="8"/>
  <c r="AW18" i="8"/>
  <c r="AX18" i="8"/>
  <c r="BM18" i="8"/>
  <c r="BG14" i="8"/>
  <c r="BA14" i="8" s="1"/>
  <c r="BG12" i="8"/>
  <c r="BA12" i="8" s="1"/>
  <c r="BG10" i="8"/>
  <c r="BA10" i="8" s="1"/>
  <c r="BG8" i="8"/>
  <c r="BA8" i="8" s="1"/>
  <c r="BG6" i="8"/>
  <c r="BA6" i="8" s="1"/>
  <c r="BM5" i="8"/>
  <c r="BG4" i="8"/>
  <c r="BA4" i="8" s="1"/>
  <c r="BG2" i="8"/>
  <c r="BA2" i="8" s="1"/>
  <c r="BG25" i="8"/>
  <c r="BA25" i="8" s="1"/>
  <c r="BG23" i="8"/>
  <c r="BA23" i="8" s="1"/>
  <c r="BG21" i="8"/>
  <c r="BA21" i="8" s="1"/>
  <c r="BG19" i="8"/>
  <c r="BA19" i="8" s="1"/>
  <c r="BG17" i="8"/>
  <c r="BA17" i="8" s="1"/>
  <c r="BG15" i="8"/>
  <c r="BA15" i="8" s="1"/>
  <c r="BG13" i="8"/>
  <c r="BA13" i="8" s="1"/>
  <c r="BG11" i="8"/>
  <c r="BA11" i="8" s="1"/>
  <c r="BG9" i="8"/>
  <c r="BA9" i="8" s="1"/>
  <c r="BG7" i="8"/>
  <c r="BA7" i="8" s="1"/>
  <c r="BG5" i="8"/>
  <c r="BA5" i="8" s="1"/>
  <c r="BG3" i="8"/>
  <c r="BA3" i="8" s="1"/>
  <c r="BE25" i="8"/>
  <c r="BE23" i="8"/>
  <c r="AV23" i="8" s="1"/>
  <c r="BE21" i="8"/>
  <c r="BE19" i="8"/>
  <c r="BE17" i="8"/>
  <c r="BE15" i="8"/>
  <c r="BE13" i="8"/>
  <c r="AV13" i="8" s="1"/>
  <c r="BE11" i="8"/>
  <c r="AV11" i="8" s="1"/>
  <c r="BE9" i="8"/>
  <c r="AV9" i="8" s="1"/>
  <c r="BE7" i="8"/>
  <c r="AV7" i="8" s="1"/>
  <c r="BE5" i="8"/>
  <c r="AV5" i="8" s="1"/>
  <c r="BE3" i="8"/>
  <c r="AV154" i="8" l="1"/>
  <c r="AV178" i="8"/>
  <c r="AV68" i="8"/>
  <c r="AV169" i="8"/>
  <c r="AV201" i="8"/>
  <c r="AW149" i="8"/>
  <c r="AV167" i="8"/>
  <c r="AV173" i="8"/>
  <c r="AV217" i="8"/>
  <c r="AV320" i="8"/>
  <c r="AV95" i="8"/>
  <c r="AV259" i="8"/>
  <c r="AV208" i="8"/>
  <c r="AV31" i="8"/>
  <c r="AV39" i="8"/>
  <c r="AV177" i="8"/>
  <c r="AV48" i="8"/>
  <c r="AV124" i="8"/>
  <c r="AV186" i="8"/>
  <c r="AV271" i="8"/>
  <c r="AV142" i="8"/>
  <c r="AV117" i="8"/>
  <c r="AV89" i="8"/>
  <c r="AW189" i="8"/>
  <c r="AW259" i="8"/>
  <c r="AV246" i="8"/>
  <c r="AV29" i="8"/>
  <c r="AV37" i="8"/>
  <c r="AW24" i="8"/>
  <c r="AW188" i="8"/>
  <c r="AW225" i="8"/>
  <c r="AW285" i="8"/>
  <c r="AW309" i="8"/>
  <c r="AW38" i="8"/>
  <c r="AV70" i="8"/>
  <c r="AV279" i="8"/>
  <c r="AV150" i="8"/>
  <c r="AV52" i="8"/>
  <c r="AV159" i="8"/>
  <c r="AV340" i="8"/>
  <c r="AV350" i="8"/>
  <c r="AV267" i="8"/>
  <c r="AV276" i="8"/>
  <c r="AV275" i="8"/>
  <c r="AV54" i="8"/>
  <c r="AW301" i="8"/>
  <c r="AV60" i="8"/>
  <c r="AV250" i="8"/>
  <c r="AW334" i="8"/>
  <c r="AV33" i="8"/>
  <c r="AW277" i="8"/>
  <c r="AW29" i="8"/>
  <c r="AV99" i="8"/>
  <c r="AW124" i="8"/>
  <c r="AV162" i="8"/>
  <c r="AW275" i="8"/>
  <c r="AV107" i="8"/>
  <c r="AV63" i="8"/>
  <c r="AW144" i="8"/>
  <c r="AV166" i="8"/>
  <c r="AV193" i="8"/>
  <c r="AW201" i="8"/>
  <c r="AV324" i="8"/>
  <c r="AW214" i="8"/>
  <c r="AV219" i="8"/>
  <c r="AW219" i="8"/>
  <c r="AV170" i="8"/>
  <c r="AV168" i="8"/>
  <c r="AV322" i="8"/>
  <c r="AV255" i="8"/>
  <c r="AW28" i="8"/>
  <c r="AW30" i="8"/>
  <c r="AV59" i="8"/>
  <c r="AV82" i="8"/>
  <c r="AW195" i="8"/>
  <c r="AV283" i="8"/>
  <c r="AV207" i="8"/>
  <c r="AV328" i="8"/>
  <c r="AW191" i="8"/>
  <c r="AV191" i="8"/>
  <c r="AV190" i="8"/>
  <c r="AV141" i="8"/>
  <c r="AV137" i="8"/>
  <c r="AW34" i="8"/>
  <c r="AW99" i="8"/>
  <c r="AV86" i="8"/>
  <c r="AW166" i="8"/>
  <c r="AV272" i="8"/>
  <c r="AW322" i="8"/>
  <c r="AV111" i="8"/>
  <c r="AW111" i="8"/>
  <c r="AV147" i="8"/>
  <c r="AV140" i="8"/>
  <c r="AV245" i="8"/>
  <c r="AW247" i="8"/>
  <c r="AV247" i="8"/>
  <c r="AW32" i="8"/>
  <c r="AV10" i="8"/>
  <c r="AV47" i="8"/>
  <c r="AW59" i="8"/>
  <c r="AW328" i="8"/>
  <c r="AW33" i="8"/>
  <c r="AW36" i="8"/>
  <c r="AV43" i="8"/>
  <c r="AV138" i="8"/>
  <c r="AW293" i="8"/>
  <c r="AW320" i="8"/>
  <c r="AV348" i="8"/>
  <c r="AW147" i="8"/>
  <c r="AV64" i="8"/>
  <c r="AV296" i="8"/>
  <c r="AW296" i="8"/>
  <c r="AV180" i="8"/>
  <c r="AW180" i="8"/>
  <c r="AV235" i="8"/>
  <c r="AW235" i="8"/>
  <c r="AV216" i="8"/>
  <c r="AV257" i="8"/>
  <c r="AW257" i="8"/>
  <c r="AW231" i="8"/>
  <c r="AV231" i="8"/>
  <c r="AW207" i="8"/>
  <c r="AW193" i="8"/>
  <c r="AV164" i="8"/>
  <c r="AW164" i="8"/>
  <c r="AV323" i="8"/>
  <c r="AW323" i="8"/>
  <c r="AV222" i="8"/>
  <c r="AW222" i="8"/>
  <c r="AV332" i="8"/>
  <c r="AW57" i="8"/>
  <c r="AV110" i="8"/>
  <c r="AW170" i="8"/>
  <c r="AV229" i="8"/>
  <c r="AW229" i="8"/>
  <c r="AV248" i="8"/>
  <c r="AW248" i="8"/>
  <c r="AV239" i="8"/>
  <c r="AW239" i="8"/>
  <c r="AV302" i="8"/>
  <c r="AW302" i="8"/>
  <c r="AV289" i="8"/>
  <c r="AW289" i="8"/>
  <c r="AW252" i="8"/>
  <c r="AV252" i="8"/>
  <c r="AW272" i="8"/>
  <c r="AV333" i="8"/>
  <c r="AW333" i="8"/>
  <c r="AV53" i="8"/>
  <c r="AW53" i="8"/>
  <c r="AW90" i="8"/>
  <c r="AV90" i="8"/>
  <c r="AV101" i="8"/>
  <c r="AW101" i="8"/>
  <c r="AW76" i="8"/>
  <c r="AV125" i="8"/>
  <c r="AW125" i="8"/>
  <c r="AV143" i="8"/>
  <c r="AW143" i="8"/>
  <c r="AV197" i="8"/>
  <c r="AW197" i="8"/>
  <c r="AW148" i="8"/>
  <c r="AV135" i="8"/>
  <c r="AW135" i="8"/>
  <c r="AW174" i="8"/>
  <c r="AV256" i="8"/>
  <c r="AW256" i="8"/>
  <c r="AV304" i="8"/>
  <c r="AW304" i="8"/>
  <c r="AV278" i="8"/>
  <c r="AW278" i="8"/>
  <c r="AV240" i="8"/>
  <c r="AW240" i="8"/>
  <c r="AV224" i="8"/>
  <c r="AV329" i="8"/>
  <c r="AW329" i="8"/>
  <c r="AV223" i="8"/>
  <c r="AW237" i="8"/>
  <c r="AW324" i="8"/>
  <c r="AW11" i="8"/>
  <c r="AW26" i="8"/>
  <c r="AV49" i="8"/>
  <c r="AW49" i="8"/>
  <c r="AW86" i="8"/>
  <c r="AW120" i="8"/>
  <c r="AV72" i="8"/>
  <c r="AW64" i="8"/>
  <c r="AV146" i="8"/>
  <c r="AW146" i="8"/>
  <c r="AW178" i="8"/>
  <c r="AV265" i="8"/>
  <c r="AW265" i="8"/>
  <c r="AW209" i="8"/>
  <c r="AW291" i="8"/>
  <c r="AW206" i="8"/>
  <c r="AW306" i="8"/>
  <c r="AV342" i="8"/>
  <c r="AW342" i="8"/>
  <c r="AV313" i="8"/>
  <c r="AW313" i="8"/>
  <c r="AV15" i="8"/>
  <c r="AW15" i="8"/>
  <c r="AV40" i="8"/>
  <c r="AW40" i="8"/>
  <c r="AW68" i="8"/>
  <c r="AW72" i="8"/>
  <c r="AV199" i="8"/>
  <c r="AV254" i="8"/>
  <c r="AW254" i="8"/>
  <c r="AV310" i="8"/>
  <c r="AW310" i="8"/>
  <c r="AW346" i="8"/>
  <c r="AV17" i="8"/>
  <c r="AW17" i="8"/>
  <c r="AW23" i="8"/>
  <c r="AV94" i="8"/>
  <c r="AV77" i="8"/>
  <c r="AW77" i="8"/>
  <c r="AV81" i="8"/>
  <c r="AW81" i="8"/>
  <c r="AV205" i="8"/>
  <c r="AW205" i="8"/>
  <c r="AW200" i="8"/>
  <c r="AW210" i="8"/>
  <c r="AV312" i="8"/>
  <c r="AW312" i="8"/>
  <c r="AV297" i="8"/>
  <c r="AW297" i="8"/>
  <c r="AV176" i="8"/>
  <c r="AW176" i="8"/>
  <c r="AW217" i="8"/>
  <c r="AW215" i="8"/>
  <c r="AW276" i="8"/>
  <c r="AV338" i="8"/>
  <c r="AW338" i="8"/>
  <c r="AV318" i="8"/>
  <c r="AW318" i="8"/>
  <c r="AV19" i="8"/>
  <c r="AW19" i="8"/>
  <c r="AW5" i="8"/>
  <c r="AW39" i="8"/>
  <c r="AV41" i="8"/>
  <c r="AW41" i="8"/>
  <c r="AV18" i="8"/>
  <c r="AW98" i="8"/>
  <c r="AV98" i="8"/>
  <c r="AV69" i="8"/>
  <c r="AW69" i="8"/>
  <c r="AV100" i="8"/>
  <c r="AV84" i="8"/>
  <c r="AV66" i="8"/>
  <c r="AV93" i="8"/>
  <c r="AW93" i="8"/>
  <c r="AV181" i="8"/>
  <c r="AW181" i="8"/>
  <c r="AV158" i="8"/>
  <c r="AV187" i="8"/>
  <c r="AW187" i="8"/>
  <c r="AV262" i="8"/>
  <c r="AW262" i="8"/>
  <c r="AV286" i="8"/>
  <c r="AW286" i="8"/>
  <c r="AV273" i="8"/>
  <c r="AW273" i="8"/>
  <c r="AV268" i="8"/>
  <c r="AW299" i="8"/>
  <c r="AV263" i="8"/>
  <c r="AW263" i="8"/>
  <c r="AV156" i="8"/>
  <c r="AV330" i="8"/>
  <c r="AV21" i="8"/>
  <c r="AW21" i="8"/>
  <c r="AW9" i="8"/>
  <c r="AV42" i="8"/>
  <c r="AW20" i="8"/>
  <c r="AW70" i="8"/>
  <c r="AV80" i="8"/>
  <c r="AV79" i="8"/>
  <c r="AV83" i="8"/>
  <c r="AW83" i="8"/>
  <c r="AW132" i="8"/>
  <c r="AV129" i="8"/>
  <c r="AW129" i="8"/>
  <c r="AV145" i="8"/>
  <c r="AW150" i="8"/>
  <c r="AV152" i="8"/>
  <c r="AV280" i="8"/>
  <c r="AW199" i="8"/>
  <c r="AV204" i="8"/>
  <c r="AV319" i="8"/>
  <c r="AW319" i="8"/>
  <c r="AV336" i="8"/>
  <c r="AW336" i="8"/>
  <c r="AV314" i="8"/>
  <c r="AW314" i="8"/>
  <c r="AV241" i="8"/>
  <c r="AW241" i="8"/>
  <c r="AV233" i="8"/>
  <c r="AW233" i="8"/>
  <c r="AV123" i="8"/>
  <c r="AW123" i="8"/>
  <c r="AV194" i="8"/>
  <c r="AW194" i="8"/>
  <c r="AW213" i="8"/>
  <c r="AV213" i="8"/>
  <c r="AW216" i="8"/>
  <c r="AV311" i="8"/>
  <c r="AW311" i="8"/>
  <c r="AV25" i="8"/>
  <c r="AW25" i="8"/>
  <c r="AW22" i="8"/>
  <c r="AW58" i="8"/>
  <c r="AV58" i="8"/>
  <c r="AV85" i="8"/>
  <c r="AW85" i="8"/>
  <c r="AV78" i="8"/>
  <c r="AV131" i="8"/>
  <c r="AW131" i="8"/>
  <c r="AW221" i="8"/>
  <c r="AV221" i="8"/>
  <c r="AW154" i="8"/>
  <c r="AV242" i="8"/>
  <c r="AW242" i="8"/>
  <c r="AV218" i="8"/>
  <c r="AW218" i="8"/>
  <c r="AV249" i="8"/>
  <c r="AW249" i="8"/>
  <c r="AV281" i="8"/>
  <c r="AW281" i="8"/>
  <c r="AV305" i="8"/>
  <c r="AW305" i="8"/>
  <c r="AV172" i="8"/>
  <c r="AW172" i="8"/>
  <c r="AV160" i="8"/>
  <c r="AV325" i="8"/>
  <c r="AW325" i="8"/>
  <c r="AW350" i="8"/>
  <c r="AW317" i="8"/>
  <c r="AV3" i="8"/>
  <c r="AW3" i="8"/>
  <c r="AW16" i="8"/>
  <c r="AW31" i="8"/>
  <c r="AW13" i="8"/>
  <c r="AW7" i="8"/>
  <c r="AV106" i="8"/>
  <c r="AW106" i="8"/>
  <c r="AW47" i="8"/>
  <c r="AV74" i="8"/>
  <c r="AW43" i="8"/>
  <c r="AV75" i="8"/>
  <c r="AW75" i="8"/>
  <c r="AV109" i="8"/>
  <c r="AW109" i="8"/>
  <c r="AV108" i="8"/>
  <c r="AW52" i="8"/>
  <c r="AV92" i="8"/>
  <c r="AW158" i="8"/>
  <c r="AV238" i="8"/>
  <c r="AV288" i="8"/>
  <c r="AV270" i="8"/>
  <c r="AW270" i="8"/>
  <c r="AV294" i="8"/>
  <c r="AW294" i="8"/>
  <c r="AW208" i="8"/>
  <c r="AW198" i="8"/>
  <c r="AV316" i="8"/>
  <c r="AW316" i="8"/>
  <c r="AW332" i="8"/>
  <c r="AV326" i="8"/>
  <c r="AW264" i="8"/>
  <c r="AW340" i="8"/>
  <c r="AV50" i="8"/>
  <c r="AW50" i="8"/>
  <c r="AV27" i="8"/>
  <c r="AV35" i="8"/>
  <c r="AV45" i="8"/>
  <c r="AW45" i="8"/>
  <c r="AW136" i="8"/>
  <c r="AW103" i="8"/>
  <c r="AW84" i="8"/>
  <c r="AW108" i="8"/>
  <c r="AW82" i="8"/>
  <c r="AV102" i="8"/>
  <c r="AW202" i="8"/>
  <c r="AW162" i="8"/>
  <c r="AV307" i="8"/>
  <c r="AW307" i="8"/>
  <c r="AV227" i="8"/>
  <c r="AW227" i="8"/>
  <c r="AW280" i="8"/>
  <c r="AV331" i="8"/>
  <c r="AW331" i="8"/>
  <c r="AV315" i="8"/>
  <c r="AW315" i="8"/>
  <c r="AV344" i="8"/>
  <c r="AW344" i="8"/>
  <c r="AW348" i="8"/>
</calcChain>
</file>

<file path=xl/sharedStrings.xml><?xml version="1.0" encoding="utf-8"?>
<sst xmlns="http://schemas.openxmlformats.org/spreadsheetml/2006/main" count="7247" uniqueCount="1447">
  <si>
    <t>no</t>
  </si>
  <si>
    <t>nomor_ruas</t>
  </si>
  <si>
    <t>nama_ruas</t>
  </si>
  <si>
    <t>nama_ruas_norm</t>
  </si>
  <si>
    <t>desa_yang_dilalui</t>
  </si>
  <si>
    <t>kecamatan_yang_dilalui</t>
  </si>
  <si>
    <t>jumlah_desa_yang_dilalui</t>
  </si>
  <si>
    <t>jumlah_kecamatan_yang_dilalui</t>
  </si>
  <si>
    <t>jumlah_penduduk_dilayani</t>
  </si>
  <si>
    <t>terhubung_ruas_provinsi</t>
  </si>
  <si>
    <t>terhubung_ruas_nasional</t>
  </si>
  <si>
    <t>jarak_pasar_m</t>
  </si>
  <si>
    <t>jarak_puskesmas_m</t>
  </si>
  <si>
    <t>jarak_rsud_m</t>
  </si>
  <si>
    <t>jarak_sd_smp_m</t>
  </si>
  <si>
    <t>jarak_ibukota_m</t>
  </si>
  <si>
    <t>akses_terputus_ibukota</t>
  </si>
  <si>
    <t>akses_terputus_pasar</t>
  </si>
  <si>
    <t>akses_terputus_puskesmas</t>
  </si>
  <si>
    <t>akses_terputus_rsud</t>
  </si>
  <si>
    <t>akses_terputus_sd_smp</t>
  </si>
  <si>
    <t>panjang_km_2023</t>
  </si>
  <si>
    <t>lebar_m_2023</t>
  </si>
  <si>
    <t>hotmix_km_2023</t>
  </si>
  <si>
    <t>lapen_km_2023</t>
  </si>
  <si>
    <t>beton_km_2023</t>
  </si>
  <si>
    <t>telford_kerikil_km_2023</t>
  </si>
  <si>
    <t>tanah_belum_tembus_km_2023</t>
  </si>
  <si>
    <t>baik_km_2023</t>
  </si>
  <si>
    <t>sedang_km_2023</t>
  </si>
  <si>
    <t>rusak_ringan_km_2023</t>
  </si>
  <si>
    <t>rusak_berat_km_2023</t>
  </si>
  <si>
    <t>jalan_mantap_pct_2023</t>
  </si>
  <si>
    <t>panjang_km_2024</t>
  </si>
  <si>
    <t>lebar_m_2024</t>
  </si>
  <si>
    <t>hotmix_km_2024</t>
  </si>
  <si>
    <t>lapen_km_2024</t>
  </si>
  <si>
    <t>beton_km_2024</t>
  </si>
  <si>
    <t>telford_kerikil_km_2024</t>
  </si>
  <si>
    <t>tanah_belum_tembus_km_2024</t>
  </si>
  <si>
    <t>baik_km_2024</t>
  </si>
  <si>
    <t>sedang_km_2024</t>
  </si>
  <si>
    <t>rusak_ringan_km_2024</t>
  </si>
  <si>
    <t>rusak_berat_km_2024</t>
  </si>
  <si>
    <t>jalan_mantap_pct_2024</t>
  </si>
  <si>
    <t>panjang_survei_km_2025</t>
  </si>
  <si>
    <t>beton_km_2025</t>
  </si>
  <si>
    <t>blok_beton_km_2025</t>
  </si>
  <si>
    <t>aspal_km_2025</t>
  </si>
  <si>
    <t>lapen_km_2025</t>
  </si>
  <si>
    <t>baik_km_2025</t>
  </si>
  <si>
    <t>sedang_km_2025</t>
  </si>
  <si>
    <t>rusak_ringan_km_2025</t>
  </si>
  <si>
    <t>rusak_berat_km_2025</t>
  </si>
  <si>
    <t>jalan_mantap_km_2025</t>
  </si>
  <si>
    <t>jalan_tidak_mantap_km_2025</t>
  </si>
  <si>
    <t>jalan_mantap_pct_2025</t>
  </si>
  <si>
    <t>jalan_tidak_mantap_pct_2025</t>
  </si>
  <si>
    <t>aadt_mc_2025</t>
  </si>
  <si>
    <t>sdi_baik_km_2025</t>
  </si>
  <si>
    <t>sdi_sedang_km_2025</t>
  </si>
  <si>
    <t>sdi_rusak_ringan_km_2025</t>
  </si>
  <si>
    <t>sdi_rusak_berat_km_2025</t>
  </si>
  <si>
    <t>prior_handled_any_pre2024</t>
  </si>
  <si>
    <t>prior_handled_count_pre2024</t>
  </si>
  <si>
    <t>prior_handled_last_year_pre2024</t>
  </si>
  <si>
    <t>years_since_last_handled_pre2024</t>
  </si>
  <si>
    <t>prior_handled_any_pre2025</t>
  </si>
  <si>
    <t>prior_handled_count_pre2025</t>
  </si>
  <si>
    <t>prior_handled_last_year_pre2025</t>
  </si>
  <si>
    <t>years_since_last_handled_pre2025</t>
  </si>
  <si>
    <t>prior_handled_any_pre2026</t>
  </si>
  <si>
    <t>prior_handled_count_pre2026</t>
  </si>
  <si>
    <t>prior_handled_last_year_pre2026</t>
  </si>
  <si>
    <t>years_since_last_handled_pre2026</t>
  </si>
  <si>
    <t>handled_any_2021</t>
  </si>
  <si>
    <t>handled_any_2022</t>
  </si>
  <si>
    <t>handled_any_2023</t>
  </si>
  <si>
    <t>handled_any_2024</t>
  </si>
  <si>
    <t>handled_any_2025</t>
  </si>
  <si>
    <t>handled_pl_2021</t>
  </si>
  <si>
    <t>handled_pl_2022</t>
  </si>
  <si>
    <t>handled_pl_2023</t>
  </si>
  <si>
    <t>handled_pl_2024</t>
  </si>
  <si>
    <t>handled_pl_2025</t>
  </si>
  <si>
    <t>handled_tender_2021</t>
  </si>
  <si>
    <t>handled_tender_2022</t>
  </si>
  <si>
    <t>handled_tender_2023</t>
  </si>
  <si>
    <t>handled_tender_2024</t>
  </si>
  <si>
    <t>handled_tender_2025</t>
  </si>
  <si>
    <t>planned_any_2026</t>
  </si>
  <si>
    <t>planned_any_2027</t>
  </si>
  <si>
    <t>planned_pl_2026</t>
  </si>
  <si>
    <t>planned_pl_2027</t>
  </si>
  <si>
    <t>planned_tender_2026</t>
  </si>
  <si>
    <t>planned_tender_2027</t>
  </si>
  <si>
    <t>035</t>
  </si>
  <si>
    <t>AES Nasution</t>
  </si>
  <si>
    <t>aes nasution</t>
  </si>
  <si>
    <t>Baluti</t>
  </si>
  <si>
    <t>Kandangan</t>
  </si>
  <si>
    <t>234</t>
  </si>
  <si>
    <t>Air Miris - Ds. Wasah Hilir</t>
  </si>
  <si>
    <t>air miris – desa wasah hilir</t>
  </si>
  <si>
    <t>Wasah Hilir, Wasah Tengah</t>
  </si>
  <si>
    <t>Simpur</t>
  </si>
  <si>
    <t>345</t>
  </si>
  <si>
    <t>Al - Ikhlas - Ds. Baluti</t>
  </si>
  <si>
    <t>al – ikhlas – desa baluti</t>
  </si>
  <si>
    <t>Baluti, Tibung Raya</t>
  </si>
  <si>
    <t>008</t>
  </si>
  <si>
    <t>Aluh Idut</t>
  </si>
  <si>
    <t>aluh idut</t>
  </si>
  <si>
    <t>Kandangan Barat, Kandangan Kota, Kandangan Utara</t>
  </si>
  <si>
    <t>032</t>
  </si>
  <si>
    <t>Amawang Kanan - Wasah Hulu</t>
  </si>
  <si>
    <t>amawang kanan – wasah hulu</t>
  </si>
  <si>
    <t>Amawang Kanan, Wasah Hulu</t>
  </si>
  <si>
    <t>Kandangan, Simpur</t>
  </si>
  <si>
    <t>031</t>
  </si>
  <si>
    <t>Amawang Muka - Getek</t>
  </si>
  <si>
    <t>amawang muka – getek</t>
  </si>
  <si>
    <t>Amawang Kiri, Amawang Kiri Muka, Bariang, Sungai Paring</t>
  </si>
  <si>
    <t>149</t>
  </si>
  <si>
    <t>Ambarai - Madang</t>
  </si>
  <si>
    <t>ambarai – madang</t>
  </si>
  <si>
    <t>Karang Jawa, Madang</t>
  </si>
  <si>
    <t>Padang Batung</t>
  </si>
  <si>
    <t>187</t>
  </si>
  <si>
    <t>AMD - Ds. Lok Binuang</t>
  </si>
  <si>
    <t>amd – desa lok binuang</t>
  </si>
  <si>
    <t>Lok Binuang, Telaga Langsat</t>
  </si>
  <si>
    <t>Telaga Langsat</t>
  </si>
  <si>
    <t>214</t>
  </si>
  <si>
    <t>Amparaya - Karangan - Hanau</t>
  </si>
  <si>
    <t>amparaya – karangan – hanau</t>
  </si>
  <si>
    <t>Amparaya, Panjampang Bahagia</t>
  </si>
  <si>
    <t>011</t>
  </si>
  <si>
    <t>Anggrek</t>
  </si>
  <si>
    <t>anggrek</t>
  </si>
  <si>
    <t>Kandangan Kota, Kandangan Utara</t>
  </si>
  <si>
    <t>346</t>
  </si>
  <si>
    <t>Angkakai - Ds. Amawang Kiri</t>
  </si>
  <si>
    <t>angkakai – desa amawang kiri</t>
  </si>
  <si>
    <t>Amawang Kiri</t>
  </si>
  <si>
    <t>178</t>
  </si>
  <si>
    <t>Angkinang - Kayu Abang - Panggang Hijau</t>
  </si>
  <si>
    <t>angkinang – kayu abang – panggang hijau</t>
  </si>
  <si>
    <t>Angkinang, Kayu Abang, Tawia</t>
  </si>
  <si>
    <t>Angkinang</t>
  </si>
  <si>
    <t>175</t>
  </si>
  <si>
    <t>Angkinang - Telaga Langsat</t>
  </si>
  <si>
    <t>angkinang – telaga langsat</t>
  </si>
  <si>
    <t>Angkinang, Angkinang Selatan, Lok Binuang, Mandala, Telaga Langsat</t>
  </si>
  <si>
    <t>Angkinang, Telaga Langsat</t>
  </si>
  <si>
    <t>172</t>
  </si>
  <si>
    <t>Angkinang Selatan - Tawia - Wawaran</t>
  </si>
  <si>
    <t>angkinang selatan – tawia – wawaran</t>
  </si>
  <si>
    <t>Angkinang Selatan, Bakarung, Taniran Kubah, Tawia</t>
  </si>
  <si>
    <t>347</t>
  </si>
  <si>
    <t>Anjiran Rantauan - Ds. Taniran Tengah</t>
  </si>
  <si>
    <t>anjiran rantauan – desa taniran tengah</t>
  </si>
  <si>
    <t>Taniran Selatan</t>
  </si>
  <si>
    <t>097</t>
  </si>
  <si>
    <t>Asam Cangkuk - Telaga Bidadari</t>
  </si>
  <si>
    <t>asam cangkuk – telaga bidadari</t>
  </si>
  <si>
    <t>Amawang Kanan, Telaga Bidadari, Wasah Hulu</t>
  </si>
  <si>
    <t>Kandangan, Simpur, Sungai Raya</t>
  </si>
  <si>
    <t>348</t>
  </si>
  <si>
    <t>Asam Duhat - Ds. Pantai Ulin</t>
  </si>
  <si>
    <t>asam duhat – desa pantai ulin</t>
  </si>
  <si>
    <t>Pantai Ulin</t>
  </si>
  <si>
    <t>123</t>
  </si>
  <si>
    <t>Asam Seranggan - Asam Tamiyang</t>
  </si>
  <si>
    <t>asam seranggan – asam tamiyang</t>
  </si>
  <si>
    <t>Asam, Tamiyang</t>
  </si>
  <si>
    <t>Sungai Raya</t>
  </si>
  <si>
    <t>238</t>
  </si>
  <si>
    <t>At-Taubah - Ds. Kapuh</t>
  </si>
  <si>
    <t>at – taubah – desa kapuh</t>
  </si>
  <si>
    <t>Kapuh</t>
  </si>
  <si>
    <t>343</t>
  </si>
  <si>
    <t>Badaun - Ds. Bjayau Lama</t>
  </si>
  <si>
    <t>badaun – desa bjayau lama</t>
  </si>
  <si>
    <t>Bajayau Lama</t>
  </si>
  <si>
    <t>Daha Barat</t>
  </si>
  <si>
    <t>249</t>
  </si>
  <si>
    <t>Bago Tanggul - Katilang - Teratai</t>
  </si>
  <si>
    <t>bago tanggul – katilang – teratai</t>
  </si>
  <si>
    <t>Bago Tanggul, Balanti, Kalumpang, Karang Bulan</t>
  </si>
  <si>
    <t>Kalumpang</t>
  </si>
  <si>
    <t>069</t>
  </si>
  <si>
    <t>Baiturrahim Parincahan</t>
  </si>
  <si>
    <t>baiturrahim parincahan</t>
  </si>
  <si>
    <t>Kandangan Barat</t>
  </si>
  <si>
    <t>340</t>
  </si>
  <si>
    <t>Bajayau - Ds. Bajayau Tengah</t>
  </si>
  <si>
    <t>bajayau – desa bajayau tengah</t>
  </si>
  <si>
    <t>Bajayau, Bajayau Tengah</t>
  </si>
  <si>
    <t>167</t>
  </si>
  <si>
    <t>Bakarung - Rantauan</t>
  </si>
  <si>
    <t>bakarung – rantauan</t>
  </si>
  <si>
    <t>Bakarung, Gambah Dalam Barat, Gambah Luar, Taniran Selatan</t>
  </si>
  <si>
    <t>Angkinang, Kandangan</t>
  </si>
  <si>
    <t>179</t>
  </si>
  <si>
    <t>Bakarung -Tabihi - Karang Jawa</t>
  </si>
  <si>
    <t>bakarung – tabihi – karang jawa</t>
  </si>
  <si>
    <t>Bakarung, Karang Jawa, Karang Jawa Muka, Tabihi</t>
  </si>
  <si>
    <t>Angkinang, Padang Batung</t>
  </si>
  <si>
    <t>056</t>
  </si>
  <si>
    <t>Bakarung Tengah - Karang Jawa</t>
  </si>
  <si>
    <t>bakarung tengah – karang jawa</t>
  </si>
  <si>
    <t>Gambah Luar, Gambah Luar Muka, Karang Jawa Muka</t>
  </si>
  <si>
    <t>Kandangan, Padang Batung</t>
  </si>
  <si>
    <t>219</t>
  </si>
  <si>
    <t>Balaimas - Hanau</t>
  </si>
  <si>
    <t>balaimas – hanau</t>
  </si>
  <si>
    <t>Panjampang Bahagia, Pantai Ulin</t>
  </si>
  <si>
    <t>251</t>
  </si>
  <si>
    <t>Balanti - (Ex. P3DT)</t>
  </si>
  <si>
    <t>balanti – p3dt</t>
  </si>
  <si>
    <t>Balanti, Karang Bulan</t>
  </si>
  <si>
    <t>256</t>
  </si>
  <si>
    <t>Balimau - Murung Dalam</t>
  </si>
  <si>
    <t>balimau – murung dalam</t>
  </si>
  <si>
    <t>Balimau</t>
  </si>
  <si>
    <t>040</t>
  </si>
  <si>
    <t>Baluti - Jambu Hulu (Paku)</t>
  </si>
  <si>
    <t>baluti – jambu hulu paku</t>
  </si>
  <si>
    <t>Baluti, Jambu Hilir, Jambu Hulu</t>
  </si>
  <si>
    <t>191</t>
  </si>
  <si>
    <t>Bamban (Tibung) - Martajiwa</t>
  </si>
  <si>
    <t>bamban tibung – martajiwa</t>
  </si>
  <si>
    <t>Bamban</t>
  </si>
  <si>
    <t>176</t>
  </si>
  <si>
    <t>Bamban Selatan - Pakuan</t>
  </si>
  <si>
    <t>bamban selatan – pakuan</t>
  </si>
  <si>
    <t>Angkinang, Bamban Selatan, Pakuan Timur</t>
  </si>
  <si>
    <t>199</t>
  </si>
  <si>
    <t>Bamban Selatan - Pakuan Balunan</t>
  </si>
  <si>
    <t>bamban selatan – pakuan balunan</t>
  </si>
  <si>
    <t>Bamban Selatan</t>
  </si>
  <si>
    <t>174</t>
  </si>
  <si>
    <t>Bamban Selatan - Tanggang - Panggang Hijau</t>
  </si>
  <si>
    <t>bamban selatan – tanggang – panggang hijau</t>
  </si>
  <si>
    <t>Bamban, Bamban Selatan, Kayu Abang</t>
  </si>
  <si>
    <t>181</t>
  </si>
  <si>
    <t>Bamban Tengah - Lok Nyiur</t>
  </si>
  <si>
    <t>bamban tengah – lok nyiur</t>
  </si>
  <si>
    <t>Bamban, Kayu Abang</t>
  </si>
  <si>
    <t>177</t>
  </si>
  <si>
    <t>Bamban Utara - Longawang</t>
  </si>
  <si>
    <t>bamban utara – longawang</t>
  </si>
  <si>
    <t>Bamban Utara, Longawang, Pandulangan</t>
  </si>
  <si>
    <t>112</t>
  </si>
  <si>
    <t>Bangga TMMD</t>
  </si>
  <si>
    <t>bangga</t>
  </si>
  <si>
    <t>Telaga Bidadari</t>
  </si>
  <si>
    <t>341</t>
  </si>
  <si>
    <t>Banua Hanyar - Ds. Tanjung Selor</t>
  </si>
  <si>
    <t>banua hanyar – desa tanjung selor</t>
  </si>
  <si>
    <t>Banua Hanyar, Tanjung Selor</t>
  </si>
  <si>
    <t>Daha Barat, Daha Selatan</t>
  </si>
  <si>
    <t>243</t>
  </si>
  <si>
    <t>Banua Kambang - Ds. Wasah Tengah</t>
  </si>
  <si>
    <t>banua kambang – desa wasah tengah</t>
  </si>
  <si>
    <t>Wasah Hulu, Wasah Tengah</t>
  </si>
  <si>
    <t>050</t>
  </si>
  <si>
    <t>Banyu Barau - Sei Kalang</t>
  </si>
  <si>
    <t>banyu barau – sei kalang</t>
  </si>
  <si>
    <t>046</t>
  </si>
  <si>
    <t>Bariang - Getek</t>
  </si>
  <si>
    <t>bariang – getek</t>
  </si>
  <si>
    <t>Amawang Kiri, Amawang Kiri Muka, Bariang</t>
  </si>
  <si>
    <t>075</t>
  </si>
  <si>
    <t>Bariang - Patigan</t>
  </si>
  <si>
    <t>bariang – patigan</t>
  </si>
  <si>
    <t>Amawang Kiri, Bariang</t>
  </si>
  <si>
    <t>125</t>
  </si>
  <si>
    <t>Baru - Asam Desa Baru</t>
  </si>
  <si>
    <t>baru – asam desa baru</t>
  </si>
  <si>
    <t>Asam, Baru (Sungai Raya)</t>
  </si>
  <si>
    <t>339</t>
  </si>
  <si>
    <t>Baru - Ds. Bajayau</t>
  </si>
  <si>
    <t>baru – desa bajayau</t>
  </si>
  <si>
    <t>Baru (Daha Barat)</t>
  </si>
  <si>
    <t>130</t>
  </si>
  <si>
    <t>Batang Kulur Kanan - Batang Kulur Kiri</t>
  </si>
  <si>
    <t>batang kulur kanan – batang kulur kiri</t>
  </si>
  <si>
    <t>Batang Kulur Kiri, Batang Kulur Tengah</t>
  </si>
  <si>
    <t>129</t>
  </si>
  <si>
    <t>Batang Kulur Kanan - Bumi Berkat (Kisung)</t>
  </si>
  <si>
    <t>batang kulur kanan – bumi berkat kisung</t>
  </si>
  <si>
    <t>Batang Kulur Kanan, Bumi Berkat</t>
  </si>
  <si>
    <t>091</t>
  </si>
  <si>
    <t>Batang Kulur Kanan - Sarangan</t>
  </si>
  <si>
    <t>batang kulur kanan – sarangan</t>
  </si>
  <si>
    <t>Batang Kulur Kanan, Ida Manggala</t>
  </si>
  <si>
    <t>113</t>
  </si>
  <si>
    <t>Batang Kulur Kiri - Durian Landung</t>
  </si>
  <si>
    <t>batang kulur kiri – durian landung</t>
  </si>
  <si>
    <t>Batang Kulur Kiri, Paring Agung</t>
  </si>
  <si>
    <t>154</t>
  </si>
  <si>
    <t>Batu Laki - Muara Pipii</t>
  </si>
  <si>
    <t>batu laki – muara pipii</t>
  </si>
  <si>
    <t>Batu Laki</t>
  </si>
  <si>
    <t>269</t>
  </si>
  <si>
    <t>Bayampah - Tanuhi - Tugu Niih</t>
  </si>
  <si>
    <t>bayampah – tanuhi – tugu niih</t>
  </si>
  <si>
    <t>Hulu Banyu, Loksado, Tumingki</t>
  </si>
  <si>
    <t>Loksado</t>
  </si>
  <si>
    <t>289</t>
  </si>
  <si>
    <t>Bayanan - Habirau Tengah</t>
  </si>
  <si>
    <t>bayanan – habirau tengah</t>
  </si>
  <si>
    <t>Bayanan, Habirau, Habirau Tengah, Parigi, Sungai Pinang, Tumbukan Banyu</t>
  </si>
  <si>
    <t>Daha Selatan</t>
  </si>
  <si>
    <t>306</t>
  </si>
  <si>
    <t>Bayanan - Pihanin</t>
  </si>
  <si>
    <t>bayanan – pihanin</t>
  </si>
  <si>
    <t>Bayanan, Pandan Sari, Pihanin Raya</t>
  </si>
  <si>
    <t>039</t>
  </si>
  <si>
    <t>Bina Bakat</t>
  </si>
  <si>
    <t>bina bakat</t>
  </si>
  <si>
    <t>Tibung Raya</t>
  </si>
  <si>
    <t>250</t>
  </si>
  <si>
    <t>Binjai (Sirih Hulu) - Ds. Seranggan</t>
  </si>
  <si>
    <t>binjai sirih hulu – desa seranggan</t>
  </si>
  <si>
    <t>Asam, Sirih Hulu</t>
  </si>
  <si>
    <t>Kalumpang, Sungai Raya</t>
  </si>
  <si>
    <t>082</t>
  </si>
  <si>
    <t>Biti - Sungai Kupang (Karya Bakti TNI)</t>
  </si>
  <si>
    <t>biti – sei kupang karya bakti tni</t>
  </si>
  <si>
    <t>Lungau, Sungai Kupang</t>
  </si>
  <si>
    <t>023</t>
  </si>
  <si>
    <t>Brigjen Katamso</t>
  </si>
  <si>
    <t>brigjen katamso</t>
  </si>
  <si>
    <t>265</t>
  </si>
  <si>
    <t>Bubuih - Ds. Halunuk</t>
  </si>
  <si>
    <t>bubuih – desa halunuk</t>
  </si>
  <si>
    <t>Halunuk</t>
  </si>
  <si>
    <t>278</t>
  </si>
  <si>
    <t>Bubuih (Ds. Halunuk) - Kandihin</t>
  </si>
  <si>
    <t>bubuih desa halunuk – kandihin</t>
  </si>
  <si>
    <t>028</t>
  </si>
  <si>
    <t>Budi Bakti - Tiga Desember</t>
  </si>
  <si>
    <t>budi bakti – tiga desember</t>
  </si>
  <si>
    <t>Amawang Kiri Muka, Kandangan Barat, Tibung Raya</t>
  </si>
  <si>
    <t>229</t>
  </si>
  <si>
    <t>Buluh - Ds. Tebing Tinggi</t>
  </si>
  <si>
    <t>buluh – desa tebing tinggi</t>
  </si>
  <si>
    <t>Tebing Tinggi</t>
  </si>
  <si>
    <t>092</t>
  </si>
  <si>
    <t>Bumi Berkat - Mungkur Galah</t>
  </si>
  <si>
    <t>bumi berkat – mungkur galah</t>
  </si>
  <si>
    <t>Bumi Berkat</t>
  </si>
  <si>
    <t>271</t>
  </si>
  <si>
    <t>Buntu Muara Hatib - Bts. Kab. HST</t>
  </si>
  <si>
    <t>buntu muara hatib – bts kab hst</t>
  </si>
  <si>
    <t>Hulu Banyu</t>
  </si>
  <si>
    <t>331</t>
  </si>
  <si>
    <t>Cangkingan Herman</t>
  </si>
  <si>
    <t>cangkingan herman</t>
  </si>
  <si>
    <t>Panggandingan</t>
  </si>
  <si>
    <t>Daha Utara</t>
  </si>
  <si>
    <t>015</t>
  </si>
  <si>
    <t>Dahlia</t>
  </si>
  <si>
    <t>dahlia</t>
  </si>
  <si>
    <t>Kandangan Utara</t>
  </si>
  <si>
    <t>280</t>
  </si>
  <si>
    <t>Datar Belimbing - Muara Kitar</t>
  </si>
  <si>
    <t>datar belimbing – muara kitar</t>
  </si>
  <si>
    <t>Hulu Banyu, Lumpangi</t>
  </si>
  <si>
    <t>033</t>
  </si>
  <si>
    <t>DI. Panjaitan - Loklua</t>
  </si>
  <si>
    <t>di panjaitan – loklua</t>
  </si>
  <si>
    <t>236</t>
  </si>
  <si>
    <t>Ds. Kapuh Tengah (Menuju Majelis Talim)</t>
  </si>
  <si>
    <t>desa kapuh tengah menuju majelis talim</t>
  </si>
  <si>
    <t>Kapuh, Wasah Tengah</t>
  </si>
  <si>
    <t>239</t>
  </si>
  <si>
    <t>Firdaus - Ds. Kapuh</t>
  </si>
  <si>
    <t>firdaus – desa kapuh</t>
  </si>
  <si>
    <t>162</t>
  </si>
  <si>
    <t>Galuntang Tayub - Ds. Madang</t>
  </si>
  <si>
    <t>galuntang tayub – desa madang</t>
  </si>
  <si>
    <t>Madang</t>
  </si>
  <si>
    <t>052</t>
  </si>
  <si>
    <t>Gambah Dalam - Rantauan</t>
  </si>
  <si>
    <t>gambah dalam – rantauan</t>
  </si>
  <si>
    <t>Gambah Dalam, Gambah Luar</t>
  </si>
  <si>
    <t>076</t>
  </si>
  <si>
    <t>Gambah Dalam Barat - Mahulung</t>
  </si>
  <si>
    <t>gambah dalam barat – mahulung</t>
  </si>
  <si>
    <t>Gambah Dalam Barat, Taniran Selatan</t>
  </si>
  <si>
    <t>053</t>
  </si>
  <si>
    <t>Gambah Luar - Gambah Dalam</t>
  </si>
  <si>
    <t>gambah luar – gambah dalam</t>
  </si>
  <si>
    <t>Gambah Dalam, Gambah Luar Muka</t>
  </si>
  <si>
    <t>055</t>
  </si>
  <si>
    <t>Gambah Luar - Sungai Kudung</t>
  </si>
  <si>
    <t>gambah luar – sei kudung</t>
  </si>
  <si>
    <t>Gambah Luar Muka</t>
  </si>
  <si>
    <t>045</t>
  </si>
  <si>
    <t>Gambir - Sp. Empat Lungau</t>
  </si>
  <si>
    <t>gambir – sp empat lungau</t>
  </si>
  <si>
    <t>Amawang Kiri, Lungau</t>
  </si>
  <si>
    <t>330</t>
  </si>
  <si>
    <t>Gang Bidan (Ds. Tambak Bitin)</t>
  </si>
  <si>
    <t>gang bidan desa tambak bitin</t>
  </si>
  <si>
    <t>Panggandingan, Tambak Bitin</t>
  </si>
  <si>
    <t>220</t>
  </si>
  <si>
    <t>Garunggang - Hantamangu</t>
  </si>
  <si>
    <t>garunggang – hantamangu</t>
  </si>
  <si>
    <t>Garunggang</t>
  </si>
  <si>
    <t>232</t>
  </si>
  <si>
    <t>Gerilya - Ds. Simpur</t>
  </si>
  <si>
    <t>gerilya – desa simpur</t>
  </si>
  <si>
    <t>Simpur, Tebing Tinggi</t>
  </si>
  <si>
    <t>297</t>
  </si>
  <si>
    <t>Gerilya / (Depan PUSTU Habirau)</t>
  </si>
  <si>
    <t>gerilya depan pustu habirau</t>
  </si>
  <si>
    <t>Habirau</t>
  </si>
  <si>
    <t>344</t>
  </si>
  <si>
    <t>Goha - Ds. Amawang Kanan</t>
  </si>
  <si>
    <t>goha – desa amawang kanan</t>
  </si>
  <si>
    <t>Amawang Kanan</t>
  </si>
  <si>
    <t>196</t>
  </si>
  <si>
    <t>Gumbil - Masimpan</t>
  </si>
  <si>
    <t>gumbil – masimpan</t>
  </si>
  <si>
    <t>Gumbil, Mandala</t>
  </si>
  <si>
    <t>226</t>
  </si>
  <si>
    <t>Guru H. Izim - Ds. Pantai Ulin</t>
  </si>
  <si>
    <t>guru h izim – desa pantai ulin</t>
  </si>
  <si>
    <t>Panjampang Bahagia, Pantai Ulin, Ulin</t>
  </si>
  <si>
    <t>074</t>
  </si>
  <si>
    <t>H. Jarkasi - Ds. Sungai Paring</t>
  </si>
  <si>
    <t>h jarkasi – desa sei paring</t>
  </si>
  <si>
    <t>Sungai Paring</t>
  </si>
  <si>
    <t>230</t>
  </si>
  <si>
    <t>H. Saim Garunggang - Kalimput</t>
  </si>
  <si>
    <t>h saim garunggang – kalimput</t>
  </si>
  <si>
    <t>314</t>
  </si>
  <si>
    <t>H.M. Thaib</t>
  </si>
  <si>
    <t>h m thaib</t>
  </si>
  <si>
    <t>Baruh Kembang</t>
  </si>
  <si>
    <t>294</t>
  </si>
  <si>
    <t>Habib</t>
  </si>
  <si>
    <t>habib</t>
  </si>
  <si>
    <t>Sungai Pinang</t>
  </si>
  <si>
    <t>319</t>
  </si>
  <si>
    <t>Habib Ibrahim - Ds. Sei Mandala</t>
  </si>
  <si>
    <t>habib ibrahim – desa sei mandala</t>
  </si>
  <si>
    <t>Sungai Mandala</t>
  </si>
  <si>
    <t>337</t>
  </si>
  <si>
    <t>Hakurung Dalam - Ds. Sungai Haji</t>
  </si>
  <si>
    <t>hakurung dalam – desa sei haji</t>
  </si>
  <si>
    <t>Hakurung</t>
  </si>
  <si>
    <t>213</t>
  </si>
  <si>
    <t>Halaban</t>
  </si>
  <si>
    <t>halaban</t>
  </si>
  <si>
    <t>Amparaya, Garunggang</t>
  </si>
  <si>
    <t>203</t>
  </si>
  <si>
    <t>Halayung - Hantarukung</t>
  </si>
  <si>
    <t>halayung – hantarukung</t>
  </si>
  <si>
    <t>Ulin, Wasah Hilir</t>
  </si>
  <si>
    <t>266</t>
  </si>
  <si>
    <t>Halunuk - Riam Tajam/Talo - Hamak Umpaya</t>
  </si>
  <si>
    <t>halunuk – riam tajam talo – hamak umpaya</t>
  </si>
  <si>
    <t>Halunuk, Hamak Utara, Panggungan</t>
  </si>
  <si>
    <t>Loksado, Telaga Langsat</t>
  </si>
  <si>
    <t>198</t>
  </si>
  <si>
    <t>Hamak - Umbai</t>
  </si>
  <si>
    <t>hamak – umbai</t>
  </si>
  <si>
    <t>Hamak</t>
  </si>
  <si>
    <t>197</t>
  </si>
  <si>
    <t>Hamak Timur - Umpaya</t>
  </si>
  <si>
    <t>hamak timur – umpaya</t>
  </si>
  <si>
    <t>Hamak Timur, Hamak Utara</t>
  </si>
  <si>
    <t>Hamak Utara - Samaragi</t>
  </si>
  <si>
    <t>hamak utara – samaragi</t>
  </si>
  <si>
    <t>Hamak Timur</t>
  </si>
  <si>
    <t>086</t>
  </si>
  <si>
    <t>Hamalau - Anjiran</t>
  </si>
  <si>
    <t>hamalau – anjiran</t>
  </si>
  <si>
    <t>Hamalau, Telaga Bidadari</t>
  </si>
  <si>
    <t>118</t>
  </si>
  <si>
    <t>Hamalau - Asam Cangkok</t>
  </si>
  <si>
    <t>hamalau – asam cangkok</t>
  </si>
  <si>
    <t>Amawang Kanan, Telaga Bidadari</t>
  </si>
  <si>
    <t>Kandangan, Sungai Raya</t>
  </si>
  <si>
    <t>106</t>
  </si>
  <si>
    <t>Hamalau - Ganda</t>
  </si>
  <si>
    <t>hamalau – ganda</t>
  </si>
  <si>
    <t>Baluti, Hamalau, Pahampangan</t>
  </si>
  <si>
    <t>Kandangan, Padang Batung, Sungai Raya</t>
  </si>
  <si>
    <t>098</t>
  </si>
  <si>
    <t>Hamalau - Pahampangan</t>
  </si>
  <si>
    <t>hamalau – pahampangan</t>
  </si>
  <si>
    <t>Hamalau, Karasikan</t>
  </si>
  <si>
    <t>102</t>
  </si>
  <si>
    <t>Hamalau - Telaga Bidadari - Wasah Hilir</t>
  </si>
  <si>
    <t>hamalau – telaga bidadari – wasah hilir</t>
  </si>
  <si>
    <t>Hamalau, Kapuh, Telaga Bidadari, Wasah Hilir</t>
  </si>
  <si>
    <t>Simpur, Sungai Raya</t>
  </si>
  <si>
    <t>334</t>
  </si>
  <si>
    <t>Hamayung - Hakurung Dalam</t>
  </si>
  <si>
    <t>hamayung – hakurung dalam</t>
  </si>
  <si>
    <t>Hakurung, Hamayung</t>
  </si>
  <si>
    <t>298</t>
  </si>
  <si>
    <t>Harapan (SDN Habirau II)/ Sei. Palangan</t>
  </si>
  <si>
    <t>harapan sdn habirau ii sei palangan</t>
  </si>
  <si>
    <t>Habirau Tengah</t>
  </si>
  <si>
    <t>277</t>
  </si>
  <si>
    <t>Haratai 2 (Balai Ujung Atas) SDN Haratai2</t>
  </si>
  <si>
    <t>haratai 2 balai ujung atas sdn haratai2</t>
  </si>
  <si>
    <t>Haratai, Ulang</t>
  </si>
  <si>
    <t>276</t>
  </si>
  <si>
    <t>Haratai 3 (Balai Kedayang) / SDN Haratai 3</t>
  </si>
  <si>
    <t>haratai 3 balai kedayang sdn haratai 3</t>
  </si>
  <si>
    <t>Haratai</t>
  </si>
  <si>
    <t>110</t>
  </si>
  <si>
    <t>Haritas (PT. Pertani)</t>
  </si>
  <si>
    <t>haritas pt pertani</t>
  </si>
  <si>
    <t>Batang Kulur Tengah, Hariti</t>
  </si>
  <si>
    <t>119</t>
  </si>
  <si>
    <t>Hariti - Sungai Raya Selatan</t>
  </si>
  <si>
    <t>hariti – sei raya selatan</t>
  </si>
  <si>
    <t>Batang Kulur Kiri, Hariti, Sungai Raya Selatan</t>
  </si>
  <si>
    <t>273</t>
  </si>
  <si>
    <t>Hulu Banyu - Datar Mangkung - Tumingki</t>
  </si>
  <si>
    <t>hulu banyu – datar mangkung – tumingki</t>
  </si>
  <si>
    <t>Tumingki</t>
  </si>
  <si>
    <t>268</t>
  </si>
  <si>
    <t>Hulu Banyu - Pantai Langsat</t>
  </si>
  <si>
    <t>hulu banyu – pantai langsat</t>
  </si>
  <si>
    <t>099</t>
  </si>
  <si>
    <t>Ida Manggala - Padang Makmur</t>
  </si>
  <si>
    <t>ida manggala – padang makmur</t>
  </si>
  <si>
    <t>Ida Manggala, Malutu</t>
  </si>
  <si>
    <t>Padang Batung, Sungai Raya</t>
  </si>
  <si>
    <t>296</t>
  </si>
  <si>
    <t>Inst. PDAM Negara</t>
  </si>
  <si>
    <t>inst pdam negara</t>
  </si>
  <si>
    <t>029</t>
  </si>
  <si>
    <t>Jafri Zamzam</t>
  </si>
  <si>
    <t>jafri zamzam</t>
  </si>
  <si>
    <t>Amawang Kanan, Amawang Kiri Muka, Bariang</t>
  </si>
  <si>
    <t>3  -  3.5</t>
  </si>
  <si>
    <t>169</t>
  </si>
  <si>
    <t>Jambu Hulu - Paku Pantai</t>
  </si>
  <si>
    <t>jambu hulu – paku pantai</t>
  </si>
  <si>
    <t>Jambu Hulu</t>
  </si>
  <si>
    <t>233</t>
  </si>
  <si>
    <t>Jangkang - Ds. Wasah Hilir</t>
  </si>
  <si>
    <t>jangkang – desa wasah hilir</t>
  </si>
  <si>
    <t>Wasah Hilir</t>
  </si>
  <si>
    <t>062</t>
  </si>
  <si>
    <t>Jangkang - Pantai Ulin</t>
  </si>
  <si>
    <t>jangkang – pantai ulin</t>
  </si>
  <si>
    <t>Amawang Kiri, Pantai Ulin, Sungai Paring</t>
  </si>
  <si>
    <t>127</t>
  </si>
  <si>
    <t>Jarau - Parandakan</t>
  </si>
  <si>
    <t>jarau – parandakan</t>
  </si>
  <si>
    <t>Ida Manggala</t>
  </si>
  <si>
    <t>034</t>
  </si>
  <si>
    <t>Jend. Sudirman</t>
  </si>
  <si>
    <t>jend sudirman</t>
  </si>
  <si>
    <t>Hamalau, Tibung Raya</t>
  </si>
  <si>
    <t>284</t>
  </si>
  <si>
    <t>Kacang Parang (Ulang) - Balai Mawak-Kias</t>
  </si>
  <si>
    <t>kacang parang ulang – balai mawak – kias</t>
  </si>
  <si>
    <t>Sungai Kupang, Tawia</t>
  </si>
  <si>
    <t>285</t>
  </si>
  <si>
    <t>Kacang Parang (Ulang) - Balai Wariung</t>
  </si>
  <si>
    <t>kacang parang ulang – balai wariung</t>
  </si>
  <si>
    <t>Ulang</t>
  </si>
  <si>
    <t>134</t>
  </si>
  <si>
    <t>Kalaka Dayuh - Ds. Sungai Raya Utara</t>
  </si>
  <si>
    <t>kalaka dayuh – desa sei raya utara</t>
  </si>
  <si>
    <t>065</t>
  </si>
  <si>
    <t>Kalaka Indah - Perumnas Tibung</t>
  </si>
  <si>
    <t>kalaka indah – perumnas tibung</t>
  </si>
  <si>
    <t>Sungai Raya Utara</t>
  </si>
  <si>
    <t>215</t>
  </si>
  <si>
    <t>Kalimput Desa Wasah Hilir</t>
  </si>
  <si>
    <t>kalimput desa wasah hilir</t>
  </si>
  <si>
    <t>Hamalau</t>
  </si>
  <si>
    <t>144</t>
  </si>
  <si>
    <t>Kaliring - Sp. Padang Batung</t>
  </si>
  <si>
    <t>kaliring – sp padang batung</t>
  </si>
  <si>
    <t>Garunggang, Wasah Hilir</t>
  </si>
  <si>
    <t>247</t>
  </si>
  <si>
    <t>Kalumpang - Balimau</t>
  </si>
  <si>
    <t>kalumpang – balimau</t>
  </si>
  <si>
    <t>Kaliring, Padang Batung</t>
  </si>
  <si>
    <t>252</t>
  </si>
  <si>
    <t>Kalumpang - Baruh</t>
  </si>
  <si>
    <t>kalumpang – baruh</t>
  </si>
  <si>
    <t>Bago Tanggul, Balanti, Balimau, Kalumpang, Karang Bulan</t>
  </si>
  <si>
    <t>248</t>
  </si>
  <si>
    <t>Kalumpang (Ds. Balanti) - Teratai</t>
  </si>
  <si>
    <t>kalumpang desa balanti – teratai</t>
  </si>
  <si>
    <t>Kalumpang, Sirih</t>
  </si>
  <si>
    <t>255</t>
  </si>
  <si>
    <t>Kalumpang Selatan - Ds. Asam Tamiyang</t>
  </si>
  <si>
    <t>kalumpang selatan – desa asam tamiyang</t>
  </si>
  <si>
    <t>Balanti, Kalumpang</t>
  </si>
  <si>
    <t>014</t>
  </si>
  <si>
    <t>Kamboja</t>
  </si>
  <si>
    <t>kamboja</t>
  </si>
  <si>
    <t>333</t>
  </si>
  <si>
    <t>Kaminting Batu</t>
  </si>
  <si>
    <t>kaminting batu</t>
  </si>
  <si>
    <t>332</t>
  </si>
  <si>
    <t>Kampung Kawat</t>
  </si>
  <si>
    <t>kampung kawat</t>
  </si>
  <si>
    <t>Pakapuran Kecil</t>
  </si>
  <si>
    <t>049</t>
  </si>
  <si>
    <t>Kandangan Hulu - Sp. Tabihi</t>
  </si>
  <si>
    <t>kandangan hulu – sp tabihi</t>
  </si>
  <si>
    <t>Kandangan Kota, Karang Jawa Muka, Tabihi</t>
  </si>
  <si>
    <t>307</t>
  </si>
  <si>
    <t>Kantor Camat Daha Selatan II</t>
  </si>
  <si>
    <t>kantor camat daha selatan ii</t>
  </si>
  <si>
    <t>Tumbukan Banyu</t>
  </si>
  <si>
    <t>270</t>
  </si>
  <si>
    <t>Kantor Camat Loksado II</t>
  </si>
  <si>
    <t>kantor camat loksado ii</t>
  </si>
  <si>
    <t>237</t>
  </si>
  <si>
    <t>Karampaci - Ds. Kapuh</t>
  </si>
  <si>
    <t>karampaci – desa kapuh</t>
  </si>
  <si>
    <t>Karang Intan - Tanah Bangkang</t>
  </si>
  <si>
    <t>karang intan – tanah bangkang</t>
  </si>
  <si>
    <t>Sungai Raya Selatan, Tanah Bangkang</t>
  </si>
  <si>
    <t>138</t>
  </si>
  <si>
    <t>Karang Jawa -Ambarai - Sungai Bungur</t>
  </si>
  <si>
    <t>karang jawa – ambarai – sei bungur</t>
  </si>
  <si>
    <t>Karang Jawa, Karang Jawa Muka, Madang, Pandulangan</t>
  </si>
  <si>
    <t>103</t>
  </si>
  <si>
    <t>Karasikan - Sarang Halang</t>
  </si>
  <si>
    <t>karasikan – sarang halang</t>
  </si>
  <si>
    <t>Karasikan, Sarang Halang, Telaga Bidadari</t>
  </si>
  <si>
    <t>257</t>
  </si>
  <si>
    <t>Karya Bakti - Ds. Balimau</t>
  </si>
  <si>
    <t>karya bakti – desa balimau</t>
  </si>
  <si>
    <t>185</t>
  </si>
  <si>
    <t>Kayu Abang - Ds. Anjiran</t>
  </si>
  <si>
    <t>kayu abang – desa anjiran</t>
  </si>
  <si>
    <t>190</t>
  </si>
  <si>
    <t>Kayu Abang - Paya</t>
  </si>
  <si>
    <t>kayu abang – paya</t>
  </si>
  <si>
    <t>Kayu Abang</t>
  </si>
  <si>
    <t>012</t>
  </si>
  <si>
    <t>Kenanga</t>
  </si>
  <si>
    <t>kenanga</t>
  </si>
  <si>
    <t>315</t>
  </si>
  <si>
    <t>Kenanga - Ds. Baruh Kambang</t>
  </si>
  <si>
    <t>kenanga – desa baruh kambang</t>
  </si>
  <si>
    <t>350</t>
  </si>
  <si>
    <t>Keramat Sakti - Ds. Tebing Tinggi</t>
  </si>
  <si>
    <t>keramat sakti – desa tebing tinggi</t>
  </si>
  <si>
    <t>037</t>
  </si>
  <si>
    <t>Kesehatan - Komp. Rmh Dokter</t>
  </si>
  <si>
    <t>kesehatan – komp rmh dokter</t>
  </si>
  <si>
    <t>221</t>
  </si>
  <si>
    <t>KH. Ramli - DS. Amparaya</t>
  </si>
  <si>
    <t>kh ramli – desa amparaya</t>
  </si>
  <si>
    <t>Amparaya</t>
  </si>
  <si>
    <t>024</t>
  </si>
  <si>
    <t>Kolonel Sugiono</t>
  </si>
  <si>
    <t>kolonel sugiono</t>
  </si>
  <si>
    <t>016</t>
  </si>
  <si>
    <t>KS. Tubun</t>
  </si>
  <si>
    <t>ks tubun</t>
  </si>
  <si>
    <t>Kandangan Barat, Kandangan Utara</t>
  </si>
  <si>
    <t>274</t>
  </si>
  <si>
    <t>Lambuk - Ds. Tumingki</t>
  </si>
  <si>
    <t>lambuk – desa tumingki</t>
  </si>
  <si>
    <t>261</t>
  </si>
  <si>
    <t>Loklahung - Kamawakan</t>
  </si>
  <si>
    <t>loklahung – kamawakan</t>
  </si>
  <si>
    <t>Kamawakan, Lok Lahung, Tumingki</t>
  </si>
  <si>
    <t>264</t>
  </si>
  <si>
    <t>Loklahung - Malaris</t>
  </si>
  <si>
    <t>loklahung – malaris</t>
  </si>
  <si>
    <t>Lok Lahung</t>
  </si>
  <si>
    <t>260</t>
  </si>
  <si>
    <t>Loksado - Haratai</t>
  </si>
  <si>
    <t>loksado – haratai</t>
  </si>
  <si>
    <t>Haratai, Loksado</t>
  </si>
  <si>
    <t>259</t>
  </si>
  <si>
    <t>Loksado - Loklahung</t>
  </si>
  <si>
    <t>loksado – loklahung</t>
  </si>
  <si>
    <t>Lok Lahung, Loksado</t>
  </si>
  <si>
    <t>286</t>
  </si>
  <si>
    <t>Loksado - Pantai Dusin</t>
  </si>
  <si>
    <t>loksado – pantai dusin</t>
  </si>
  <si>
    <t>Loksado, Tumingki</t>
  </si>
  <si>
    <t>194</t>
  </si>
  <si>
    <t>Longawang - Gumbil</t>
  </si>
  <si>
    <t>longawang – gumbil</t>
  </si>
  <si>
    <t>Gumbil, Longawang</t>
  </si>
  <si>
    <t>081</t>
  </si>
  <si>
    <t>Lorong Bupati</t>
  </si>
  <si>
    <t>lorong bupati</t>
  </si>
  <si>
    <t>Kandangan Kota</t>
  </si>
  <si>
    <t>152</t>
  </si>
  <si>
    <t>Madang - Ambutun</t>
  </si>
  <si>
    <t>madang – ambutun</t>
  </si>
  <si>
    <t>Ambutun, Madang</t>
  </si>
  <si>
    <t>Padang Batung, Telaga Langsat</t>
  </si>
  <si>
    <t>279</t>
  </si>
  <si>
    <t>Makam Habib - Desa Lumpangi</t>
  </si>
  <si>
    <t>makam habib – desa lumpangi</t>
  </si>
  <si>
    <t>Lumpangi</t>
  </si>
  <si>
    <t>275</t>
  </si>
  <si>
    <t>Malaris - Loapanggang</t>
  </si>
  <si>
    <t>malaris – loapanggang</t>
  </si>
  <si>
    <t>141</t>
  </si>
  <si>
    <t>Malilingin - Lokbahan - Paniungan</t>
  </si>
  <si>
    <t>malilingin – lokbahan – paniungan</t>
  </si>
  <si>
    <t>Malilingin</t>
  </si>
  <si>
    <t>157</t>
  </si>
  <si>
    <t>Malilingin - Muara Hariang</t>
  </si>
  <si>
    <t>malilingin – muara hariang</t>
  </si>
  <si>
    <t>Batu Bini, Malilingin</t>
  </si>
  <si>
    <t>287</t>
  </si>
  <si>
    <t>Malinau - Kandihin</t>
  </si>
  <si>
    <t>malinau – kandihin</t>
  </si>
  <si>
    <t>Halunuk, Malinau</t>
  </si>
  <si>
    <t>263</t>
  </si>
  <si>
    <t>Malinau - Katingin - Kamawakan</t>
  </si>
  <si>
    <t>malinau – katingin – kamawakan</t>
  </si>
  <si>
    <t>Kamawakan, Malinau, Tumingki</t>
  </si>
  <si>
    <t>195</t>
  </si>
  <si>
    <t>Mandampa - Longawang</t>
  </si>
  <si>
    <t>mandampa – longawang</t>
  </si>
  <si>
    <t>Lok Binuang, Longawang, Pakuan Timur</t>
  </si>
  <si>
    <t>143</t>
  </si>
  <si>
    <t>Mandapai - Madang</t>
  </si>
  <si>
    <t>mandapai – madang</t>
  </si>
  <si>
    <t>Batu Bini, Madang</t>
  </si>
  <si>
    <t>225</t>
  </si>
  <si>
    <t>Mangamol - Ds. Pantai Ulin</t>
  </si>
  <si>
    <t>mangamol – desa pantai ulin</t>
  </si>
  <si>
    <t>Pantai Ulin, Ulin</t>
  </si>
  <si>
    <t>120</t>
  </si>
  <si>
    <t>Mangaris - Limau Manis</t>
  </si>
  <si>
    <t>mangaris – limau manis</t>
  </si>
  <si>
    <t>Hariti, Ida Manggala</t>
  </si>
  <si>
    <t>131</t>
  </si>
  <si>
    <t>Manggis - Ds. Baru</t>
  </si>
  <si>
    <t>manggis – desa baru</t>
  </si>
  <si>
    <t>Asam, Baru (Sungai Raya) , Sungai Kali</t>
  </si>
  <si>
    <t>117</t>
  </si>
  <si>
    <t>Mangunang - Ds. Sungai Raya Utara</t>
  </si>
  <si>
    <t>mangunang – desa sei raya utara</t>
  </si>
  <si>
    <t>115</t>
  </si>
  <si>
    <t>Matang Gadung - Halalang</t>
  </si>
  <si>
    <t>matang gadung – halalang</t>
  </si>
  <si>
    <t>142</t>
  </si>
  <si>
    <t>Mawangi - Bukuanin - Telaga Langsat</t>
  </si>
  <si>
    <t>mawangi – bukuanin – telaga langsat</t>
  </si>
  <si>
    <t>Hamak, Hamak Timur, Mandala, Mawangi</t>
  </si>
  <si>
    <t>158</t>
  </si>
  <si>
    <t>Mawangi - Pariangan</t>
  </si>
  <si>
    <t>mawangi – pariangan</t>
  </si>
  <si>
    <t>Batu Bini, Mawangi</t>
  </si>
  <si>
    <t>013</t>
  </si>
  <si>
    <t>Mawar (Kandangan Utara)</t>
  </si>
  <si>
    <t>mawar kandangan utara</t>
  </si>
  <si>
    <t>295</t>
  </si>
  <si>
    <t>Mawar (Daha Selatan)</t>
  </si>
  <si>
    <t>mawar daha selatan</t>
  </si>
  <si>
    <t>078</t>
  </si>
  <si>
    <t>Menuju SMP 7 - Ds. Gambah Dalam</t>
  </si>
  <si>
    <t>menuju smp 7 – desa gambah dalam</t>
  </si>
  <si>
    <t>Gambah Dalam, Gambah Dalam Barat, Gambah Luar</t>
  </si>
  <si>
    <t>163</t>
  </si>
  <si>
    <t>Menuju SMPN Malilingin</t>
  </si>
  <si>
    <t>menuju smpn malilingin</t>
  </si>
  <si>
    <t>007</t>
  </si>
  <si>
    <t>Menuju Stadion 2 Desember</t>
  </si>
  <si>
    <t>menuju stadion 2 desember</t>
  </si>
  <si>
    <t>006</t>
  </si>
  <si>
    <t>Merah Johansyah - Melati</t>
  </si>
  <si>
    <t>merah johansyah – melati</t>
  </si>
  <si>
    <t>059</t>
  </si>
  <si>
    <t>Mesjid Quba</t>
  </si>
  <si>
    <t>mesjid quba</t>
  </si>
  <si>
    <t>325</t>
  </si>
  <si>
    <t>MIN Pandak Daun</t>
  </si>
  <si>
    <t>min pandak daun</t>
  </si>
  <si>
    <t>Pandak Daun, Paramaian</t>
  </si>
  <si>
    <t>223</t>
  </si>
  <si>
    <t>Mondar (Ulin-Pantai Ulin) - Ds. Ulin</t>
  </si>
  <si>
    <t>mondar ulin – pantai ulin – desa ulin</t>
  </si>
  <si>
    <t>153</t>
  </si>
  <si>
    <t>Monumen 17 Mei - Mandapai</t>
  </si>
  <si>
    <t>monumen 17 mei – mandapai</t>
  </si>
  <si>
    <t>Batu Bini</t>
  </si>
  <si>
    <t>047</t>
  </si>
  <si>
    <t>Muara Banta - Karang Jawa</t>
  </si>
  <si>
    <t>muara banta – karang jawa</t>
  </si>
  <si>
    <t>Kandangan Kota, Karang Jawa Muka</t>
  </si>
  <si>
    <t>165</t>
  </si>
  <si>
    <t>Muara Hariang - Bayumbung</t>
  </si>
  <si>
    <t>muara hariang – bayumbung</t>
  </si>
  <si>
    <t>Batu Bini, Halunuk</t>
  </si>
  <si>
    <t>Loksado, Padang Batung</t>
  </si>
  <si>
    <t>267</t>
  </si>
  <si>
    <t>Muara Kitar - Desa Lumpangi</t>
  </si>
  <si>
    <t>muara kitar – desa lumpangi</t>
  </si>
  <si>
    <t>155</t>
  </si>
  <si>
    <t>Muara Pipii - Tambak Pipii</t>
  </si>
  <si>
    <t>muara pipii – tambak pipii</t>
  </si>
  <si>
    <t>121</t>
  </si>
  <si>
    <t>Munggu Raya - Ds. Hariti</t>
  </si>
  <si>
    <t>munggu raya – desa hariti</t>
  </si>
  <si>
    <t>Hariti</t>
  </si>
  <si>
    <t>128</t>
  </si>
  <si>
    <t>Mungkur Galah - Lokpaikat</t>
  </si>
  <si>
    <t>mungkur galah – lokpaikat</t>
  </si>
  <si>
    <t>301</t>
  </si>
  <si>
    <t>Muning Tengah - Batang Alai (Pihanin Raya)</t>
  </si>
  <si>
    <t>muning tengah – batang alai pihanin raya</t>
  </si>
  <si>
    <t>Muning Tengah, Pihanin Raya</t>
  </si>
  <si>
    <t>302</t>
  </si>
  <si>
    <t>Muning Tengah - Ds. Muning Dalam</t>
  </si>
  <si>
    <t>muning tengah – desa muning dalam</t>
  </si>
  <si>
    <t>Muning Dalam, Muning Tengah</t>
  </si>
  <si>
    <t>020</t>
  </si>
  <si>
    <t>Musyawarah (Kandangan)</t>
  </si>
  <si>
    <t>musyawarah kandangan</t>
  </si>
  <si>
    <t>Kandangan Barat, Kandangan Kota</t>
  </si>
  <si>
    <t>292</t>
  </si>
  <si>
    <t>Musyawarah (Nagara)</t>
  </si>
  <si>
    <t>musyawarah nagara</t>
  </si>
  <si>
    <t>304</t>
  </si>
  <si>
    <t>Negara - Tumbukan Banyu</t>
  </si>
  <si>
    <t>negara – tumbukan banyu</t>
  </si>
  <si>
    <t>Bayanan, Tumbukan Banyu</t>
  </si>
  <si>
    <t>070</t>
  </si>
  <si>
    <t>Newangsekarti - Ds. Gambah Luar Muka</t>
  </si>
  <si>
    <t>newangsekarti – desa gambah luar muka</t>
  </si>
  <si>
    <t>262</t>
  </si>
  <si>
    <t>Niagara (Ds. Halunuk) - Ayan</t>
  </si>
  <si>
    <t>niagara desa halunuk – ayan</t>
  </si>
  <si>
    <t>080</t>
  </si>
  <si>
    <t>Nomura</t>
  </si>
  <si>
    <t>nomura</t>
  </si>
  <si>
    <t>Jambu Hilir, Kandangan Kota</t>
  </si>
  <si>
    <t>010</t>
  </si>
  <si>
    <t>Nusa Indah</t>
  </si>
  <si>
    <t>nusa indah</t>
  </si>
  <si>
    <t>140</t>
  </si>
  <si>
    <t>Padang Batung - Batulaki - Malilingin</t>
  </si>
  <si>
    <t>padang batung – batulaki – malilingin</t>
  </si>
  <si>
    <t>Batu Laki, Durian Rabung, Jelatang, Malilingin, Padang Batung</t>
  </si>
  <si>
    <t>231</t>
  </si>
  <si>
    <t>Padang Haur - Ds. Wasah Tengah</t>
  </si>
  <si>
    <t>padang haur – desa wasah tengah</t>
  </si>
  <si>
    <t>Ulin, Wasah Tengah</t>
  </si>
  <si>
    <t>063</t>
  </si>
  <si>
    <t>Padang Palas</t>
  </si>
  <si>
    <t>padang palas</t>
  </si>
  <si>
    <t>161</t>
  </si>
  <si>
    <t>Padang Rasau (Tambak Tamiang) - Paku Pantai</t>
  </si>
  <si>
    <t>padang rasau tambak tamiang – paku pantai</t>
  </si>
  <si>
    <t>Baluti, Jambu Hulu</t>
  </si>
  <si>
    <t>145</t>
  </si>
  <si>
    <t>Pagar  Haur - Malutu</t>
  </si>
  <si>
    <t>pagar haur – malutu</t>
  </si>
  <si>
    <t>Jelatang</t>
  </si>
  <si>
    <t>148</t>
  </si>
  <si>
    <t>Pagat Batu - Muara Hariang</t>
  </si>
  <si>
    <t>pagat batu – muara hariang</t>
  </si>
  <si>
    <t>122</t>
  </si>
  <si>
    <t>Paharuangan - Asam Dua</t>
  </si>
  <si>
    <t>paharuangan – asam dua</t>
  </si>
  <si>
    <t>Sungai Raya Selatan</t>
  </si>
  <si>
    <t>111</t>
  </si>
  <si>
    <t>Paharuangan - Sei. Raya Selatan</t>
  </si>
  <si>
    <t>paharuangan – sei raya selatan</t>
  </si>
  <si>
    <t>244</t>
  </si>
  <si>
    <t>Pajah Api - Ds. Kapuh</t>
  </si>
  <si>
    <t>pajah api – desa kapuh</t>
  </si>
  <si>
    <t>328</t>
  </si>
  <si>
    <t>Pakan Dalam - Kaminting Batu</t>
  </si>
  <si>
    <t>pakan dalam – kaminting batu</t>
  </si>
  <si>
    <t>Pakan Dalam, Pakapuran Kecil, Panggandingan, Tambak Bitin, Tambangan</t>
  </si>
  <si>
    <t>Daha Selatan, Daha Utara</t>
  </si>
  <si>
    <t>321</t>
  </si>
  <si>
    <t>Pakan Dalam I</t>
  </si>
  <si>
    <t>pakan dalam i</t>
  </si>
  <si>
    <t>Tambak Bitin</t>
  </si>
  <si>
    <t>322</t>
  </si>
  <si>
    <t>Pakan Dalam II</t>
  </si>
  <si>
    <t>pakan dalam ii</t>
  </si>
  <si>
    <t>Pakan Dalam</t>
  </si>
  <si>
    <t>323</t>
  </si>
  <si>
    <t>Pakan Dalam III</t>
  </si>
  <si>
    <t>pakan dalam iii</t>
  </si>
  <si>
    <t>159</t>
  </si>
  <si>
    <t>Paku (Jambu Hulu) - Ganda</t>
  </si>
  <si>
    <t>paku jambu hulu – ganda</t>
  </si>
  <si>
    <t>083</t>
  </si>
  <si>
    <t>Palajau - Ds. Baluti</t>
  </si>
  <si>
    <t>palajau – desa baluti</t>
  </si>
  <si>
    <t>Baluti, Jambu Hulu, Karasikan, Pahampangan</t>
  </si>
  <si>
    <t>241</t>
  </si>
  <si>
    <t>Palas - Ds. Wasah Tengah</t>
  </si>
  <si>
    <t>palas – desa wasah tengah</t>
  </si>
  <si>
    <t>310</t>
  </si>
  <si>
    <t>Pandak Daun - Baruh Jaya - Samuda</t>
  </si>
  <si>
    <t>pandak daun – baruh jaya – samuda</t>
  </si>
  <si>
    <t>Baruh Jaya, Pakan Dalam, Pakapuran Kecil, Pandak Daun, Panggandingan, Paramaian, Samuda, Tambak Bitin, Tambangan</t>
  </si>
  <si>
    <t>327</t>
  </si>
  <si>
    <t>Pandak Daun (Buntut Muradiyah) - Pakan Dalam</t>
  </si>
  <si>
    <t>pandak daun buntut muradiyah – pakan dalam</t>
  </si>
  <si>
    <t>Pakan Dalam, Pandak Daun, Paramaian</t>
  </si>
  <si>
    <t>Pandan Sari - Ds. Angkinang</t>
  </si>
  <si>
    <t>pandan sari – desa angkinang</t>
  </si>
  <si>
    <t>170</t>
  </si>
  <si>
    <t>Pandulangan - Kalinduku</t>
  </si>
  <si>
    <t>pandulangan – kalinduku</t>
  </si>
  <si>
    <t>Pandulangan, Telaga Sili-Sili</t>
  </si>
  <si>
    <t>001</t>
  </si>
  <si>
    <t>Pangeran Antasari - Loklua</t>
  </si>
  <si>
    <t>pangeran antasari – loklua</t>
  </si>
  <si>
    <t>Baluti, Kandangan Kota</t>
  </si>
  <si>
    <t>183</t>
  </si>
  <si>
    <t>Panggang Hijau - Ds. Tawar</t>
  </si>
  <si>
    <t>panggang hijau – desa tawar</t>
  </si>
  <si>
    <t>009</t>
  </si>
  <si>
    <t>Panglima Batur</t>
  </si>
  <si>
    <t>panglima batur</t>
  </si>
  <si>
    <t>210</t>
  </si>
  <si>
    <t>Panjampang  Bahagia - Bayur</t>
  </si>
  <si>
    <t>panjampang bahagia – bayur</t>
  </si>
  <si>
    <t>Amparaya, Panjampang Bahagia, Pantai Ulin</t>
  </si>
  <si>
    <t>212</t>
  </si>
  <si>
    <t>Panjampang Bahagia - Hanau</t>
  </si>
  <si>
    <t>panjampang bahagia – hanau</t>
  </si>
  <si>
    <t>202</t>
  </si>
  <si>
    <t>Pantai Langsat - Umpaya</t>
  </si>
  <si>
    <t>pantai langsat – umpaya</t>
  </si>
  <si>
    <t>Hamak Utara, Hulu Banyu</t>
  </si>
  <si>
    <t>218</t>
  </si>
  <si>
    <t>Papagaran - Ds. Amawang Kanan</t>
  </si>
  <si>
    <t>papagaran – desa amawang kanan</t>
  </si>
  <si>
    <t>057</t>
  </si>
  <si>
    <t>Papagaran/Palangsatan</t>
  </si>
  <si>
    <t>papagaran palangsatan</t>
  </si>
  <si>
    <t>Amawang Kanan, Sungai Paring</t>
  </si>
  <si>
    <t>124</t>
  </si>
  <si>
    <t>Papancan - Ds. Tanah Bangkang</t>
  </si>
  <si>
    <t>papancan – desa tanah bangkang</t>
  </si>
  <si>
    <t>Pahampangan, Sungai Raya Utara, Tanah Bangkang</t>
  </si>
  <si>
    <t>324</t>
  </si>
  <si>
    <t>Paramaian</t>
  </si>
  <si>
    <t>paramaian</t>
  </si>
  <si>
    <t>027</t>
  </si>
  <si>
    <t>Parincahan - Singakarsa (Harapan)</t>
  </si>
  <si>
    <t>parincahan – singakarsa harapan</t>
  </si>
  <si>
    <t>018</t>
  </si>
  <si>
    <t>Parindra</t>
  </si>
  <si>
    <t>parindra</t>
  </si>
  <si>
    <t>003</t>
  </si>
  <si>
    <t>Pasar Kandangan - Oprit Jembt. Loklua</t>
  </si>
  <si>
    <t>pasar kandangan – oprit jembt loklua</t>
  </si>
  <si>
    <t>054</t>
  </si>
  <si>
    <t>Pegangsaan Timur - Teluk Aman</t>
  </si>
  <si>
    <t>pegangsaan timur – teluk aman</t>
  </si>
  <si>
    <t>Gambah Dalam, Sungai Kupang</t>
  </si>
  <si>
    <t>133</t>
  </si>
  <si>
    <t>Pembangunan - Ds. Sungai Raya Utara</t>
  </si>
  <si>
    <t>pembangunan – desa sei raya utara</t>
  </si>
  <si>
    <t>Sarang Halang, Sungai Raya Utara</t>
  </si>
  <si>
    <t>017</t>
  </si>
  <si>
    <t>Pemuda</t>
  </si>
  <si>
    <t>pemuda</t>
  </si>
  <si>
    <t>224</t>
  </si>
  <si>
    <t>Pendawa - Ds. Tebing Tinggi</t>
  </si>
  <si>
    <t>pendawa – desa tebing tinggi</t>
  </si>
  <si>
    <t>349</t>
  </si>
  <si>
    <t>Pertanian - Ds. Wasah Tengah</t>
  </si>
  <si>
    <t>pertanian – desa wasah tengah</t>
  </si>
  <si>
    <t>317</t>
  </si>
  <si>
    <t>Pertukangan</t>
  </si>
  <si>
    <t>pertukangan</t>
  </si>
  <si>
    <t>326</t>
  </si>
  <si>
    <t>Pesantren Muradiyah</t>
  </si>
  <si>
    <t>pesantren muradiyah</t>
  </si>
  <si>
    <t>Pandak Daun</t>
  </si>
  <si>
    <t>228</t>
  </si>
  <si>
    <t>Pianggu</t>
  </si>
  <si>
    <t>pianggu</t>
  </si>
  <si>
    <t>Amparaya, Wasah Hilir</t>
  </si>
  <si>
    <t>022</t>
  </si>
  <si>
    <t>Rahmah Bahran</t>
  </si>
  <si>
    <t>rahmah bahran</t>
  </si>
  <si>
    <t>061</t>
  </si>
  <si>
    <t>Rambai - Bariang</t>
  </si>
  <si>
    <t>rambai – bariang</t>
  </si>
  <si>
    <t>Amawang Kiri Muka, Bariang</t>
  </si>
  <si>
    <t>192</t>
  </si>
  <si>
    <t>Rantauan - Sungai Baru (Pulau)</t>
  </si>
  <si>
    <t>rantauan – sei baru pulau</t>
  </si>
  <si>
    <t>Bakarung, Gambah Luar, Taniran Selatan</t>
  </si>
  <si>
    <t>227</t>
  </si>
  <si>
    <t>Rawati - Ds. Panjampang Bahagia</t>
  </si>
  <si>
    <t>rawati – desa panjampang bahagia</t>
  </si>
  <si>
    <t>186</t>
  </si>
  <si>
    <t>Rel Angkinang - TMMD Angkinang</t>
  </si>
  <si>
    <t>rel angkinang – angkinang</t>
  </si>
  <si>
    <t>Angkinang Selatan, Taniran Kubah, Tawia</t>
  </si>
  <si>
    <t>084</t>
  </si>
  <si>
    <t>RS. Hasan Basry II</t>
  </si>
  <si>
    <t>rs hasan basry ii</t>
  </si>
  <si>
    <t>336</t>
  </si>
  <si>
    <t>Sakincung - Ds. Hakurung Dalam</t>
  </si>
  <si>
    <t>sakincung – desa hakurung dalam</t>
  </si>
  <si>
    <t>038</t>
  </si>
  <si>
    <t>Samping Bappeda - Mesjid Darul Halik</t>
  </si>
  <si>
    <t>samping bappeda – mesjid darul halik</t>
  </si>
  <si>
    <t>329</t>
  </si>
  <si>
    <t>Samping Kantor Camat Daha Utara</t>
  </si>
  <si>
    <t>samping kantor camat daha utara</t>
  </si>
  <si>
    <t>164</t>
  </si>
  <si>
    <t>Samping Mesjid Mandapai</t>
  </si>
  <si>
    <t>samping mesjid mandapai</t>
  </si>
  <si>
    <t>299</t>
  </si>
  <si>
    <t>Samuda - Bajayau</t>
  </si>
  <si>
    <t>samuda – bajayau</t>
  </si>
  <si>
    <t>Badaun, Bajayau, Baru (Daha Barat), Samuda, Siang Gantung</t>
  </si>
  <si>
    <t>105</t>
  </si>
  <si>
    <t>Sarang Halang Padang - Sp. Batang Kulur</t>
  </si>
  <si>
    <t>sarang halang padang – sp batang kulur</t>
  </si>
  <si>
    <t>Paring Agung, Sungai Kali</t>
  </si>
  <si>
    <t>291</t>
  </si>
  <si>
    <t>Satria</t>
  </si>
  <si>
    <t>satria</t>
  </si>
  <si>
    <t>042</t>
  </si>
  <si>
    <t>Sei Kupang Utara - Simp. Empat Lungau</t>
  </si>
  <si>
    <t>sei kupang utara – simp empat lungau</t>
  </si>
  <si>
    <t>311</t>
  </si>
  <si>
    <t>Sei. Mandala Murung Raya</t>
  </si>
  <si>
    <t>sei mandala murung raya</t>
  </si>
  <si>
    <t>Balah Paikat, Murung Raya, Sungai Garuda, Sungai Mandala</t>
  </si>
  <si>
    <t>021</t>
  </si>
  <si>
    <t>Sekolah Islam (Kandangan Barat)</t>
  </si>
  <si>
    <t>sekolah islam kandangan barat</t>
  </si>
  <si>
    <t>293</t>
  </si>
  <si>
    <t>Sekolah Islam (Sungai Pinang)</t>
  </si>
  <si>
    <t>sekolah islam sei pinang</t>
  </si>
  <si>
    <t>338</t>
  </si>
  <si>
    <t>Siang Gantung - Ds. Baru</t>
  </si>
  <si>
    <t>siang gantung – desa baru</t>
  </si>
  <si>
    <t>Baru (Daha Barat), Siang Gantung</t>
  </si>
  <si>
    <t>318</t>
  </si>
  <si>
    <t>Silaturrahim</t>
  </si>
  <si>
    <t>silaturrahim</t>
  </si>
  <si>
    <t>Mdl. Murung Mesjid</t>
  </si>
  <si>
    <t>100</t>
  </si>
  <si>
    <t>Simpang Hamalau - Teluk Pinang</t>
  </si>
  <si>
    <t>sp hamalau – teluk pinang</t>
  </si>
  <si>
    <t>335</t>
  </si>
  <si>
    <t>Simpang Jadi Makmur - Ds. Samuda</t>
  </si>
  <si>
    <t>sp jadi makmur – desa samuda</t>
  </si>
  <si>
    <t>Samuda</t>
  </si>
  <si>
    <t>146</t>
  </si>
  <si>
    <t>Simpang Malutu - Pahampangan</t>
  </si>
  <si>
    <t>sp malutu – pahampangan</t>
  </si>
  <si>
    <t>Malutu, Pahampangan, Sungai Raya Selatan, Tanah Bangkang</t>
  </si>
  <si>
    <t>147</t>
  </si>
  <si>
    <t>Simpang Malutu - Tambak</t>
  </si>
  <si>
    <t>sp malutu – tambak</t>
  </si>
  <si>
    <t>Jelatang, Malutu</t>
  </si>
  <si>
    <t>206</t>
  </si>
  <si>
    <t>Simpur - Simp. Bilui</t>
  </si>
  <si>
    <t>simpur – simp bilui</t>
  </si>
  <si>
    <t>207</t>
  </si>
  <si>
    <t>Simpur - Sp. 3 Muara Paring Agung</t>
  </si>
  <si>
    <t>simpur – sp 3 muara paring agung</t>
  </si>
  <si>
    <t>Asam, Baru (Sungai Raya) , Simpur, Sungai Kali</t>
  </si>
  <si>
    <t>026</t>
  </si>
  <si>
    <t>Singakarsa - Getek</t>
  </si>
  <si>
    <t>singakarsa – getek</t>
  </si>
  <si>
    <t>Amawang Kiri Muka, Kandangan Barat</t>
  </si>
  <si>
    <t>025</t>
  </si>
  <si>
    <t>Singakarsa - Palas</t>
  </si>
  <si>
    <t>singakarsa – palas</t>
  </si>
  <si>
    <t>Amawang Kiri Muka, Kandangan Barat, Kandangan Kota, Lungau, Sungai Kupang, Tibung Raya</t>
  </si>
  <si>
    <t>253</t>
  </si>
  <si>
    <t>Sirih - Pacakan</t>
  </si>
  <si>
    <t>sirih – pacakan</t>
  </si>
  <si>
    <t>Sirih</t>
  </si>
  <si>
    <t>246</t>
  </si>
  <si>
    <t>Sirih - Taro</t>
  </si>
  <si>
    <t>sirih – taro</t>
  </si>
  <si>
    <t>240</t>
  </si>
  <si>
    <t>Slasa Garih - Ds. Kapuh</t>
  </si>
  <si>
    <t>slasa garih – desa kapuh</t>
  </si>
  <si>
    <t>Kapuh, Telaga Bidadari</t>
  </si>
  <si>
    <t>316</t>
  </si>
  <si>
    <t>SMAN Negara (KH. Abdullah)</t>
  </si>
  <si>
    <t>sman negara kh abdullah</t>
  </si>
  <si>
    <t>002</t>
  </si>
  <si>
    <t>Soeprapto - H.M Rusli</t>
  </si>
  <si>
    <t>soeprapto – h m rusli</t>
  </si>
  <si>
    <t>004</t>
  </si>
  <si>
    <t>Soetoyo - Teluk Mesjid</t>
  </si>
  <si>
    <t>soetoyo – teluk mesjid</t>
  </si>
  <si>
    <t>041</t>
  </si>
  <si>
    <t>Sp. 3 Baluti - Amawang</t>
  </si>
  <si>
    <t>sp 3 baluti – amawang</t>
  </si>
  <si>
    <t>Amawang Kanan, Tibung Raya</t>
  </si>
  <si>
    <t>096</t>
  </si>
  <si>
    <t>Sp. 4 Baru/Tampang - Sp. Bilui Pamujaan</t>
  </si>
  <si>
    <t>sp 4 baru tampang – sp bilui pamujaan</t>
  </si>
  <si>
    <t>Asam, Baru (Sungai Raya) , Batang Kulur Kanan, Bumi Berkat, Simpur, Sungai Kali, Tamiyang</t>
  </si>
  <si>
    <t>182</t>
  </si>
  <si>
    <t>Sp. Bakarung Selatan - Sungai Kudung</t>
  </si>
  <si>
    <t>sp bakarung selatan – sei kudung</t>
  </si>
  <si>
    <t>Gambah Luar Muka, Tabihi</t>
  </si>
  <si>
    <t>089</t>
  </si>
  <si>
    <t>Sp. Batang Kulur Kiri - Tatas</t>
  </si>
  <si>
    <t>sp batang kulur kiri – tatas</t>
  </si>
  <si>
    <t>043</t>
  </si>
  <si>
    <t>Sp. Empat Lungau - Bangkau</t>
  </si>
  <si>
    <t>sp empat lungau – bangkau</t>
  </si>
  <si>
    <t>Bangkau, Lungau</t>
  </si>
  <si>
    <t>044</t>
  </si>
  <si>
    <t>Sp. Empat Lungau - Garis</t>
  </si>
  <si>
    <t>sp empat lungau – garis</t>
  </si>
  <si>
    <t>189</t>
  </si>
  <si>
    <t>Sp. Mandampa Tel. Sili-Sili - Sp. Sei. Bungur</t>
  </si>
  <si>
    <t>sp mandampa tel sili – sili – sp sei bungur</t>
  </si>
  <si>
    <t>Angkinang, Pandulangan, Telaga Sili-Sili</t>
  </si>
  <si>
    <t>150</t>
  </si>
  <si>
    <t>Sp.3 Bukuanin - Riam Talo</t>
  </si>
  <si>
    <t>sp 3 bukuanin – riam talo</t>
  </si>
  <si>
    <t>Halunuk, Mawangi</t>
  </si>
  <si>
    <t>151</t>
  </si>
  <si>
    <t>Sp.3 Bukuanin - Tayub</t>
  </si>
  <si>
    <t>sp 3 bukuanin – tayub</t>
  </si>
  <si>
    <t>Madang, Mawangi</t>
  </si>
  <si>
    <t>303</t>
  </si>
  <si>
    <t>SP.4 Banjarbaru - Pasar Negara</t>
  </si>
  <si>
    <t>sp 4 banjarbaru – pasar negara</t>
  </si>
  <si>
    <t>Banjarbaru, Bayanan</t>
  </si>
  <si>
    <t>254</t>
  </si>
  <si>
    <t>SP.4 Mesjid Sirih - Sarang Nyamuk - Asam Tamiyang</t>
  </si>
  <si>
    <t>sp 4 mesjid sirih – sarang nyamuk – asam tamiyang</t>
  </si>
  <si>
    <t>Asam, Sirih, Sirih Hulu, Tamiyang</t>
  </si>
  <si>
    <t>305</t>
  </si>
  <si>
    <t>SP.4. Banjarbaru - Pihanin Raya</t>
  </si>
  <si>
    <t>sp 4 banjarbaru – pihanin raya</t>
  </si>
  <si>
    <t>Balah Paikat, Banjarbaru, Pihanin Raya</t>
  </si>
  <si>
    <t>320</t>
  </si>
  <si>
    <t>Sukaramai - Keramat</t>
  </si>
  <si>
    <t>sukaramai – keramat</t>
  </si>
  <si>
    <t>Baruh Kembang, Mdl. Murung Mesjid, Sungai Mandala</t>
  </si>
  <si>
    <t>308</t>
  </si>
  <si>
    <t>Sungai Bugundi</t>
  </si>
  <si>
    <t>sei bugundi</t>
  </si>
  <si>
    <t>Baruh Jaya</t>
  </si>
  <si>
    <t>030</t>
  </si>
  <si>
    <t>Sungai Damang - Amawang Kiri</t>
  </si>
  <si>
    <t>sei damang – amawang kiri</t>
  </si>
  <si>
    <t>Bariang, Sungai Paring</t>
  </si>
  <si>
    <t>201</t>
  </si>
  <si>
    <t>Sungai Durian - Ds. Gumbil</t>
  </si>
  <si>
    <t>sei durian – desa gumbil</t>
  </si>
  <si>
    <t>Gumbil</t>
  </si>
  <si>
    <t>216</t>
  </si>
  <si>
    <t>Sungai Kacil I - Kapuh Padang</t>
  </si>
  <si>
    <t>sei kacil i – kapuh padang</t>
  </si>
  <si>
    <t>Kapuh, Wasah Hilir</t>
  </si>
  <si>
    <t>217</t>
  </si>
  <si>
    <t>Sungai Kacil II</t>
  </si>
  <si>
    <t>sei kacil ii</t>
  </si>
  <si>
    <t>060</t>
  </si>
  <si>
    <t>Sungai Karuh</t>
  </si>
  <si>
    <t>sei karuh</t>
  </si>
  <si>
    <t>180</t>
  </si>
  <si>
    <t>Sungai Kudung - Kalinduku</t>
  </si>
  <si>
    <t>sei kudung – kalinduku</t>
  </si>
  <si>
    <t>Bakarung, Telaga Sili-Sili</t>
  </si>
  <si>
    <t>160</t>
  </si>
  <si>
    <t>Sungai Minting - Ds. Malutu</t>
  </si>
  <si>
    <t>sei minting – desa malutu</t>
  </si>
  <si>
    <t>Malutu</t>
  </si>
  <si>
    <t>126</t>
  </si>
  <si>
    <t>Sungai Namang - Ds. Tanah Bangkang</t>
  </si>
  <si>
    <t>sei namang – desa tanah bangkang</t>
  </si>
  <si>
    <t>Tanah Bangkang</t>
  </si>
  <si>
    <t>048</t>
  </si>
  <si>
    <t>Sungai Paring - Sei Hanyar Pantai Ulin</t>
  </si>
  <si>
    <t>sei paring – sei hanyar pantai ulin</t>
  </si>
  <si>
    <t>Pantai Ulin, Sungai Paring, Ulin, Wasah Hulu</t>
  </si>
  <si>
    <t>072</t>
  </si>
  <si>
    <t>Sungai Paring - Toba</t>
  </si>
  <si>
    <t>sei paring – toba</t>
  </si>
  <si>
    <t>Wasah Hulu</t>
  </si>
  <si>
    <t>094</t>
  </si>
  <si>
    <t>Sungai Raya - Jambu Hulu/Paku</t>
  </si>
  <si>
    <t>sei raya – jambu hulu paku</t>
  </si>
  <si>
    <t>Jambu Hulu, Pahampangan, Sungai Raya Utara, Tanah Bangkang</t>
  </si>
  <si>
    <t>095</t>
  </si>
  <si>
    <t>Sungai Raya Selatan - Malutu - Goa Berangin</t>
  </si>
  <si>
    <t>sei raya selatan – malutu – goa berangin</t>
  </si>
  <si>
    <t>Malutu, Sungai Raya Selatan</t>
  </si>
  <si>
    <t>088</t>
  </si>
  <si>
    <t>Sungai Raya Selatan - Sarang Halang</t>
  </si>
  <si>
    <t>sei raya selatan – sarang halang</t>
  </si>
  <si>
    <t>Paring Agung, Sungai Raya Selatan</t>
  </si>
  <si>
    <t>116</t>
  </si>
  <si>
    <t>Sungai Raya Utara - Teluk Pinang</t>
  </si>
  <si>
    <t>sei raya utara – teluk pinang</t>
  </si>
  <si>
    <t>Karasikan, Sungai Raya Utara</t>
  </si>
  <si>
    <t>077</t>
  </si>
  <si>
    <t>Suriangpati - Gambah Dalam Barat</t>
  </si>
  <si>
    <t>suriangpati – gambah dalam barat</t>
  </si>
  <si>
    <t>Gambah Dalam Barat, Sungai Kupang</t>
  </si>
  <si>
    <t>090</t>
  </si>
  <si>
    <t>Taal Batang Kulur - Sp. 3 Muara Prg Agung</t>
  </si>
  <si>
    <t>taal batang kulur – sp 3 muara prg agung</t>
  </si>
  <si>
    <t>Batang Kulur Tengah, Hariti, Sungai Kali</t>
  </si>
  <si>
    <t>093</t>
  </si>
  <si>
    <t>Taal Jarau - Sp. Baru/Tampang</t>
  </si>
  <si>
    <t>taal jarau – sp baru tampang</t>
  </si>
  <si>
    <t>Batang Kulur Kanan, Bumi Berkat, Ida Manggala</t>
  </si>
  <si>
    <t>137</t>
  </si>
  <si>
    <t>Tabihi - Telaga Langsat</t>
  </si>
  <si>
    <t>tabihi – telaga langsat</t>
  </si>
  <si>
    <t>Ambutun, Mandala, Pandulangan, Tabihi</t>
  </si>
  <si>
    <t>085</t>
  </si>
  <si>
    <t>Tajun - Sp.3 Muara Paring Agung</t>
  </si>
  <si>
    <t>tajun – sp 3 muara paring agung</t>
  </si>
  <si>
    <t>Paring Agung, Sarang Halang, Sungai Kali, Sungai Raya Utara</t>
  </si>
  <si>
    <t>245</t>
  </si>
  <si>
    <t>Talapak Manuk - Ds. Kapuh</t>
  </si>
  <si>
    <t>talapak manuk – desa kapuh</t>
  </si>
  <si>
    <t>Kapuh, Wasah Hulu</t>
  </si>
  <si>
    <t>166</t>
  </si>
  <si>
    <t>Tambak Pipii - Batu Ampar</t>
  </si>
  <si>
    <t>tambak pipii – batu ampar</t>
  </si>
  <si>
    <t>156</t>
  </si>
  <si>
    <t>Tambak Pipii - Malilingin</t>
  </si>
  <si>
    <t>tambak pipii – malilingin</t>
  </si>
  <si>
    <t>Batu Laki, Malilingin</t>
  </si>
  <si>
    <t>300</t>
  </si>
  <si>
    <t>Tambangan - Ds. Baruh Jaya</t>
  </si>
  <si>
    <t>tambangan – desa baruh jaya</t>
  </si>
  <si>
    <t>Baruh Jaya, Tambangan</t>
  </si>
  <si>
    <t>114</t>
  </si>
  <si>
    <t>Taminung</t>
  </si>
  <si>
    <t>taminung</t>
  </si>
  <si>
    <t>Sarang Halang, Telaga Bidadari</t>
  </si>
  <si>
    <t>107</t>
  </si>
  <si>
    <t>Tamiyang - Ds. Tamiyang (Eks TMMD)</t>
  </si>
  <si>
    <t>tamiyang – desa tamiyang eks</t>
  </si>
  <si>
    <t>Bumi Berkat, Tamiyang</t>
  </si>
  <si>
    <t>108</t>
  </si>
  <si>
    <t>Tanah Bangkang Menuju Balai Benih Ikan</t>
  </si>
  <si>
    <t>tanah bangkang menuju balai benih ikan</t>
  </si>
  <si>
    <t>Pahampangan</t>
  </si>
  <si>
    <t>242</t>
  </si>
  <si>
    <t>Tanah Habang - Ds. Simpur</t>
  </si>
  <si>
    <t>tanah habang – desa simpur</t>
  </si>
  <si>
    <t>Simpur, Wasah Hilir</t>
  </si>
  <si>
    <t>136</t>
  </si>
  <si>
    <t>Tanayung - Simp. Ambarai</t>
  </si>
  <si>
    <t>tanayung – simp ambarai</t>
  </si>
  <si>
    <t>Karang Jawa, Pandulangan</t>
  </si>
  <si>
    <t>235</t>
  </si>
  <si>
    <t>Tandik - Ds. Wasah Hilir</t>
  </si>
  <si>
    <t>tandik – desa wasah hilir</t>
  </si>
  <si>
    <t>281</t>
  </si>
  <si>
    <t>Tanginau - Balai Haruyan</t>
  </si>
  <si>
    <t>tanginau – balai haruyan</t>
  </si>
  <si>
    <t>Kamawakan, Tumingki</t>
  </si>
  <si>
    <t>168</t>
  </si>
  <si>
    <t>Taniran Selatan - Rantauan</t>
  </si>
  <si>
    <t>taniran selatan – rantauan</t>
  </si>
  <si>
    <t>171</t>
  </si>
  <si>
    <t>Taniran Selatan Kubah - Buntut Taniran / Wawaran</t>
  </si>
  <si>
    <t>taniran selatan kubah – buntut taniran wawaran</t>
  </si>
  <si>
    <t>Bakarung, Sungai Kupang, Taniran Kubah, Taniran Selatan</t>
  </si>
  <si>
    <t>184</t>
  </si>
  <si>
    <t>Taniran Tengah - Taniran Selatan</t>
  </si>
  <si>
    <t>taniran tengah – taniran selatan</t>
  </si>
  <si>
    <t>Taniran Kubah, Taniran Selatan</t>
  </si>
  <si>
    <t>342</t>
  </si>
  <si>
    <t>Tanjung Selor - Ds. Badaun</t>
  </si>
  <si>
    <t>tanjung selor – desa badaun</t>
  </si>
  <si>
    <t>Badaun, Bajayau Lama, Tanjung Selor</t>
  </si>
  <si>
    <t>087</t>
  </si>
  <si>
    <t>Tanjungan - Sp. 10 Batang Kulur - Sungai Kali</t>
  </si>
  <si>
    <t>tanjungan – sp 10 batang kulur – sei kali</t>
  </si>
  <si>
    <t>Baru (Sungai Raya), Batang Kulur Kanan, Batang Kulur Kiri, Batang Kulur Tengah, Bumi Berkat, Paring Agung, Sungai Kali, Sungai Raya Selatan</t>
  </si>
  <si>
    <t>104</t>
  </si>
  <si>
    <t>Tanjungan - Sp. 3 Sakijang</t>
  </si>
  <si>
    <t>tanjungan – sp 3 sakijang</t>
  </si>
  <si>
    <t>Paring Agung, Sarang Halang, Sungai Raya Selatan</t>
  </si>
  <si>
    <t>272</t>
  </si>
  <si>
    <t>Tanuhi - Hulu Banyu</t>
  </si>
  <si>
    <t>tanuhi – hulu banyu</t>
  </si>
  <si>
    <t>Hulu Banyu, Tumingki</t>
  </si>
  <si>
    <t>258</t>
  </si>
  <si>
    <t>Tanuhi - Ulang</t>
  </si>
  <si>
    <t>tanuhi – ulang</t>
  </si>
  <si>
    <t>Hulu Banyu, Ulang</t>
  </si>
  <si>
    <t>282</t>
  </si>
  <si>
    <t>Tataian - (Ds. Ulang) - Loksado</t>
  </si>
  <si>
    <t>tataian – desa ulang – loksado</t>
  </si>
  <si>
    <t>173</t>
  </si>
  <si>
    <t>Tawia - Kayu Abang</t>
  </si>
  <si>
    <t>tawia – kayu abang</t>
  </si>
  <si>
    <t>Angkinang,KayuAbang,Tawia</t>
  </si>
  <si>
    <t>079</t>
  </si>
  <si>
    <t>Telaga Banta - Patigan</t>
  </si>
  <si>
    <t>telaga banta – patigan</t>
  </si>
  <si>
    <t>AmawangKiri,Lungau</t>
  </si>
  <si>
    <t>193</t>
  </si>
  <si>
    <t>Telaga Langsat - Pakuan Timur</t>
  </si>
  <si>
    <t>telaga langsat – pakuan timur</t>
  </si>
  <si>
    <t>Mandala,PakuanTimur,Telaga Langsat</t>
  </si>
  <si>
    <t>312</t>
  </si>
  <si>
    <t>Teluk Haur I</t>
  </si>
  <si>
    <t>teluk haur i</t>
  </si>
  <si>
    <t>Teluk Haur</t>
  </si>
  <si>
    <t>313</t>
  </si>
  <si>
    <t>Teluk Haur II</t>
  </si>
  <si>
    <t>teluk haur ii</t>
  </si>
  <si>
    <t>005</t>
  </si>
  <si>
    <t>Teluk Mesjid - Sp. 4 Muara Banta</t>
  </si>
  <si>
    <t>teluk mesjid – sp 4 muara banta</t>
  </si>
  <si>
    <t>067</t>
  </si>
  <si>
    <t>Teluk Pinang - Baluti</t>
  </si>
  <si>
    <t>teluk pinang – baluti</t>
  </si>
  <si>
    <t>135</t>
  </si>
  <si>
    <t>Teluk Pinang - Padang Rasau</t>
  </si>
  <si>
    <t>teluk pinang – padang rasau</t>
  </si>
  <si>
    <t>Baluti, Jambu Hilir, Jembatan Merah</t>
  </si>
  <si>
    <t>101</t>
  </si>
  <si>
    <t>Teluk Pinang - Pahampangan Utara</t>
  </si>
  <si>
    <t>teluk pinang – pahampangan utara</t>
  </si>
  <si>
    <t>Karasikan, Pahampangan</t>
  </si>
  <si>
    <t>073</t>
  </si>
  <si>
    <t>Tembok Baru - Ds. Baluti</t>
  </si>
  <si>
    <t>tembok baru – desa baluti</t>
  </si>
  <si>
    <t>071</t>
  </si>
  <si>
    <t>Tembok Baru (Asam Cangkok)</t>
  </si>
  <si>
    <t>tembok baru asam cangkok</t>
  </si>
  <si>
    <t>058</t>
  </si>
  <si>
    <t>Tembok Kacil. Sei. Kudung</t>
  </si>
  <si>
    <t>tembok kacil sei kudung</t>
  </si>
  <si>
    <t>Gambah Luar, Tabihi</t>
  </si>
  <si>
    <t>036</t>
  </si>
  <si>
    <t>Tembok Lama - Loklua</t>
  </si>
  <si>
    <t>tembok lama – loklua</t>
  </si>
  <si>
    <t>Jambu Hilir</t>
  </si>
  <si>
    <t>066</t>
  </si>
  <si>
    <t>Teratai Menuju Komplek Perumnas Hamalau</t>
  </si>
  <si>
    <t>teratai menuju komp perumnas hamalau</t>
  </si>
  <si>
    <t>064</t>
  </si>
  <si>
    <t>Tibung Dalam - Teratai</t>
  </si>
  <si>
    <t>tibung dalam – teratai</t>
  </si>
  <si>
    <t>051</t>
  </si>
  <si>
    <t>Tibung Raya - Asam Cangkuk</t>
  </si>
  <si>
    <t>tibung raya – asam cangkuk</t>
  </si>
  <si>
    <t>Hamalau, Telaga Bidadari, Tibung Raya</t>
  </si>
  <si>
    <t>068</t>
  </si>
  <si>
    <t>Tibung Raya - Hamalau Dalam</t>
  </si>
  <si>
    <t>tibung raya – hamalau dalam</t>
  </si>
  <si>
    <t>132</t>
  </si>
  <si>
    <t>TPA - Ds. Sungai Raya Selatan</t>
  </si>
  <si>
    <t>tpa – desa sei raya selatan</t>
  </si>
  <si>
    <t>309</t>
  </si>
  <si>
    <t>Tukang Garit (Tambangan)</t>
  </si>
  <si>
    <t>tukang garit tambangan</t>
  </si>
  <si>
    <t>Tambangan</t>
  </si>
  <si>
    <t>290</t>
  </si>
  <si>
    <t>Tumbukan Banyu - Banua Hanyar</t>
  </si>
  <si>
    <t>tumbukan banyu – banua hanyar</t>
  </si>
  <si>
    <t>Banua Hanyar, Habirau, Habirau Tengah, Parigi, Sungai Pinang, Tumbukan Banyu</t>
  </si>
  <si>
    <t>222</t>
  </si>
  <si>
    <t>Tungkaran - Ds. Ulin</t>
  </si>
  <si>
    <t>tungkaran – desa ulin</t>
  </si>
  <si>
    <t>Ulin, Wasah Hulu</t>
  </si>
  <si>
    <t>288</t>
  </si>
  <si>
    <t>Ulang - Bangkaun</t>
  </si>
  <si>
    <t>ulang – bangkaun</t>
  </si>
  <si>
    <t>283</t>
  </si>
  <si>
    <t>Ulang - Kacang Parang</t>
  </si>
  <si>
    <t>ulang – kacang parang</t>
  </si>
  <si>
    <t>211</t>
  </si>
  <si>
    <t>Ulin - Tanggul (Balai Mas)</t>
  </si>
  <si>
    <t>ulin – tanggul balai mas</t>
  </si>
  <si>
    <t>200</t>
  </si>
  <si>
    <t>Umpaya - Tumarin</t>
  </si>
  <si>
    <t>umpaya – tumarin</t>
  </si>
  <si>
    <t>Hamak Utara</t>
  </si>
  <si>
    <t>019</t>
  </si>
  <si>
    <t>Wahab Syahrani</t>
  </si>
  <si>
    <t>wahab syahrani</t>
  </si>
  <si>
    <t>209</t>
  </si>
  <si>
    <t>Wasah Hilir - Amparaya</t>
  </si>
  <si>
    <t>wasah hilir – amparaya</t>
  </si>
  <si>
    <t>Panjampang Bahagia, Wasah Hilir</t>
  </si>
  <si>
    <t>205</t>
  </si>
  <si>
    <t>Wasah Hilir - Sarang Halang</t>
  </si>
  <si>
    <t>wasah hilir – sarang halang</t>
  </si>
  <si>
    <t>Sarang Halang, Wasah Hilir</t>
  </si>
  <si>
    <t>204</t>
  </si>
  <si>
    <t>Wasah Hulu - Amparaya - Simpur</t>
  </si>
  <si>
    <t>wasah hulu – amparaya – simpur</t>
  </si>
  <si>
    <t>Amparaya, Garunggang, Panjampang Bahagia, Simpur, Ulin, Wasah Hulu</t>
  </si>
  <si>
    <t>208</t>
  </si>
  <si>
    <t>Wasah Tengah - Sungai Tarap</t>
  </si>
  <si>
    <t>wasah tengah – sei tarap</t>
  </si>
  <si>
    <t>Kapuh, Sarang Halang, Wasah Tengah</t>
  </si>
  <si>
    <t>delta_rusak_berat_pct_2024</t>
  </si>
  <si>
    <t>delta_rusak_berat_pct_2025</t>
  </si>
  <si>
    <t>damage_population_impact_2025</t>
  </si>
  <si>
    <t>access_burden_score</t>
  </si>
  <si>
    <t>cost_proxy_2025</t>
  </si>
  <si>
    <t>years_since_last_tender</t>
  </si>
  <si>
    <t>mantap_pct_2025</t>
  </si>
  <si>
    <t>idx_clean</t>
  </si>
  <si>
    <t>rusak_berat_pct_2023</t>
  </si>
  <si>
    <t>rusak_berat_pct_2024</t>
  </si>
  <si>
    <t>rusak_berat_pct_2025</t>
  </si>
  <si>
    <t>last_tender_year_pre2026</t>
  </si>
  <si>
    <t>non_mantap_pct</t>
  </si>
  <si>
    <t>non_mantap_population_impact</t>
  </si>
  <si>
    <t>urban_activity_center_flag</t>
  </si>
  <si>
    <t>remote_service_burden_score</t>
  </si>
  <si>
    <t>public_facility_access_flag</t>
  </si>
  <si>
    <t>severe_damage_flag</t>
  </si>
  <si>
    <t>small_road_flag</t>
  </si>
  <si>
    <t>continuity_flag</t>
  </si>
  <si>
    <t>combined_priority_flag</t>
  </si>
  <si>
    <t>planned_teknokratis_2026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</si>
</sst>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9022A3-5C30-4652-B266-51C81C217EF5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6A33-300C-4E05-AE2B-F3D3E345FB17}">
  <dimension ref="A1:CR351"/>
  <sheetViews>
    <sheetView topLeftCell="BZ1" workbookViewId="0">
      <selection activeCell="CR1" sqref="CR1:CR1048576"/>
    </sheetView>
  </sheetViews>
  <sheetFormatPr defaultRowHeight="15" x14ac:dyDescent="0.25"/>
  <cols>
    <col min="3" max="3" width="47.28515625" bestFit="1" customWidth="1"/>
    <col min="4" max="91" width="9.140625" customWidth="1"/>
    <col min="92" max="92" width="17.7109375" customWidth="1"/>
    <col min="93" max="93" width="16.140625" customWidth="1"/>
    <col min="94" max="94" width="9.140625" customWidth="1"/>
    <col min="95" max="95" width="20.5703125" customWidth="1"/>
    <col min="96" max="96" width="20.5703125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>
        <v>1</v>
      </c>
      <c r="H2">
        <v>1</v>
      </c>
      <c r="I2">
        <v>1377</v>
      </c>
      <c r="J2">
        <v>0</v>
      </c>
      <c r="K2">
        <v>0</v>
      </c>
      <c r="L2">
        <v>714.1</v>
      </c>
      <c r="M2">
        <v>954.7</v>
      </c>
      <c r="N2">
        <v>1467.1</v>
      </c>
      <c r="O2">
        <v>166.2</v>
      </c>
      <c r="P2">
        <v>395.8</v>
      </c>
      <c r="Q2">
        <v>0</v>
      </c>
      <c r="R2">
        <v>0</v>
      </c>
      <c r="S2">
        <v>0</v>
      </c>
      <c r="T2">
        <v>0</v>
      </c>
      <c r="U2">
        <v>0</v>
      </c>
      <c r="V2">
        <v>0.24</v>
      </c>
      <c r="W2">
        <v>3.5</v>
      </c>
      <c r="X2">
        <v>0.24</v>
      </c>
      <c r="Y2">
        <v>0</v>
      </c>
      <c r="Z2">
        <v>0</v>
      </c>
      <c r="AA2">
        <v>0</v>
      </c>
      <c r="AB2">
        <v>0</v>
      </c>
      <c r="AC2">
        <v>0.24</v>
      </c>
      <c r="AD2">
        <v>0</v>
      </c>
      <c r="AE2">
        <v>0</v>
      </c>
      <c r="AF2">
        <v>0</v>
      </c>
      <c r="AG2">
        <v>1</v>
      </c>
      <c r="AH2">
        <v>0.24</v>
      </c>
      <c r="AI2">
        <v>3.5</v>
      </c>
      <c r="AJ2">
        <v>0.24</v>
      </c>
      <c r="AK2">
        <v>0</v>
      </c>
      <c r="AL2">
        <v>0</v>
      </c>
      <c r="AM2">
        <v>0</v>
      </c>
      <c r="AN2">
        <v>0</v>
      </c>
      <c r="AO2">
        <v>0.24</v>
      </c>
      <c r="AP2">
        <v>0</v>
      </c>
      <c r="AQ2">
        <v>0</v>
      </c>
      <c r="AR2">
        <v>0</v>
      </c>
      <c r="AS2">
        <v>1</v>
      </c>
      <c r="AT2">
        <v>0.24</v>
      </c>
      <c r="AU2">
        <v>0</v>
      </c>
      <c r="AV2">
        <v>0</v>
      </c>
      <c r="AW2">
        <v>0.239999994635582</v>
      </c>
      <c r="AX2">
        <v>0</v>
      </c>
      <c r="AY2">
        <v>0.239999994635582</v>
      </c>
      <c r="AZ2">
        <v>0</v>
      </c>
      <c r="BA2">
        <v>0</v>
      </c>
      <c r="BB2">
        <v>0</v>
      </c>
      <c r="BC2">
        <v>0.239999994635582</v>
      </c>
      <c r="BD2">
        <v>0</v>
      </c>
      <c r="BE2">
        <v>1</v>
      </c>
      <c r="BF2">
        <v>0</v>
      </c>
      <c r="BG2">
        <v>150</v>
      </c>
      <c r="BH2">
        <v>0.239999994635582</v>
      </c>
      <c r="BI2">
        <v>0</v>
      </c>
      <c r="BJ2">
        <v>0</v>
      </c>
      <c r="BK2">
        <v>0</v>
      </c>
      <c r="BL2">
        <v>0</v>
      </c>
      <c r="BM2">
        <v>0</v>
      </c>
      <c r="BP2">
        <v>1</v>
      </c>
      <c r="BQ2">
        <v>1</v>
      </c>
      <c r="BR2">
        <v>2024</v>
      </c>
      <c r="BS2">
        <v>1</v>
      </c>
      <c r="BT2">
        <v>1</v>
      </c>
      <c r="BU2">
        <v>1</v>
      </c>
      <c r="BV2">
        <v>2024</v>
      </c>
      <c r="BW2">
        <v>2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5">
      <c r="A3">
        <v>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>
        <v>2</v>
      </c>
      <c r="H3">
        <v>1</v>
      </c>
      <c r="I3">
        <v>1294</v>
      </c>
      <c r="J3">
        <v>0</v>
      </c>
      <c r="K3">
        <v>1</v>
      </c>
      <c r="L3">
        <v>961.1</v>
      </c>
      <c r="M3">
        <v>2012.5</v>
      </c>
      <c r="N3">
        <v>5681</v>
      </c>
      <c r="O3">
        <v>667.2</v>
      </c>
      <c r="P3">
        <v>6453.8</v>
      </c>
      <c r="Q3">
        <v>0</v>
      </c>
      <c r="R3">
        <v>0</v>
      </c>
      <c r="S3">
        <v>0</v>
      </c>
      <c r="T3">
        <v>0</v>
      </c>
      <c r="U3">
        <v>0</v>
      </c>
      <c r="V3">
        <v>1.06</v>
      </c>
      <c r="W3">
        <v>3</v>
      </c>
      <c r="X3">
        <v>1.06</v>
      </c>
      <c r="Y3">
        <v>0</v>
      </c>
      <c r="Z3">
        <v>0</v>
      </c>
      <c r="AA3">
        <v>0</v>
      </c>
      <c r="AB3">
        <v>0</v>
      </c>
      <c r="AC3">
        <v>1.06</v>
      </c>
      <c r="AD3">
        <v>0</v>
      </c>
      <c r="AE3">
        <v>0</v>
      </c>
      <c r="AF3">
        <v>0</v>
      </c>
      <c r="AG3">
        <v>1</v>
      </c>
      <c r="AH3">
        <v>1.06</v>
      </c>
      <c r="AI3">
        <v>3</v>
      </c>
      <c r="AJ3">
        <v>1.06</v>
      </c>
      <c r="AK3">
        <v>0</v>
      </c>
      <c r="AL3">
        <v>0</v>
      </c>
      <c r="AM3">
        <v>0</v>
      </c>
      <c r="AN3">
        <v>0</v>
      </c>
      <c r="AO3">
        <v>1.06</v>
      </c>
      <c r="AP3">
        <v>0</v>
      </c>
      <c r="AQ3">
        <v>0</v>
      </c>
      <c r="AR3">
        <v>0</v>
      </c>
      <c r="AS3">
        <v>1</v>
      </c>
      <c r="AT3">
        <v>1.06</v>
      </c>
      <c r="AU3">
        <v>0</v>
      </c>
      <c r="AV3">
        <v>0</v>
      </c>
      <c r="AW3">
        <v>1.059999942779541</v>
      </c>
      <c r="AX3">
        <v>0</v>
      </c>
      <c r="AY3">
        <v>0.25999999046325678</v>
      </c>
      <c r="AZ3">
        <v>0.80000001192092896</v>
      </c>
      <c r="BA3">
        <v>0</v>
      </c>
      <c r="BB3">
        <v>0</v>
      </c>
      <c r="BC3">
        <v>1.060000002384186</v>
      </c>
      <c r="BD3">
        <v>0</v>
      </c>
      <c r="BE3">
        <v>1</v>
      </c>
      <c r="BF3">
        <v>0</v>
      </c>
      <c r="BG3">
        <v>150</v>
      </c>
      <c r="BH3">
        <v>0.25999999046325678</v>
      </c>
      <c r="BI3">
        <v>0.80000001192092896</v>
      </c>
      <c r="BJ3">
        <v>0</v>
      </c>
      <c r="BK3">
        <v>0</v>
      </c>
      <c r="BL3">
        <v>0</v>
      </c>
      <c r="BM3">
        <v>0</v>
      </c>
      <c r="BP3">
        <v>0</v>
      </c>
      <c r="BQ3">
        <v>0</v>
      </c>
      <c r="BT3">
        <v>0</v>
      </c>
      <c r="BU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25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100</v>
      </c>
      <c r="G4">
        <v>2</v>
      </c>
      <c r="H4">
        <v>1</v>
      </c>
      <c r="I4">
        <v>2315</v>
      </c>
      <c r="J4">
        <v>0</v>
      </c>
      <c r="K4">
        <v>0</v>
      </c>
      <c r="L4">
        <v>1257.5</v>
      </c>
      <c r="M4">
        <v>1407.6</v>
      </c>
      <c r="N4">
        <v>1286.8</v>
      </c>
      <c r="O4">
        <v>425.9</v>
      </c>
      <c r="P4">
        <v>1575.8</v>
      </c>
      <c r="Q4">
        <v>0</v>
      </c>
      <c r="R4">
        <v>0</v>
      </c>
      <c r="S4">
        <v>0</v>
      </c>
      <c r="T4">
        <v>0</v>
      </c>
      <c r="U4">
        <v>0</v>
      </c>
      <c r="V4">
        <v>0.38</v>
      </c>
      <c r="W4">
        <v>3.5</v>
      </c>
      <c r="X4">
        <v>0</v>
      </c>
      <c r="Y4">
        <v>0</v>
      </c>
      <c r="Z4">
        <v>0</v>
      </c>
      <c r="AA4">
        <v>0.38</v>
      </c>
      <c r="AB4">
        <v>0</v>
      </c>
      <c r="AC4">
        <v>0</v>
      </c>
      <c r="AD4">
        <v>0</v>
      </c>
      <c r="AE4">
        <v>0</v>
      </c>
      <c r="AF4">
        <v>0.38</v>
      </c>
      <c r="AG4">
        <v>0</v>
      </c>
      <c r="AH4">
        <v>0.38</v>
      </c>
      <c r="AI4">
        <v>3.5</v>
      </c>
      <c r="AJ4">
        <v>0.38000000000000012</v>
      </c>
      <c r="AK4">
        <v>0</v>
      </c>
      <c r="AL4">
        <v>0</v>
      </c>
      <c r="AM4">
        <v>0</v>
      </c>
      <c r="AN4">
        <v>0</v>
      </c>
      <c r="AO4">
        <v>0.38000000000000012</v>
      </c>
      <c r="AP4">
        <v>0</v>
      </c>
      <c r="AQ4">
        <v>0</v>
      </c>
      <c r="AR4">
        <v>0</v>
      </c>
      <c r="AS4">
        <v>1</v>
      </c>
      <c r="AT4">
        <v>0.38</v>
      </c>
      <c r="AU4">
        <v>0</v>
      </c>
      <c r="AV4">
        <v>0</v>
      </c>
      <c r="AW4">
        <v>0.37999999523162842</v>
      </c>
      <c r="AX4">
        <v>0</v>
      </c>
      <c r="AY4">
        <v>0.37999999523162842</v>
      </c>
      <c r="AZ4">
        <v>0</v>
      </c>
      <c r="BA4">
        <v>0</v>
      </c>
      <c r="BB4">
        <v>0</v>
      </c>
      <c r="BC4">
        <v>0.37999999523162842</v>
      </c>
      <c r="BD4">
        <v>0</v>
      </c>
      <c r="BE4">
        <v>1</v>
      </c>
      <c r="BF4">
        <v>0</v>
      </c>
      <c r="BG4">
        <v>150</v>
      </c>
      <c r="BH4">
        <v>0.37999999523162842</v>
      </c>
      <c r="BI4">
        <v>0</v>
      </c>
      <c r="BJ4">
        <v>0</v>
      </c>
      <c r="BK4">
        <v>0</v>
      </c>
      <c r="BL4">
        <v>0</v>
      </c>
      <c r="BM4">
        <v>0</v>
      </c>
      <c r="BP4">
        <v>1</v>
      </c>
      <c r="BQ4">
        <v>1</v>
      </c>
      <c r="BR4">
        <v>2024</v>
      </c>
      <c r="BS4">
        <v>1</v>
      </c>
      <c r="BT4">
        <v>1</v>
      </c>
      <c r="BU4">
        <v>1</v>
      </c>
      <c r="BV4">
        <v>2024</v>
      </c>
      <c r="BW4">
        <v>2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2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100</v>
      </c>
      <c r="G5">
        <v>3</v>
      </c>
      <c r="H5">
        <v>1</v>
      </c>
      <c r="I5">
        <v>6205</v>
      </c>
      <c r="J5">
        <v>0</v>
      </c>
      <c r="K5">
        <v>1</v>
      </c>
      <c r="L5">
        <v>1109.5</v>
      </c>
      <c r="M5">
        <v>461.8</v>
      </c>
      <c r="N5">
        <v>2807.8</v>
      </c>
      <c r="O5">
        <v>138.80000000000001</v>
      </c>
      <c r="P5">
        <v>944.9</v>
      </c>
      <c r="Q5">
        <v>0</v>
      </c>
      <c r="R5">
        <v>0</v>
      </c>
      <c r="S5">
        <v>0</v>
      </c>
      <c r="T5">
        <v>0</v>
      </c>
      <c r="U5">
        <v>0</v>
      </c>
      <c r="V5">
        <v>1.34</v>
      </c>
      <c r="W5">
        <v>5</v>
      </c>
      <c r="X5">
        <v>1.34</v>
      </c>
      <c r="Y5">
        <v>0</v>
      </c>
      <c r="Z5">
        <v>0</v>
      </c>
      <c r="AA5">
        <v>0</v>
      </c>
      <c r="AB5">
        <v>0</v>
      </c>
      <c r="AC5">
        <v>1.34</v>
      </c>
      <c r="AD5">
        <v>0</v>
      </c>
      <c r="AE5">
        <v>0</v>
      </c>
      <c r="AF5">
        <v>0</v>
      </c>
      <c r="AG5">
        <v>1</v>
      </c>
      <c r="AH5">
        <v>1.34</v>
      </c>
      <c r="AI5">
        <v>5</v>
      </c>
      <c r="AJ5">
        <v>1.34</v>
      </c>
      <c r="AK5">
        <v>0</v>
      </c>
      <c r="AL5">
        <v>0</v>
      </c>
      <c r="AM5">
        <v>0</v>
      </c>
      <c r="AN5">
        <v>0</v>
      </c>
      <c r="AO5">
        <v>1.34</v>
      </c>
      <c r="AP5">
        <v>0</v>
      </c>
      <c r="AQ5">
        <v>0</v>
      </c>
      <c r="AR5">
        <v>0</v>
      </c>
      <c r="AS5">
        <v>1</v>
      </c>
      <c r="AT5">
        <v>1.34</v>
      </c>
      <c r="AU5">
        <v>0</v>
      </c>
      <c r="AV5">
        <v>0</v>
      </c>
      <c r="AW5">
        <v>1.3400000333786011</v>
      </c>
      <c r="AX5">
        <v>0</v>
      </c>
      <c r="AY5">
        <v>0.5</v>
      </c>
      <c r="AZ5">
        <v>0.8399999737739563</v>
      </c>
      <c r="BA5">
        <v>0</v>
      </c>
      <c r="BB5">
        <v>0</v>
      </c>
      <c r="BC5">
        <v>1.3399999737739561</v>
      </c>
      <c r="BD5">
        <v>0</v>
      </c>
      <c r="BE5">
        <v>1</v>
      </c>
      <c r="BF5">
        <v>0</v>
      </c>
      <c r="BG5">
        <v>100</v>
      </c>
      <c r="BH5">
        <v>0.5</v>
      </c>
      <c r="BI5">
        <v>0.8399999737739563</v>
      </c>
      <c r="BJ5">
        <v>0</v>
      </c>
      <c r="BK5">
        <v>0</v>
      </c>
      <c r="BL5">
        <v>0</v>
      </c>
      <c r="BM5">
        <v>0</v>
      </c>
      <c r="BP5">
        <v>0</v>
      </c>
      <c r="BQ5">
        <v>0</v>
      </c>
      <c r="BT5">
        <v>0</v>
      </c>
      <c r="BU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1</v>
      </c>
    </row>
    <row r="6" spans="1:96" x14ac:dyDescent="0.25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>
        <v>2</v>
      </c>
      <c r="H6">
        <v>2</v>
      </c>
      <c r="I6">
        <v>1122</v>
      </c>
      <c r="J6">
        <v>0</v>
      </c>
      <c r="K6">
        <v>1</v>
      </c>
      <c r="L6">
        <v>3281</v>
      </c>
      <c r="M6">
        <v>1687.3</v>
      </c>
      <c r="N6">
        <v>2540.1999999999998</v>
      </c>
      <c r="O6">
        <v>459.8</v>
      </c>
      <c r="P6">
        <v>3136</v>
      </c>
      <c r="Q6">
        <v>0</v>
      </c>
      <c r="R6">
        <v>0</v>
      </c>
      <c r="S6">
        <v>0</v>
      </c>
      <c r="T6">
        <v>0</v>
      </c>
      <c r="U6">
        <v>0</v>
      </c>
      <c r="V6">
        <v>3.17</v>
      </c>
      <c r="W6">
        <v>3.5</v>
      </c>
      <c r="X6">
        <v>3.17</v>
      </c>
      <c r="Y6">
        <v>0</v>
      </c>
      <c r="Z6">
        <v>0</v>
      </c>
      <c r="AA6">
        <v>0</v>
      </c>
      <c r="AB6">
        <v>0</v>
      </c>
      <c r="AC6">
        <v>3.17</v>
      </c>
      <c r="AD6">
        <v>0</v>
      </c>
      <c r="AE6">
        <v>0</v>
      </c>
      <c r="AF6">
        <v>0</v>
      </c>
      <c r="AG6">
        <v>1</v>
      </c>
      <c r="AH6">
        <v>3.17</v>
      </c>
      <c r="AI6">
        <v>3.5</v>
      </c>
      <c r="AJ6">
        <v>3.1700000000000008</v>
      </c>
      <c r="AK6">
        <v>0</v>
      </c>
      <c r="AL6">
        <v>0</v>
      </c>
      <c r="AM6">
        <v>0</v>
      </c>
      <c r="AN6">
        <v>0</v>
      </c>
      <c r="AO6">
        <v>0</v>
      </c>
      <c r="AP6">
        <v>2.9700000000000011</v>
      </c>
      <c r="AQ6">
        <v>0.2</v>
      </c>
      <c r="AR6">
        <v>0</v>
      </c>
      <c r="AS6">
        <v>0.93690851735015768</v>
      </c>
      <c r="AT6">
        <v>3.17</v>
      </c>
      <c r="AU6">
        <v>0</v>
      </c>
      <c r="AV6">
        <v>0</v>
      </c>
      <c r="AW6">
        <v>3.1700000762939449</v>
      </c>
      <c r="AX6">
        <v>0</v>
      </c>
      <c r="AY6">
        <v>0</v>
      </c>
      <c r="AZ6">
        <v>2.470000028610229</v>
      </c>
      <c r="BA6">
        <v>0.69999998807907104</v>
      </c>
      <c r="BB6">
        <v>0</v>
      </c>
      <c r="BC6">
        <v>2.470000028610229</v>
      </c>
      <c r="BD6">
        <v>0.69999998807907104</v>
      </c>
      <c r="BE6">
        <v>0.77917981564866357</v>
      </c>
      <c r="BF6">
        <v>0.22082018435133649</v>
      </c>
      <c r="BG6">
        <v>150</v>
      </c>
      <c r="BH6">
        <v>0</v>
      </c>
      <c r="BI6">
        <v>2.470000028610229</v>
      </c>
      <c r="BJ6">
        <v>0.69999998807907104</v>
      </c>
      <c r="BK6">
        <v>0</v>
      </c>
      <c r="BL6">
        <v>1</v>
      </c>
      <c r="BM6">
        <v>1</v>
      </c>
      <c r="BN6">
        <v>2023</v>
      </c>
      <c r="BO6">
        <v>1</v>
      </c>
      <c r="BP6">
        <v>1</v>
      </c>
      <c r="BQ6">
        <v>1</v>
      </c>
      <c r="BR6">
        <v>2023</v>
      </c>
      <c r="BS6">
        <v>2</v>
      </c>
      <c r="BT6">
        <v>1</v>
      </c>
      <c r="BU6">
        <v>1</v>
      </c>
      <c r="BV6">
        <v>2023</v>
      </c>
      <c r="BW6">
        <v>3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25">
      <c r="A7">
        <v>6</v>
      </c>
      <c r="B7" t="s">
        <v>119</v>
      </c>
      <c r="C7" t="s">
        <v>120</v>
      </c>
      <c r="D7" t="s">
        <v>121</v>
      </c>
      <c r="E7" t="s">
        <v>122</v>
      </c>
      <c r="F7" t="s">
        <v>100</v>
      </c>
      <c r="G7">
        <v>4</v>
      </c>
      <c r="H7">
        <v>1</v>
      </c>
      <c r="I7">
        <v>2479</v>
      </c>
      <c r="J7">
        <v>0</v>
      </c>
      <c r="K7">
        <v>0</v>
      </c>
      <c r="L7">
        <v>4114.1000000000004</v>
      </c>
      <c r="M7">
        <v>3726.6</v>
      </c>
      <c r="N7">
        <v>5380</v>
      </c>
      <c r="O7">
        <v>191.1</v>
      </c>
      <c r="P7">
        <v>3795.8</v>
      </c>
      <c r="Q7">
        <v>0</v>
      </c>
      <c r="R7">
        <v>0</v>
      </c>
      <c r="S7">
        <v>0</v>
      </c>
      <c r="T7">
        <v>0</v>
      </c>
      <c r="U7">
        <v>0</v>
      </c>
      <c r="V7">
        <v>5.41</v>
      </c>
      <c r="W7">
        <v>3.5</v>
      </c>
      <c r="X7">
        <v>5.41</v>
      </c>
      <c r="Y7">
        <v>0</v>
      </c>
      <c r="Z7">
        <v>0</v>
      </c>
      <c r="AA7">
        <v>0</v>
      </c>
      <c r="AB7">
        <v>0</v>
      </c>
      <c r="AC7">
        <v>5.41</v>
      </c>
      <c r="AD7">
        <v>0</v>
      </c>
      <c r="AE7">
        <v>0</v>
      </c>
      <c r="AF7">
        <v>0</v>
      </c>
      <c r="AG7">
        <v>1</v>
      </c>
      <c r="AH7">
        <v>5.41</v>
      </c>
      <c r="AI7">
        <v>3.5</v>
      </c>
      <c r="AJ7">
        <v>5.4099999999999966</v>
      </c>
      <c r="AK7">
        <v>0</v>
      </c>
      <c r="AL7">
        <v>0</v>
      </c>
      <c r="AM7">
        <v>0</v>
      </c>
      <c r="AN7">
        <v>0</v>
      </c>
      <c r="AO7">
        <v>4.5999999999999996</v>
      </c>
      <c r="AP7">
        <v>0.41</v>
      </c>
      <c r="AQ7">
        <v>0.4</v>
      </c>
      <c r="AR7">
        <v>0</v>
      </c>
      <c r="AS7">
        <v>0.92606284658040661</v>
      </c>
      <c r="AT7">
        <v>5.41</v>
      </c>
      <c r="AU7">
        <v>0</v>
      </c>
      <c r="AV7">
        <v>0</v>
      </c>
      <c r="AW7">
        <v>5.4099998474121094</v>
      </c>
      <c r="AX7">
        <v>0</v>
      </c>
      <c r="AY7">
        <v>4.5</v>
      </c>
      <c r="AZ7">
        <v>0.40999999642372131</v>
      </c>
      <c r="BA7">
        <v>0.5</v>
      </c>
      <c r="BB7">
        <v>0</v>
      </c>
      <c r="BC7">
        <v>4.9099999964237213</v>
      </c>
      <c r="BD7">
        <v>0.5</v>
      </c>
      <c r="BE7">
        <v>0.90757855816441313</v>
      </c>
      <c r="BF7">
        <v>9.2421441835586843E-2</v>
      </c>
      <c r="BG7">
        <v>150</v>
      </c>
      <c r="BH7">
        <v>4.5</v>
      </c>
      <c r="BI7">
        <v>0.40999999642372131</v>
      </c>
      <c r="BJ7">
        <v>0.5</v>
      </c>
      <c r="BK7">
        <v>0</v>
      </c>
      <c r="BL7">
        <v>1</v>
      </c>
      <c r="BM7">
        <v>2</v>
      </c>
      <c r="BN7">
        <v>2023</v>
      </c>
      <c r="BO7">
        <v>1</v>
      </c>
      <c r="BP7">
        <v>1</v>
      </c>
      <c r="BQ7">
        <v>2</v>
      </c>
      <c r="BR7">
        <v>2023</v>
      </c>
      <c r="BS7">
        <v>2</v>
      </c>
      <c r="BT7">
        <v>1</v>
      </c>
      <c r="BU7">
        <v>3</v>
      </c>
      <c r="BV7">
        <v>2025</v>
      </c>
      <c r="BW7">
        <v>1</v>
      </c>
      <c r="BX7">
        <v>1</v>
      </c>
      <c r="BY7">
        <v>0</v>
      </c>
      <c r="BZ7">
        <v>1</v>
      </c>
      <c r="CA7">
        <v>0</v>
      </c>
      <c r="CB7">
        <v>1</v>
      </c>
      <c r="CC7">
        <v>1</v>
      </c>
      <c r="CD7">
        <v>0</v>
      </c>
      <c r="CE7">
        <v>1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1</v>
      </c>
      <c r="CQ7">
        <v>0</v>
      </c>
      <c r="CR7">
        <v>0</v>
      </c>
    </row>
    <row r="8" spans="1:96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>
        <v>2</v>
      </c>
      <c r="H8">
        <v>1</v>
      </c>
      <c r="I8">
        <v>1088</v>
      </c>
      <c r="J8">
        <v>0</v>
      </c>
      <c r="K8">
        <v>0</v>
      </c>
      <c r="L8">
        <v>2381.1999999999998</v>
      </c>
      <c r="M8">
        <v>3220.9</v>
      </c>
      <c r="N8">
        <v>7125.8</v>
      </c>
      <c r="O8">
        <v>1028.5</v>
      </c>
      <c r="P8">
        <v>5524.6</v>
      </c>
      <c r="Q8">
        <v>0</v>
      </c>
      <c r="R8">
        <v>0</v>
      </c>
      <c r="S8">
        <v>0</v>
      </c>
      <c r="T8">
        <v>0</v>
      </c>
      <c r="U8">
        <v>0</v>
      </c>
      <c r="V8">
        <v>1.74</v>
      </c>
      <c r="W8">
        <v>3.5</v>
      </c>
      <c r="X8">
        <v>1.74</v>
      </c>
      <c r="Y8">
        <v>0</v>
      </c>
      <c r="Z8">
        <v>0</v>
      </c>
      <c r="AA8">
        <v>0</v>
      </c>
      <c r="AB8">
        <v>0</v>
      </c>
      <c r="AC8">
        <v>1.74</v>
      </c>
      <c r="AD8">
        <v>0</v>
      </c>
      <c r="AE8">
        <v>0</v>
      </c>
      <c r="AF8">
        <v>0</v>
      </c>
      <c r="AG8">
        <v>1</v>
      </c>
      <c r="AH8">
        <v>1.74</v>
      </c>
      <c r="AI8">
        <v>3.5</v>
      </c>
      <c r="AJ8">
        <v>1.74</v>
      </c>
      <c r="AK8">
        <v>0</v>
      </c>
      <c r="AL8">
        <v>0</v>
      </c>
      <c r="AM8">
        <v>0</v>
      </c>
      <c r="AN8">
        <v>0</v>
      </c>
      <c r="AO8">
        <v>1.74</v>
      </c>
      <c r="AP8">
        <v>0</v>
      </c>
      <c r="AQ8">
        <v>0</v>
      </c>
      <c r="AR8">
        <v>0</v>
      </c>
      <c r="AS8">
        <v>1</v>
      </c>
      <c r="AT8">
        <v>1.74</v>
      </c>
      <c r="AU8">
        <v>0</v>
      </c>
      <c r="AV8">
        <v>0</v>
      </c>
      <c r="AW8">
        <v>1.7400000095367429</v>
      </c>
      <c r="AX8">
        <v>0</v>
      </c>
      <c r="AY8">
        <v>1.3400000333786011</v>
      </c>
      <c r="AZ8">
        <v>0.40000000596046448</v>
      </c>
      <c r="BA8">
        <v>0</v>
      </c>
      <c r="BB8">
        <v>0</v>
      </c>
      <c r="BC8">
        <v>1.740000039339066</v>
      </c>
      <c r="BD8">
        <v>0</v>
      </c>
      <c r="BE8">
        <v>1</v>
      </c>
      <c r="BF8">
        <v>0</v>
      </c>
      <c r="BG8">
        <v>150</v>
      </c>
      <c r="BH8">
        <v>1.3400000333786011</v>
      </c>
      <c r="BI8">
        <v>0.40000000596046448</v>
      </c>
      <c r="BJ8">
        <v>0</v>
      </c>
      <c r="BK8">
        <v>0</v>
      </c>
      <c r="BL8">
        <v>0</v>
      </c>
      <c r="BM8">
        <v>0</v>
      </c>
      <c r="BP8">
        <v>1</v>
      </c>
      <c r="BQ8">
        <v>1</v>
      </c>
      <c r="BR8">
        <v>2024</v>
      </c>
      <c r="BS8">
        <v>1</v>
      </c>
      <c r="BT8">
        <v>1</v>
      </c>
      <c r="BU8">
        <v>1</v>
      </c>
      <c r="BV8">
        <v>2024</v>
      </c>
      <c r="BW8">
        <v>2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  <c r="CP8">
        <v>0</v>
      </c>
      <c r="CQ8">
        <v>0</v>
      </c>
      <c r="CR8">
        <v>0</v>
      </c>
    </row>
    <row r="9" spans="1:96" x14ac:dyDescent="0.25">
      <c r="A9">
        <v>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>
        <v>2</v>
      </c>
      <c r="H9">
        <v>1</v>
      </c>
      <c r="I9">
        <v>763</v>
      </c>
      <c r="J9">
        <v>0</v>
      </c>
      <c r="K9">
        <v>0</v>
      </c>
      <c r="L9">
        <v>4179.5</v>
      </c>
      <c r="M9">
        <v>2818.2</v>
      </c>
      <c r="N9">
        <v>13938.7</v>
      </c>
      <c r="O9">
        <v>1329.4</v>
      </c>
      <c r="P9">
        <v>12075.8</v>
      </c>
      <c r="Q9">
        <v>0</v>
      </c>
      <c r="R9">
        <v>0</v>
      </c>
      <c r="S9">
        <v>0</v>
      </c>
      <c r="T9">
        <v>0</v>
      </c>
      <c r="U9">
        <v>0</v>
      </c>
      <c r="V9">
        <v>1.57</v>
      </c>
      <c r="W9">
        <v>3</v>
      </c>
      <c r="X9">
        <v>0.1</v>
      </c>
      <c r="Y9">
        <v>0</v>
      </c>
      <c r="Z9">
        <v>0</v>
      </c>
      <c r="AA9">
        <v>1.47</v>
      </c>
      <c r="AB9">
        <v>0</v>
      </c>
      <c r="AC9">
        <v>0</v>
      </c>
      <c r="AD9">
        <v>0</v>
      </c>
      <c r="AE9">
        <v>0</v>
      </c>
      <c r="AF9">
        <v>1.57</v>
      </c>
      <c r="AG9">
        <v>0</v>
      </c>
      <c r="AH9">
        <v>1.57</v>
      </c>
      <c r="AI9">
        <v>3.5</v>
      </c>
      <c r="AJ9">
        <v>0.2</v>
      </c>
      <c r="AK9">
        <v>0</v>
      </c>
      <c r="AL9">
        <v>0</v>
      </c>
      <c r="AM9">
        <v>1.37</v>
      </c>
      <c r="AN9">
        <v>0</v>
      </c>
      <c r="AO9">
        <v>0</v>
      </c>
      <c r="AP9">
        <v>0</v>
      </c>
      <c r="AQ9">
        <v>0</v>
      </c>
      <c r="AR9">
        <v>1.57</v>
      </c>
      <c r="AS9">
        <v>0</v>
      </c>
      <c r="AT9">
        <v>1.57</v>
      </c>
      <c r="AU9">
        <v>0</v>
      </c>
      <c r="AV9">
        <v>0</v>
      </c>
      <c r="AW9">
        <v>0.20000000298023221</v>
      </c>
      <c r="AX9">
        <v>0</v>
      </c>
      <c r="AY9">
        <v>0</v>
      </c>
      <c r="AZ9">
        <v>0</v>
      </c>
      <c r="BA9">
        <v>0</v>
      </c>
      <c r="BB9">
        <v>0.20000000298023221</v>
      </c>
      <c r="BC9">
        <v>0</v>
      </c>
      <c r="BD9">
        <v>0.20000000298023221</v>
      </c>
      <c r="BE9">
        <v>0</v>
      </c>
      <c r="BF9">
        <v>1</v>
      </c>
      <c r="BG9">
        <v>150</v>
      </c>
      <c r="BH9">
        <v>0</v>
      </c>
      <c r="BI9">
        <v>0</v>
      </c>
      <c r="BJ9">
        <v>0</v>
      </c>
      <c r="BK9">
        <v>0.20000000298023221</v>
      </c>
      <c r="BL9">
        <v>0</v>
      </c>
      <c r="BM9">
        <v>0</v>
      </c>
      <c r="BP9">
        <v>0</v>
      </c>
      <c r="BQ9">
        <v>0</v>
      </c>
      <c r="BT9">
        <v>0</v>
      </c>
      <c r="BU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1</v>
      </c>
    </row>
    <row r="10" spans="1:96" x14ac:dyDescent="0.25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 t="s">
        <v>105</v>
      </c>
      <c r="G10">
        <v>2</v>
      </c>
      <c r="H10">
        <v>1</v>
      </c>
      <c r="I10">
        <v>1032</v>
      </c>
      <c r="J10">
        <v>0</v>
      </c>
      <c r="K10">
        <v>0</v>
      </c>
      <c r="L10">
        <v>4608.7</v>
      </c>
      <c r="M10">
        <v>5179.2</v>
      </c>
      <c r="N10">
        <v>10259.5</v>
      </c>
      <c r="O10">
        <v>1207.7</v>
      </c>
      <c r="P10">
        <v>10424.200000000001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4.3600000000000003</v>
      </c>
      <c r="W10">
        <v>3.5</v>
      </c>
      <c r="X10">
        <v>4.3600000000000003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4.16</v>
      </c>
      <c r="AE10">
        <v>0.2</v>
      </c>
      <c r="AF10">
        <v>0</v>
      </c>
      <c r="AG10">
        <v>0.95412844036697242</v>
      </c>
      <c r="AH10">
        <v>4.3600000000000003</v>
      </c>
      <c r="AI10">
        <v>3.5</v>
      </c>
      <c r="AJ10">
        <v>4.3600000000000003</v>
      </c>
      <c r="AK10">
        <v>0</v>
      </c>
      <c r="AL10">
        <v>0</v>
      </c>
      <c r="AM10">
        <v>0</v>
      </c>
      <c r="AN10">
        <v>0</v>
      </c>
      <c r="AO10">
        <v>2.4000000000000008</v>
      </c>
      <c r="AP10">
        <v>1.9600000000000011</v>
      </c>
      <c r="AQ10">
        <v>0</v>
      </c>
      <c r="AR10">
        <v>0</v>
      </c>
      <c r="AS10">
        <v>1</v>
      </c>
      <c r="AT10">
        <v>4.3600000000000003</v>
      </c>
      <c r="AU10">
        <v>0</v>
      </c>
      <c r="AV10">
        <v>0</v>
      </c>
      <c r="AW10">
        <v>4.3600001335144043</v>
      </c>
      <c r="AX10">
        <v>0</v>
      </c>
      <c r="AY10">
        <v>2</v>
      </c>
      <c r="AZ10">
        <v>2.160000085830688</v>
      </c>
      <c r="BA10">
        <v>0.20000000298023221</v>
      </c>
      <c r="BB10">
        <v>0</v>
      </c>
      <c r="BC10">
        <v>4.1600000858306876</v>
      </c>
      <c r="BD10">
        <v>0.20000000298023221</v>
      </c>
      <c r="BE10">
        <v>0.95412844061781266</v>
      </c>
      <c r="BF10">
        <v>4.5871559382187337E-2</v>
      </c>
      <c r="BG10">
        <v>150</v>
      </c>
      <c r="BH10">
        <v>2</v>
      </c>
      <c r="BI10">
        <v>2.160000085830688</v>
      </c>
      <c r="BJ10">
        <v>0.20000000298023221</v>
      </c>
      <c r="BK10">
        <v>0</v>
      </c>
      <c r="BL10">
        <v>1</v>
      </c>
      <c r="BM10">
        <v>3</v>
      </c>
      <c r="BN10">
        <v>2023</v>
      </c>
      <c r="BO10">
        <v>1</v>
      </c>
      <c r="BP10">
        <v>1</v>
      </c>
      <c r="BQ10">
        <v>3</v>
      </c>
      <c r="BR10">
        <v>2023</v>
      </c>
      <c r="BS10">
        <v>2</v>
      </c>
      <c r="BT10">
        <v>1</v>
      </c>
      <c r="BU10">
        <v>3</v>
      </c>
      <c r="BV10">
        <v>2023</v>
      </c>
      <c r="BW10">
        <v>3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25">
      <c r="A11">
        <v>10</v>
      </c>
      <c r="B11" t="s">
        <v>137</v>
      </c>
      <c r="C11" t="s">
        <v>138</v>
      </c>
      <c r="D11" t="s">
        <v>139</v>
      </c>
      <c r="E11" t="s">
        <v>140</v>
      </c>
      <c r="F11" t="s">
        <v>100</v>
      </c>
      <c r="G11">
        <v>2</v>
      </c>
      <c r="H11">
        <v>1</v>
      </c>
      <c r="I11">
        <v>4331</v>
      </c>
      <c r="J11">
        <v>0</v>
      </c>
      <c r="K11">
        <v>0</v>
      </c>
      <c r="L11">
        <v>781.6</v>
      </c>
      <c r="M11">
        <v>796.9</v>
      </c>
      <c r="N11">
        <v>2773.5</v>
      </c>
      <c r="O11">
        <v>196.3</v>
      </c>
      <c r="P11">
        <v>910.6</v>
      </c>
      <c r="Q11">
        <v>0</v>
      </c>
      <c r="R11">
        <v>0</v>
      </c>
      <c r="S11">
        <v>0</v>
      </c>
      <c r="T11">
        <v>0</v>
      </c>
      <c r="U11">
        <v>0</v>
      </c>
      <c r="V11">
        <v>0.23</v>
      </c>
      <c r="W11">
        <v>3</v>
      </c>
      <c r="X11">
        <v>0.23</v>
      </c>
      <c r="Y11">
        <v>0</v>
      </c>
      <c r="Z11">
        <v>0</v>
      </c>
      <c r="AA11">
        <v>0</v>
      </c>
      <c r="AB11">
        <v>0</v>
      </c>
      <c r="AC11">
        <v>0.23</v>
      </c>
      <c r="AD11">
        <v>0</v>
      </c>
      <c r="AE11">
        <v>0</v>
      </c>
      <c r="AF11">
        <v>0</v>
      </c>
      <c r="AG11">
        <v>1</v>
      </c>
      <c r="AH11">
        <v>0.23</v>
      </c>
      <c r="AI11">
        <v>3</v>
      </c>
      <c r="AJ11">
        <v>0.23</v>
      </c>
      <c r="AK11">
        <v>0</v>
      </c>
      <c r="AL11">
        <v>0</v>
      </c>
      <c r="AM11">
        <v>0</v>
      </c>
      <c r="AN11">
        <v>0</v>
      </c>
      <c r="AO11">
        <v>0.23</v>
      </c>
      <c r="AP11">
        <v>0</v>
      </c>
      <c r="AQ11">
        <v>0</v>
      </c>
      <c r="AR11">
        <v>0</v>
      </c>
      <c r="AS11">
        <v>1</v>
      </c>
      <c r="AT11">
        <v>0.23</v>
      </c>
      <c r="AU11">
        <v>0</v>
      </c>
      <c r="AV11">
        <v>0</v>
      </c>
      <c r="AW11">
        <v>0.23000000417232511</v>
      </c>
      <c r="AX11">
        <v>0</v>
      </c>
      <c r="AY11">
        <v>0.23000000417232511</v>
      </c>
      <c r="AZ11">
        <v>0</v>
      </c>
      <c r="BA11">
        <v>0</v>
      </c>
      <c r="BB11">
        <v>0</v>
      </c>
      <c r="BC11">
        <v>0.23000000417232511</v>
      </c>
      <c r="BD11">
        <v>0</v>
      </c>
      <c r="BE11">
        <v>1</v>
      </c>
      <c r="BF11">
        <v>0</v>
      </c>
      <c r="BG11">
        <v>150</v>
      </c>
      <c r="BH11">
        <v>0.23000000417232511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2023</v>
      </c>
      <c r="BO11">
        <v>1</v>
      </c>
      <c r="BP11">
        <v>1</v>
      </c>
      <c r="BQ11">
        <v>1</v>
      </c>
      <c r="BR11">
        <v>2023</v>
      </c>
      <c r="BS11">
        <v>2</v>
      </c>
      <c r="BT11">
        <v>1</v>
      </c>
      <c r="BU11">
        <v>1</v>
      </c>
      <c r="BV11">
        <v>2023</v>
      </c>
      <c r="BW11">
        <v>3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25">
      <c r="A12">
        <v>11</v>
      </c>
      <c r="B12" t="s">
        <v>141</v>
      </c>
      <c r="C12" t="s">
        <v>142</v>
      </c>
      <c r="D12" t="s">
        <v>143</v>
      </c>
      <c r="E12" t="s">
        <v>144</v>
      </c>
      <c r="F12" t="s">
        <v>100</v>
      </c>
      <c r="G12">
        <v>1</v>
      </c>
      <c r="H12">
        <v>1</v>
      </c>
      <c r="I12">
        <v>786</v>
      </c>
      <c r="J12">
        <v>0</v>
      </c>
      <c r="K12">
        <v>0</v>
      </c>
      <c r="L12">
        <v>4664.3</v>
      </c>
      <c r="M12">
        <v>3176.4</v>
      </c>
      <c r="N12">
        <v>5196.3999999999996</v>
      </c>
      <c r="O12">
        <v>490.7</v>
      </c>
      <c r="P12">
        <v>4346</v>
      </c>
      <c r="Q12">
        <v>0</v>
      </c>
      <c r="R12">
        <v>0</v>
      </c>
      <c r="S12">
        <v>0</v>
      </c>
      <c r="T12">
        <v>0</v>
      </c>
      <c r="U12">
        <v>0</v>
      </c>
      <c r="V12">
        <v>0.4</v>
      </c>
      <c r="W12">
        <v>3.5</v>
      </c>
      <c r="X12">
        <v>0</v>
      </c>
      <c r="Y12">
        <v>0</v>
      </c>
      <c r="Z12">
        <v>0</v>
      </c>
      <c r="AA12">
        <v>0.4</v>
      </c>
      <c r="AB12">
        <v>0</v>
      </c>
      <c r="AC12">
        <v>0</v>
      </c>
      <c r="AD12">
        <v>0</v>
      </c>
      <c r="AE12">
        <v>0</v>
      </c>
      <c r="AF12">
        <v>0.4</v>
      </c>
      <c r="AG12">
        <v>0</v>
      </c>
      <c r="AH12">
        <v>0.4</v>
      </c>
      <c r="AI12">
        <v>3.5</v>
      </c>
      <c r="AJ12">
        <v>0.4</v>
      </c>
      <c r="AK12">
        <v>0</v>
      </c>
      <c r="AL12">
        <v>0</v>
      </c>
      <c r="AM12">
        <v>0</v>
      </c>
      <c r="AN12">
        <v>0</v>
      </c>
      <c r="AO12">
        <v>0.4</v>
      </c>
      <c r="AP12">
        <v>0</v>
      </c>
      <c r="AQ12">
        <v>0</v>
      </c>
      <c r="AR12">
        <v>0</v>
      </c>
      <c r="AS12">
        <v>1</v>
      </c>
      <c r="AT12">
        <v>0.4</v>
      </c>
      <c r="AU12">
        <v>0</v>
      </c>
      <c r="AV12">
        <v>0</v>
      </c>
      <c r="AW12">
        <v>0.40000000596046448</v>
      </c>
      <c r="AX12">
        <v>0</v>
      </c>
      <c r="AY12">
        <v>0.40000000596046448</v>
      </c>
      <c r="AZ12">
        <v>0</v>
      </c>
      <c r="BA12">
        <v>0</v>
      </c>
      <c r="BB12">
        <v>0</v>
      </c>
      <c r="BC12">
        <v>0.40000000596046448</v>
      </c>
      <c r="BD12">
        <v>0</v>
      </c>
      <c r="BE12">
        <v>1</v>
      </c>
      <c r="BF12">
        <v>0</v>
      </c>
      <c r="BG12">
        <v>150</v>
      </c>
      <c r="BH12">
        <v>0.40000000596046448</v>
      </c>
      <c r="BI12">
        <v>0</v>
      </c>
      <c r="BJ12">
        <v>0</v>
      </c>
      <c r="BK12">
        <v>0</v>
      </c>
      <c r="BL12">
        <v>0</v>
      </c>
      <c r="BM12">
        <v>0</v>
      </c>
      <c r="BP12">
        <v>0</v>
      </c>
      <c r="BQ12">
        <v>0</v>
      </c>
      <c r="BT12">
        <v>0</v>
      </c>
      <c r="BU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6" x14ac:dyDescent="0.25">
      <c r="A13">
        <v>12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>
        <v>3</v>
      </c>
      <c r="H13">
        <v>1</v>
      </c>
      <c r="I13">
        <v>2516</v>
      </c>
      <c r="J13">
        <v>0</v>
      </c>
      <c r="K13">
        <v>1</v>
      </c>
      <c r="L13">
        <v>4170.6000000000004</v>
      </c>
      <c r="M13">
        <v>4803.8999999999996</v>
      </c>
      <c r="N13">
        <v>12260.5</v>
      </c>
      <c r="O13">
        <v>1030.9000000000001</v>
      </c>
      <c r="P13">
        <v>10397.6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3</v>
      </c>
      <c r="X13">
        <v>5.4</v>
      </c>
      <c r="Y13">
        <v>0</v>
      </c>
      <c r="Z13">
        <v>0</v>
      </c>
      <c r="AA13">
        <v>1.6</v>
      </c>
      <c r="AB13">
        <v>0</v>
      </c>
      <c r="AC13">
        <v>0</v>
      </c>
      <c r="AD13">
        <v>2.6</v>
      </c>
      <c r="AE13">
        <v>1.4</v>
      </c>
      <c r="AF13">
        <v>3</v>
      </c>
      <c r="AG13">
        <v>0.37142857142857139</v>
      </c>
      <c r="AH13">
        <v>7</v>
      </c>
      <c r="AI13">
        <v>3</v>
      </c>
      <c r="AJ13">
        <v>5.3999999999999968</v>
      </c>
      <c r="AK13">
        <v>0</v>
      </c>
      <c r="AL13">
        <v>0</v>
      </c>
      <c r="AM13">
        <v>0</v>
      </c>
      <c r="AN13">
        <v>1.6</v>
      </c>
      <c r="AO13">
        <v>1.6</v>
      </c>
      <c r="AP13">
        <v>0.99999999999999989</v>
      </c>
      <c r="AQ13">
        <v>2.3000000000000012</v>
      </c>
      <c r="AR13">
        <v>2.100000000000001</v>
      </c>
      <c r="AS13">
        <v>0.37142857142857139</v>
      </c>
      <c r="AT13">
        <v>7</v>
      </c>
      <c r="AU13">
        <v>0</v>
      </c>
      <c r="AV13">
        <v>0</v>
      </c>
      <c r="AW13">
        <v>5.4000000953674316</v>
      </c>
      <c r="AX13">
        <v>0</v>
      </c>
      <c r="AY13">
        <v>1.3999999761581421</v>
      </c>
      <c r="AZ13">
        <v>1.1000000238418579</v>
      </c>
      <c r="BA13">
        <v>1.299999952316284</v>
      </c>
      <c r="BB13">
        <v>1.6000000238418579</v>
      </c>
      <c r="BC13">
        <v>2.5</v>
      </c>
      <c r="BD13">
        <v>2.8999999761581421</v>
      </c>
      <c r="BE13">
        <v>0.462962965007018</v>
      </c>
      <c r="BF13">
        <v>0.53703703499298194</v>
      </c>
      <c r="BG13">
        <v>150</v>
      </c>
      <c r="BH13">
        <v>1.3999999761581421</v>
      </c>
      <c r="BI13">
        <v>1.1000000238418579</v>
      </c>
      <c r="BJ13">
        <v>1.299999952316284</v>
      </c>
      <c r="BK13">
        <v>1.6000000238418579</v>
      </c>
      <c r="BL13">
        <v>1</v>
      </c>
      <c r="BM13">
        <v>2</v>
      </c>
      <c r="BN13">
        <v>2023</v>
      </c>
      <c r="BO13">
        <v>1</v>
      </c>
      <c r="BP13">
        <v>1</v>
      </c>
      <c r="BQ13">
        <v>3</v>
      </c>
      <c r="BR13">
        <v>2024</v>
      </c>
      <c r="BS13">
        <v>1</v>
      </c>
      <c r="BT13">
        <v>1</v>
      </c>
      <c r="BU13">
        <v>3</v>
      </c>
      <c r="BV13">
        <v>2024</v>
      </c>
      <c r="BW13">
        <v>2</v>
      </c>
      <c r="BX13">
        <v>1</v>
      </c>
      <c r="BY13">
        <v>0</v>
      </c>
      <c r="BZ13">
        <v>1</v>
      </c>
      <c r="CA13">
        <v>1</v>
      </c>
      <c r="CB13">
        <v>0</v>
      </c>
      <c r="CC13">
        <v>1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6" x14ac:dyDescent="0.25">
      <c r="A14">
        <v>13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>
        <v>5</v>
      </c>
      <c r="H14">
        <v>2</v>
      </c>
      <c r="I14">
        <v>2430</v>
      </c>
      <c r="J14">
        <v>0</v>
      </c>
      <c r="K14">
        <v>1</v>
      </c>
      <c r="L14">
        <v>2807.7</v>
      </c>
      <c r="M14">
        <v>2660.1</v>
      </c>
      <c r="N14">
        <v>12566.9</v>
      </c>
      <c r="O14">
        <v>42.4</v>
      </c>
      <c r="P14">
        <v>10704</v>
      </c>
      <c r="Q14">
        <v>0</v>
      </c>
      <c r="R14">
        <v>0</v>
      </c>
      <c r="S14">
        <v>0</v>
      </c>
      <c r="T14">
        <v>0</v>
      </c>
      <c r="U14">
        <v>0</v>
      </c>
      <c r="V14">
        <v>5.58</v>
      </c>
      <c r="W14">
        <v>3</v>
      </c>
      <c r="X14">
        <v>5.58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3.78</v>
      </c>
      <c r="AE14">
        <v>1.8</v>
      </c>
      <c r="AF14">
        <v>0</v>
      </c>
      <c r="AG14">
        <v>0.67741935483870963</v>
      </c>
      <c r="AH14">
        <v>5.58</v>
      </c>
      <c r="AI14">
        <v>3</v>
      </c>
      <c r="AJ14">
        <v>5.5799999999999974</v>
      </c>
      <c r="AK14">
        <v>0</v>
      </c>
      <c r="AL14">
        <v>0</v>
      </c>
      <c r="AM14">
        <v>0</v>
      </c>
      <c r="AN14">
        <v>0</v>
      </c>
      <c r="AO14">
        <v>4.3800000000000008</v>
      </c>
      <c r="AP14">
        <v>0.6</v>
      </c>
      <c r="AQ14">
        <v>0.6</v>
      </c>
      <c r="AR14">
        <v>0</v>
      </c>
      <c r="AS14">
        <v>0.89247311827956999</v>
      </c>
      <c r="AT14">
        <v>5.58</v>
      </c>
      <c r="AU14">
        <v>0</v>
      </c>
      <c r="AV14">
        <v>0</v>
      </c>
      <c r="AW14">
        <v>5.5799999237060547</v>
      </c>
      <c r="AX14">
        <v>0</v>
      </c>
      <c r="AY14">
        <v>0.40000000596046448</v>
      </c>
      <c r="AZ14">
        <v>3.9800000190734859</v>
      </c>
      <c r="BA14">
        <v>1.200000047683716</v>
      </c>
      <c r="BB14">
        <v>0</v>
      </c>
      <c r="BC14">
        <v>4.3800000250339508</v>
      </c>
      <c r="BD14">
        <v>1.200000047683716</v>
      </c>
      <c r="BE14">
        <v>0.78494623081621728</v>
      </c>
      <c r="BF14">
        <v>0.21505376918378269</v>
      </c>
      <c r="BG14">
        <v>150</v>
      </c>
      <c r="BH14">
        <v>0.40000000596046448</v>
      </c>
      <c r="BI14">
        <v>3.9800000190734859</v>
      </c>
      <c r="BJ14">
        <v>1.200000047683716</v>
      </c>
      <c r="BK14">
        <v>0</v>
      </c>
      <c r="BL14">
        <v>1</v>
      </c>
      <c r="BM14">
        <v>1</v>
      </c>
      <c r="BN14">
        <v>2021</v>
      </c>
      <c r="BO14">
        <v>3</v>
      </c>
      <c r="BP14">
        <v>1</v>
      </c>
      <c r="BQ14">
        <v>2</v>
      </c>
      <c r="BR14">
        <v>2024</v>
      </c>
      <c r="BS14">
        <v>1</v>
      </c>
      <c r="BT14">
        <v>1</v>
      </c>
      <c r="BU14">
        <v>3</v>
      </c>
      <c r="BV14">
        <v>2025</v>
      </c>
      <c r="BW14">
        <v>1</v>
      </c>
      <c r="BX14">
        <v>1</v>
      </c>
      <c r="BY14">
        <v>0</v>
      </c>
      <c r="BZ14">
        <v>0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6" x14ac:dyDescent="0.25">
      <c r="A15">
        <v>14</v>
      </c>
      <c r="B15" t="s">
        <v>155</v>
      </c>
      <c r="C15" t="s">
        <v>156</v>
      </c>
      <c r="D15" t="s">
        <v>157</v>
      </c>
      <c r="E15" t="s">
        <v>158</v>
      </c>
      <c r="F15" t="s">
        <v>149</v>
      </c>
      <c r="G15">
        <v>4</v>
      </c>
      <c r="H15">
        <v>1</v>
      </c>
      <c r="I15">
        <v>3114</v>
      </c>
      <c r="J15">
        <v>0</v>
      </c>
      <c r="K15">
        <v>0</v>
      </c>
      <c r="L15">
        <v>3473.9</v>
      </c>
      <c r="M15">
        <v>4541</v>
      </c>
      <c r="N15">
        <v>11563.7</v>
      </c>
      <c r="O15">
        <v>1798.1</v>
      </c>
      <c r="P15">
        <v>9700.7999999999993</v>
      </c>
      <c r="Q15">
        <v>0</v>
      </c>
      <c r="R15">
        <v>0</v>
      </c>
      <c r="S15">
        <v>0</v>
      </c>
      <c r="T15">
        <v>0</v>
      </c>
      <c r="U15">
        <v>0</v>
      </c>
      <c r="V15">
        <v>5.88</v>
      </c>
      <c r="W15">
        <v>3</v>
      </c>
      <c r="X15">
        <v>5.88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4.4800000000000004</v>
      </c>
      <c r="AE15">
        <v>1.4</v>
      </c>
      <c r="AF15">
        <v>0</v>
      </c>
      <c r="AG15">
        <v>0.76190476190476186</v>
      </c>
      <c r="AH15">
        <v>5.88</v>
      </c>
      <c r="AI15">
        <v>3</v>
      </c>
      <c r="AJ15">
        <v>5.8799999999999946</v>
      </c>
      <c r="AK15">
        <v>0</v>
      </c>
      <c r="AL15">
        <v>0</v>
      </c>
      <c r="AM15">
        <v>0</v>
      </c>
      <c r="AN15">
        <v>0</v>
      </c>
      <c r="AO15">
        <v>1.8</v>
      </c>
      <c r="AP15">
        <v>3.0000000000000009</v>
      </c>
      <c r="AQ15">
        <v>1.08</v>
      </c>
      <c r="AR15">
        <v>0</v>
      </c>
      <c r="AS15">
        <v>0.81632653061224492</v>
      </c>
      <c r="AT15">
        <v>5.88</v>
      </c>
      <c r="AU15">
        <v>0</v>
      </c>
      <c r="AV15">
        <v>0</v>
      </c>
      <c r="AW15">
        <v>5.880000114440918</v>
      </c>
      <c r="AX15">
        <v>0</v>
      </c>
      <c r="AY15">
        <v>1.700000047683716</v>
      </c>
      <c r="AZ15">
        <v>3.279999971389771</v>
      </c>
      <c r="BA15">
        <v>0.89999997615814209</v>
      </c>
      <c r="BB15">
        <v>0</v>
      </c>
      <c r="BC15">
        <v>4.9800000190734863</v>
      </c>
      <c r="BD15">
        <v>0.89999997615814209</v>
      </c>
      <c r="BE15">
        <v>0.84693877944081719</v>
      </c>
      <c r="BF15">
        <v>0.15306122055918281</v>
      </c>
      <c r="BG15">
        <v>150</v>
      </c>
      <c r="BH15">
        <v>1.700000047683716</v>
      </c>
      <c r="BI15">
        <v>3.279999971389771</v>
      </c>
      <c r="BJ15">
        <v>0.89999997615814209</v>
      </c>
      <c r="BK15">
        <v>0</v>
      </c>
      <c r="BL15">
        <v>1</v>
      </c>
      <c r="BM15">
        <v>1</v>
      </c>
      <c r="BN15">
        <v>2023</v>
      </c>
      <c r="BO15">
        <v>1</v>
      </c>
      <c r="BP15">
        <v>1</v>
      </c>
      <c r="BQ15">
        <v>2</v>
      </c>
      <c r="BR15">
        <v>2024</v>
      </c>
      <c r="BS15">
        <v>1</v>
      </c>
      <c r="BT15">
        <v>1</v>
      </c>
      <c r="BU15">
        <v>2</v>
      </c>
      <c r="BV15">
        <v>2024</v>
      </c>
      <c r="BW15">
        <v>2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1</v>
      </c>
      <c r="CR15">
        <v>1</v>
      </c>
    </row>
    <row r="16" spans="1:96" x14ac:dyDescent="0.25">
      <c r="A16">
        <v>15</v>
      </c>
      <c r="B16" t="s">
        <v>159</v>
      </c>
      <c r="C16" t="s">
        <v>160</v>
      </c>
      <c r="D16" t="s">
        <v>161</v>
      </c>
      <c r="E16" t="s">
        <v>162</v>
      </c>
      <c r="F16" t="s">
        <v>149</v>
      </c>
      <c r="G16">
        <v>1</v>
      </c>
      <c r="H16">
        <v>1</v>
      </c>
      <c r="I16">
        <v>545</v>
      </c>
      <c r="J16">
        <v>0</v>
      </c>
      <c r="K16">
        <v>1</v>
      </c>
      <c r="L16">
        <v>2869.7</v>
      </c>
      <c r="M16">
        <v>3143.5</v>
      </c>
      <c r="N16">
        <v>8536.5</v>
      </c>
      <c r="O16">
        <v>474.2</v>
      </c>
      <c r="P16">
        <v>6673.6</v>
      </c>
      <c r="Q16">
        <v>0</v>
      </c>
      <c r="R16">
        <v>0</v>
      </c>
      <c r="S16">
        <v>0</v>
      </c>
      <c r="T16">
        <v>0</v>
      </c>
      <c r="U16">
        <v>0</v>
      </c>
      <c r="V16">
        <v>1.21</v>
      </c>
      <c r="W16">
        <v>3.5</v>
      </c>
      <c r="X16">
        <v>1.21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1.21</v>
      </c>
      <c r="AG16">
        <v>0</v>
      </c>
      <c r="AH16">
        <v>1.21</v>
      </c>
      <c r="AI16">
        <v>3.5</v>
      </c>
      <c r="AJ16">
        <v>1.21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1.21</v>
      </c>
      <c r="AS16">
        <v>0</v>
      </c>
      <c r="AT16">
        <v>1.21</v>
      </c>
      <c r="AU16">
        <v>0</v>
      </c>
      <c r="AV16">
        <v>0</v>
      </c>
      <c r="AW16">
        <v>0.70999997854232788</v>
      </c>
      <c r="AX16">
        <v>0</v>
      </c>
      <c r="AY16">
        <v>0</v>
      </c>
      <c r="AZ16">
        <v>0</v>
      </c>
      <c r="BA16">
        <v>0</v>
      </c>
      <c r="BB16">
        <v>0.70999997854232788</v>
      </c>
      <c r="BC16">
        <v>0</v>
      </c>
      <c r="BD16">
        <v>0.70999997854232788</v>
      </c>
      <c r="BE16">
        <v>0</v>
      </c>
      <c r="BF16">
        <v>1</v>
      </c>
      <c r="BG16">
        <v>150</v>
      </c>
      <c r="BH16">
        <v>0</v>
      </c>
      <c r="BI16">
        <v>0</v>
      </c>
      <c r="BJ16">
        <v>0</v>
      </c>
      <c r="BK16">
        <v>0.70999997854232788</v>
      </c>
      <c r="BL16">
        <v>0</v>
      </c>
      <c r="BM16">
        <v>0</v>
      </c>
      <c r="BP16">
        <v>0</v>
      </c>
      <c r="BQ16">
        <v>0</v>
      </c>
      <c r="BT16">
        <v>0</v>
      </c>
      <c r="BU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1</v>
      </c>
    </row>
    <row r="17" spans="1:96" x14ac:dyDescent="0.25">
      <c r="A17">
        <v>16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>
        <v>3</v>
      </c>
      <c r="H17">
        <v>3</v>
      </c>
      <c r="I17">
        <v>1790</v>
      </c>
      <c r="J17">
        <v>0</v>
      </c>
      <c r="K17">
        <v>0</v>
      </c>
      <c r="L17">
        <v>2965.8</v>
      </c>
      <c r="M17">
        <v>2977.4</v>
      </c>
      <c r="N17">
        <v>2083.4</v>
      </c>
      <c r="O17">
        <v>862.4</v>
      </c>
      <c r="P17">
        <v>3010.9</v>
      </c>
      <c r="Q17">
        <v>0</v>
      </c>
      <c r="R17">
        <v>0</v>
      </c>
      <c r="S17">
        <v>0</v>
      </c>
      <c r="T17">
        <v>0</v>
      </c>
      <c r="U17">
        <v>0</v>
      </c>
      <c r="V17">
        <v>0.83</v>
      </c>
      <c r="W17">
        <v>2</v>
      </c>
      <c r="X17">
        <v>0.83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0.83</v>
      </c>
      <c r="AG17">
        <v>0</v>
      </c>
      <c r="AH17">
        <v>0.83</v>
      </c>
      <c r="AI17">
        <v>2</v>
      </c>
      <c r="AJ17">
        <v>0.83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0.83</v>
      </c>
      <c r="AS17">
        <v>0</v>
      </c>
      <c r="AT17">
        <v>0.83</v>
      </c>
      <c r="AU17">
        <v>0</v>
      </c>
      <c r="AV17">
        <v>0</v>
      </c>
      <c r="AW17">
        <v>0.82999998331069946</v>
      </c>
      <c r="AX17">
        <v>0</v>
      </c>
      <c r="AY17">
        <v>0</v>
      </c>
      <c r="AZ17">
        <v>0</v>
      </c>
      <c r="BA17">
        <v>0</v>
      </c>
      <c r="BB17">
        <v>0.82999998331069946</v>
      </c>
      <c r="BC17">
        <v>0</v>
      </c>
      <c r="BD17">
        <v>0.82999998331069946</v>
      </c>
      <c r="BE17">
        <v>0</v>
      </c>
      <c r="BF17">
        <v>1</v>
      </c>
      <c r="BG17">
        <v>150</v>
      </c>
      <c r="BH17">
        <v>0</v>
      </c>
      <c r="BI17">
        <v>0</v>
      </c>
      <c r="BJ17">
        <v>0</v>
      </c>
      <c r="BK17">
        <v>0.82999998331069946</v>
      </c>
      <c r="BL17">
        <v>0</v>
      </c>
      <c r="BM17">
        <v>0</v>
      </c>
      <c r="BP17">
        <v>0</v>
      </c>
      <c r="BQ17">
        <v>0</v>
      </c>
      <c r="BT17">
        <v>0</v>
      </c>
      <c r="BU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5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105</v>
      </c>
      <c r="G18">
        <v>1</v>
      </c>
      <c r="H18">
        <v>1</v>
      </c>
      <c r="I18">
        <v>708</v>
      </c>
      <c r="J18">
        <v>0</v>
      </c>
      <c r="K18">
        <v>0</v>
      </c>
      <c r="L18">
        <v>4362.8999999999996</v>
      </c>
      <c r="M18">
        <v>4148.6000000000004</v>
      </c>
      <c r="N18">
        <v>11085.9</v>
      </c>
      <c r="O18">
        <v>532.9</v>
      </c>
      <c r="P18">
        <v>7234.7</v>
      </c>
      <c r="Q18">
        <v>0</v>
      </c>
      <c r="R18">
        <v>0</v>
      </c>
      <c r="S18">
        <v>0</v>
      </c>
      <c r="T18">
        <v>0</v>
      </c>
      <c r="U18">
        <v>0</v>
      </c>
      <c r="V18">
        <v>1.1100000000000001</v>
      </c>
      <c r="W18">
        <v>3.5</v>
      </c>
      <c r="X18">
        <v>0</v>
      </c>
      <c r="Y18">
        <v>0</v>
      </c>
      <c r="Z18">
        <v>0</v>
      </c>
      <c r="AA18">
        <v>1.1100000000000001</v>
      </c>
      <c r="AB18">
        <v>0</v>
      </c>
      <c r="AC18">
        <v>0</v>
      </c>
      <c r="AD18">
        <v>0</v>
      </c>
      <c r="AE18">
        <v>0</v>
      </c>
      <c r="AF18">
        <v>1.1100000000000001</v>
      </c>
      <c r="AG18">
        <v>0</v>
      </c>
      <c r="AH18">
        <v>1.1100000000000001</v>
      </c>
      <c r="AI18">
        <v>3.5</v>
      </c>
      <c r="AJ18">
        <v>0</v>
      </c>
      <c r="AK18">
        <v>0</v>
      </c>
      <c r="AL18">
        <v>0</v>
      </c>
      <c r="AM18">
        <v>1.1100000000000001</v>
      </c>
      <c r="AN18">
        <v>0</v>
      </c>
      <c r="AO18">
        <v>0</v>
      </c>
      <c r="AP18">
        <v>0</v>
      </c>
      <c r="AQ18">
        <v>0</v>
      </c>
      <c r="AR18">
        <v>1.1100000000000001</v>
      </c>
      <c r="AS18">
        <v>0</v>
      </c>
      <c r="AT18">
        <v>1.1100000000000001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150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2</v>
      </c>
      <c r="BN18">
        <v>2023</v>
      </c>
      <c r="BO18">
        <v>1</v>
      </c>
      <c r="BP18">
        <v>1</v>
      </c>
      <c r="BQ18">
        <v>2</v>
      </c>
      <c r="BR18">
        <v>2023</v>
      </c>
      <c r="BS18">
        <v>2</v>
      </c>
      <c r="BT18">
        <v>1</v>
      </c>
      <c r="BU18">
        <v>2</v>
      </c>
      <c r="BV18">
        <v>2023</v>
      </c>
      <c r="BW18">
        <v>3</v>
      </c>
      <c r="BX18">
        <v>0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1</v>
      </c>
      <c r="CR18">
        <v>0</v>
      </c>
    </row>
    <row r="19" spans="1:96" x14ac:dyDescent="0.25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>
        <v>2</v>
      </c>
      <c r="H19">
        <v>1</v>
      </c>
      <c r="I19">
        <v>797</v>
      </c>
      <c r="J19">
        <v>0</v>
      </c>
      <c r="K19">
        <v>0</v>
      </c>
      <c r="L19">
        <v>7415</v>
      </c>
      <c r="M19">
        <v>4953</v>
      </c>
      <c r="N19">
        <v>8268.7000000000007</v>
      </c>
      <c r="O19">
        <v>979.8</v>
      </c>
      <c r="P19">
        <v>12484.5</v>
      </c>
      <c r="Q19">
        <v>0</v>
      </c>
      <c r="R19">
        <v>0</v>
      </c>
      <c r="S19">
        <v>0</v>
      </c>
      <c r="T19">
        <v>0</v>
      </c>
      <c r="U19">
        <v>0</v>
      </c>
      <c r="V19">
        <v>1.02</v>
      </c>
      <c r="W19">
        <v>3</v>
      </c>
      <c r="X19">
        <v>0</v>
      </c>
      <c r="Y19">
        <v>0</v>
      </c>
      <c r="Z19">
        <v>0</v>
      </c>
      <c r="AA19">
        <v>1.02</v>
      </c>
      <c r="AB19">
        <v>0</v>
      </c>
      <c r="AC19">
        <v>0</v>
      </c>
      <c r="AD19">
        <v>0</v>
      </c>
      <c r="AE19">
        <v>0</v>
      </c>
      <c r="AF19">
        <v>1.02</v>
      </c>
      <c r="AG19">
        <v>0</v>
      </c>
      <c r="AH19">
        <v>1.02</v>
      </c>
      <c r="AI19">
        <v>3</v>
      </c>
      <c r="AJ19">
        <v>0</v>
      </c>
      <c r="AK19">
        <v>0</v>
      </c>
      <c r="AL19">
        <v>0</v>
      </c>
      <c r="AM19">
        <v>1.02</v>
      </c>
      <c r="AN19">
        <v>0</v>
      </c>
      <c r="AO19">
        <v>0</v>
      </c>
      <c r="AP19">
        <v>0</v>
      </c>
      <c r="AQ19">
        <v>0</v>
      </c>
      <c r="AR19">
        <v>1.02</v>
      </c>
      <c r="AS19">
        <v>0</v>
      </c>
      <c r="AT19">
        <v>1.02</v>
      </c>
      <c r="AU19">
        <v>1.0199999809265139</v>
      </c>
      <c r="AV19">
        <v>0</v>
      </c>
      <c r="AW19">
        <v>0</v>
      </c>
      <c r="AX19">
        <v>0</v>
      </c>
      <c r="AY19">
        <v>1.0199999809265139</v>
      </c>
      <c r="AZ19">
        <v>0</v>
      </c>
      <c r="BA19">
        <v>0</v>
      </c>
      <c r="BB19">
        <v>0</v>
      </c>
      <c r="BC19">
        <v>1.0199999809265139</v>
      </c>
      <c r="BD19">
        <v>0</v>
      </c>
      <c r="BE19">
        <v>1</v>
      </c>
      <c r="BF19">
        <v>0</v>
      </c>
      <c r="BG19">
        <v>150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2022</v>
      </c>
      <c r="BO19">
        <v>2</v>
      </c>
      <c r="BP19">
        <v>1</v>
      </c>
      <c r="BQ19">
        <v>1</v>
      </c>
      <c r="BR19">
        <v>2022</v>
      </c>
      <c r="BS19">
        <v>3</v>
      </c>
      <c r="BT19">
        <v>1</v>
      </c>
      <c r="BU19">
        <v>1</v>
      </c>
      <c r="BV19">
        <v>2022</v>
      </c>
      <c r="BW19">
        <v>4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5">
      <c r="A20">
        <v>19</v>
      </c>
      <c r="B20" t="s">
        <v>177</v>
      </c>
      <c r="C20" t="s">
        <v>178</v>
      </c>
      <c r="D20" t="s">
        <v>179</v>
      </c>
      <c r="E20" t="s">
        <v>180</v>
      </c>
      <c r="F20" t="s">
        <v>105</v>
      </c>
      <c r="G20">
        <v>1</v>
      </c>
      <c r="H20">
        <v>1</v>
      </c>
      <c r="I20">
        <v>682</v>
      </c>
      <c r="J20">
        <v>0</v>
      </c>
      <c r="K20">
        <v>0</v>
      </c>
      <c r="L20">
        <v>2565.8000000000002</v>
      </c>
      <c r="M20">
        <v>3045</v>
      </c>
      <c r="N20">
        <v>3705.6</v>
      </c>
      <c r="O20">
        <v>527.9</v>
      </c>
      <c r="P20">
        <v>5104.2</v>
      </c>
      <c r="Q20">
        <v>0</v>
      </c>
      <c r="R20">
        <v>0</v>
      </c>
      <c r="S20">
        <v>0</v>
      </c>
      <c r="T20">
        <v>0</v>
      </c>
      <c r="U20">
        <v>0</v>
      </c>
      <c r="V20">
        <v>0.47</v>
      </c>
      <c r="W20">
        <v>3</v>
      </c>
      <c r="X20">
        <v>0.47</v>
      </c>
      <c r="Y20">
        <v>0</v>
      </c>
      <c r="Z20">
        <v>0</v>
      </c>
      <c r="AA20">
        <v>0</v>
      </c>
      <c r="AB20">
        <v>0</v>
      </c>
      <c r="AC20">
        <v>0.47</v>
      </c>
      <c r="AD20">
        <v>0</v>
      </c>
      <c r="AE20">
        <v>0</v>
      </c>
      <c r="AF20">
        <v>0</v>
      </c>
      <c r="AG20">
        <v>1</v>
      </c>
      <c r="AH20">
        <v>0.47</v>
      </c>
      <c r="AI20">
        <v>3</v>
      </c>
      <c r="AJ20">
        <v>0.47</v>
      </c>
      <c r="AK20">
        <v>0</v>
      </c>
      <c r="AL20">
        <v>0</v>
      </c>
      <c r="AM20">
        <v>0</v>
      </c>
      <c r="AN20">
        <v>0</v>
      </c>
      <c r="AO20">
        <v>0.47</v>
      </c>
      <c r="AP20">
        <v>0</v>
      </c>
      <c r="AQ20">
        <v>0</v>
      </c>
      <c r="AR20">
        <v>0</v>
      </c>
      <c r="AS20">
        <v>1</v>
      </c>
      <c r="AT20">
        <v>0.47</v>
      </c>
      <c r="AU20">
        <v>0</v>
      </c>
      <c r="AV20">
        <v>0</v>
      </c>
      <c r="AW20">
        <v>0.4699999988079071</v>
      </c>
      <c r="AX20">
        <v>0</v>
      </c>
      <c r="AY20">
        <v>0.10000000149011611</v>
      </c>
      <c r="AZ20">
        <v>0.37000000476837158</v>
      </c>
      <c r="BA20">
        <v>0</v>
      </c>
      <c r="BB20">
        <v>0</v>
      </c>
      <c r="BC20">
        <v>0.4700000062584877</v>
      </c>
      <c r="BD20">
        <v>0</v>
      </c>
      <c r="BE20">
        <v>1</v>
      </c>
      <c r="BF20">
        <v>0</v>
      </c>
      <c r="BG20">
        <v>150</v>
      </c>
      <c r="BH20">
        <v>0.10000000149011611</v>
      </c>
      <c r="BI20">
        <v>0.37000000476837158</v>
      </c>
      <c r="BJ20">
        <v>0</v>
      </c>
      <c r="BK20">
        <v>0</v>
      </c>
      <c r="BL20">
        <v>0</v>
      </c>
      <c r="BM20">
        <v>0</v>
      </c>
      <c r="BP20">
        <v>0</v>
      </c>
      <c r="BQ20">
        <v>0</v>
      </c>
      <c r="BT20">
        <v>0</v>
      </c>
      <c r="BU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25">
      <c r="A21">
        <v>20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>
        <v>1</v>
      </c>
      <c r="H21">
        <v>1</v>
      </c>
      <c r="I21">
        <v>426</v>
      </c>
      <c r="J21">
        <v>0</v>
      </c>
      <c r="K21">
        <v>0</v>
      </c>
      <c r="O21">
        <v>612</v>
      </c>
      <c r="Q21">
        <v>1</v>
      </c>
      <c r="R21">
        <v>1</v>
      </c>
      <c r="S21">
        <v>1</v>
      </c>
      <c r="T21">
        <v>1</v>
      </c>
      <c r="U21">
        <v>0</v>
      </c>
      <c r="V21">
        <v>3.1</v>
      </c>
      <c r="W21">
        <v>3</v>
      </c>
      <c r="X21">
        <v>0</v>
      </c>
      <c r="Y21">
        <v>0</v>
      </c>
      <c r="Z21">
        <v>0</v>
      </c>
      <c r="AA21">
        <v>0</v>
      </c>
      <c r="AB21">
        <v>3.1</v>
      </c>
      <c r="AC21">
        <v>0</v>
      </c>
      <c r="AD21">
        <v>0</v>
      </c>
      <c r="AE21">
        <v>0</v>
      </c>
      <c r="AF21">
        <v>3.1</v>
      </c>
      <c r="AG21">
        <v>0</v>
      </c>
      <c r="AH21">
        <v>3.1</v>
      </c>
      <c r="AI21">
        <v>3</v>
      </c>
      <c r="AJ21">
        <v>0</v>
      </c>
      <c r="AK21">
        <v>0</v>
      </c>
      <c r="AL21">
        <v>0</v>
      </c>
      <c r="AM21">
        <v>0</v>
      </c>
      <c r="AN21">
        <v>3.100000000000001</v>
      </c>
      <c r="AO21">
        <v>0</v>
      </c>
      <c r="AP21">
        <v>0</v>
      </c>
      <c r="AQ21">
        <v>0</v>
      </c>
      <c r="AR21">
        <v>3.100000000000001</v>
      </c>
      <c r="AS21">
        <v>0</v>
      </c>
      <c r="AT21">
        <v>3.1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150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P21">
        <v>0</v>
      </c>
      <c r="BQ21">
        <v>0</v>
      </c>
      <c r="BT21">
        <v>0</v>
      </c>
      <c r="BU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5">
      <c r="A22">
        <v>21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>
        <v>4</v>
      </c>
      <c r="H22">
        <v>1</v>
      </c>
      <c r="I22">
        <v>960</v>
      </c>
      <c r="J22">
        <v>0</v>
      </c>
      <c r="K22">
        <v>0</v>
      </c>
      <c r="L22">
        <v>10210.5</v>
      </c>
      <c r="M22">
        <v>7816.6</v>
      </c>
      <c r="N22">
        <v>20724.2</v>
      </c>
      <c r="O22">
        <v>161.6</v>
      </c>
      <c r="P22">
        <v>22103.7</v>
      </c>
      <c r="Q22">
        <v>0</v>
      </c>
      <c r="R22">
        <v>0</v>
      </c>
      <c r="S22">
        <v>0</v>
      </c>
      <c r="T22">
        <v>0</v>
      </c>
      <c r="U22">
        <v>0</v>
      </c>
      <c r="V22">
        <v>9.7100000000000009</v>
      </c>
      <c r="W22">
        <v>4</v>
      </c>
      <c r="X22">
        <v>7.3</v>
      </c>
      <c r="Y22">
        <v>0</v>
      </c>
      <c r="Z22">
        <v>0</v>
      </c>
      <c r="AA22">
        <v>0</v>
      </c>
      <c r="AB22">
        <v>2.41</v>
      </c>
      <c r="AC22">
        <v>7.3</v>
      </c>
      <c r="AD22">
        <v>0</v>
      </c>
      <c r="AE22">
        <v>0</v>
      </c>
      <c r="AF22">
        <v>2.41</v>
      </c>
      <c r="AG22">
        <v>0.75180226570545816</v>
      </c>
      <c r="AH22">
        <v>9.7100000000000009</v>
      </c>
      <c r="AI22">
        <v>4</v>
      </c>
      <c r="AJ22">
        <v>7.2999999999999901</v>
      </c>
      <c r="AK22">
        <v>0</v>
      </c>
      <c r="AL22">
        <v>0</v>
      </c>
      <c r="AM22">
        <v>0</v>
      </c>
      <c r="AN22">
        <v>2.410000000000001</v>
      </c>
      <c r="AO22">
        <v>6.199999999999994</v>
      </c>
      <c r="AP22">
        <v>0.99999999999999989</v>
      </c>
      <c r="AQ22">
        <v>0.1</v>
      </c>
      <c r="AR22">
        <v>2.410000000000001</v>
      </c>
      <c r="AS22">
        <v>0.74150360453141073</v>
      </c>
      <c r="AT22">
        <v>9.7100000000000009</v>
      </c>
      <c r="AU22">
        <v>0</v>
      </c>
      <c r="AV22">
        <v>0</v>
      </c>
      <c r="AW22">
        <v>7.3000001907348633</v>
      </c>
      <c r="AX22">
        <v>0</v>
      </c>
      <c r="AY22">
        <v>6.5999999046325684</v>
      </c>
      <c r="AZ22">
        <v>0.69999998807907104</v>
      </c>
      <c r="BA22">
        <v>0</v>
      </c>
      <c r="BB22">
        <v>0</v>
      </c>
      <c r="BC22">
        <v>7.2999998927116394</v>
      </c>
      <c r="BD22">
        <v>0</v>
      </c>
      <c r="BE22">
        <v>1</v>
      </c>
      <c r="BF22">
        <v>0</v>
      </c>
      <c r="BG22">
        <v>150</v>
      </c>
      <c r="BH22">
        <v>6.5999999046325684</v>
      </c>
      <c r="BI22">
        <v>0.69999998807907104</v>
      </c>
      <c r="BJ22">
        <v>0</v>
      </c>
      <c r="BK22">
        <v>0</v>
      </c>
      <c r="BL22">
        <v>1</v>
      </c>
      <c r="BM22">
        <v>1</v>
      </c>
      <c r="BN22">
        <v>2022</v>
      </c>
      <c r="BO22">
        <v>2</v>
      </c>
      <c r="BP22">
        <v>1</v>
      </c>
      <c r="BQ22">
        <v>1</v>
      </c>
      <c r="BR22">
        <v>2022</v>
      </c>
      <c r="BS22">
        <v>3</v>
      </c>
      <c r="BT22">
        <v>1</v>
      </c>
      <c r="BU22">
        <v>1</v>
      </c>
      <c r="BV22">
        <v>2022</v>
      </c>
      <c r="BW22">
        <v>4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5">
      <c r="A23">
        <v>22</v>
      </c>
      <c r="B23" t="s">
        <v>191</v>
      </c>
      <c r="C23" t="s">
        <v>192</v>
      </c>
      <c r="D23" t="s">
        <v>193</v>
      </c>
      <c r="E23" t="s">
        <v>194</v>
      </c>
      <c r="F23" t="s">
        <v>100</v>
      </c>
      <c r="G23">
        <v>1</v>
      </c>
      <c r="H23">
        <v>1</v>
      </c>
      <c r="I23">
        <v>1874</v>
      </c>
      <c r="J23">
        <v>0</v>
      </c>
      <c r="K23">
        <v>1</v>
      </c>
      <c r="L23">
        <v>2675.7</v>
      </c>
      <c r="M23">
        <v>2608.4</v>
      </c>
      <c r="N23">
        <v>4437.3999999999996</v>
      </c>
      <c r="O23">
        <v>935.9</v>
      </c>
      <c r="P23">
        <v>2574.5</v>
      </c>
      <c r="Q23">
        <v>0</v>
      </c>
      <c r="R23">
        <v>0</v>
      </c>
      <c r="S23">
        <v>0</v>
      </c>
      <c r="T23">
        <v>0</v>
      </c>
      <c r="U23">
        <v>0</v>
      </c>
      <c r="V23">
        <v>1.42</v>
      </c>
      <c r="W23">
        <v>3</v>
      </c>
      <c r="X23">
        <v>1.2</v>
      </c>
      <c r="Y23">
        <v>0</v>
      </c>
      <c r="Z23">
        <v>0</v>
      </c>
      <c r="AA23">
        <v>0</v>
      </c>
      <c r="AB23">
        <v>0.22</v>
      </c>
      <c r="AC23">
        <v>0.4</v>
      </c>
      <c r="AD23">
        <v>0</v>
      </c>
      <c r="AE23">
        <v>0.8</v>
      </c>
      <c r="AF23">
        <v>0.22</v>
      </c>
      <c r="AG23">
        <v>0.28169014084507038</v>
      </c>
      <c r="AH23">
        <v>1.42</v>
      </c>
      <c r="AI23">
        <v>3</v>
      </c>
      <c r="AJ23">
        <v>1.2</v>
      </c>
      <c r="AK23">
        <v>0</v>
      </c>
      <c r="AL23">
        <v>0</v>
      </c>
      <c r="AM23">
        <v>0.22</v>
      </c>
      <c r="AN23">
        <v>0</v>
      </c>
      <c r="AO23">
        <v>0</v>
      </c>
      <c r="AP23">
        <v>0.4</v>
      </c>
      <c r="AQ23">
        <v>0.79999999999999993</v>
      </c>
      <c r="AR23">
        <v>0.22</v>
      </c>
      <c r="AS23">
        <v>0.28169014084507038</v>
      </c>
      <c r="AT23">
        <v>1.42</v>
      </c>
      <c r="AU23">
        <v>0</v>
      </c>
      <c r="AV23">
        <v>0</v>
      </c>
      <c r="AW23">
        <v>1.200000047683716</v>
      </c>
      <c r="AX23">
        <v>0</v>
      </c>
      <c r="AY23">
        <v>0</v>
      </c>
      <c r="AZ23">
        <v>0.30000001192092901</v>
      </c>
      <c r="BA23">
        <v>0.30000001192092901</v>
      </c>
      <c r="BB23">
        <v>0.60000002384185791</v>
      </c>
      <c r="BC23">
        <v>0.30000001192092901</v>
      </c>
      <c r="BD23">
        <v>0.90000003576278687</v>
      </c>
      <c r="BE23">
        <v>0.25</v>
      </c>
      <c r="BF23">
        <v>0.75</v>
      </c>
      <c r="BG23">
        <v>150</v>
      </c>
      <c r="BH23">
        <v>0</v>
      </c>
      <c r="BI23">
        <v>0.30000001192092901</v>
      </c>
      <c r="BJ23">
        <v>0.30000001192092901</v>
      </c>
      <c r="BK23">
        <v>0.60000002384185791</v>
      </c>
      <c r="BL23">
        <v>1</v>
      </c>
      <c r="BM23">
        <v>1</v>
      </c>
      <c r="BN23">
        <v>2023</v>
      </c>
      <c r="BO23">
        <v>1</v>
      </c>
      <c r="BP23">
        <v>1</v>
      </c>
      <c r="BQ23">
        <v>1</v>
      </c>
      <c r="BR23">
        <v>2023</v>
      </c>
      <c r="BS23">
        <v>2</v>
      </c>
      <c r="BT23">
        <v>1</v>
      </c>
      <c r="BU23">
        <v>2</v>
      </c>
      <c r="BV23">
        <v>2025</v>
      </c>
      <c r="BW23">
        <v>1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1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5">
      <c r="A24">
        <v>23</v>
      </c>
      <c r="B24" t="s">
        <v>195</v>
      </c>
      <c r="C24" t="s">
        <v>196</v>
      </c>
      <c r="D24" t="s">
        <v>197</v>
      </c>
      <c r="E24" t="s">
        <v>198</v>
      </c>
      <c r="F24" t="s">
        <v>185</v>
      </c>
      <c r="G24">
        <v>2</v>
      </c>
      <c r="H24">
        <v>1</v>
      </c>
      <c r="I24">
        <v>734</v>
      </c>
      <c r="J24">
        <v>0</v>
      </c>
      <c r="K24">
        <v>0</v>
      </c>
      <c r="L24">
        <v>3635.1</v>
      </c>
      <c r="M24">
        <v>1570.2</v>
      </c>
      <c r="N24">
        <v>17922.5</v>
      </c>
      <c r="O24">
        <v>1051.0999999999999</v>
      </c>
      <c r="Q24">
        <v>1</v>
      </c>
      <c r="R24">
        <v>0</v>
      </c>
      <c r="S24">
        <v>0</v>
      </c>
      <c r="T24">
        <v>0</v>
      </c>
      <c r="U24">
        <v>0</v>
      </c>
      <c r="V24">
        <v>7.58</v>
      </c>
      <c r="W24">
        <v>3.5</v>
      </c>
      <c r="X24">
        <v>3.1</v>
      </c>
      <c r="Y24">
        <v>0</v>
      </c>
      <c r="Z24">
        <v>0</v>
      </c>
      <c r="AA24">
        <v>0.1</v>
      </c>
      <c r="AB24">
        <v>4.38</v>
      </c>
      <c r="AC24">
        <v>3.1</v>
      </c>
      <c r="AD24">
        <v>0</v>
      </c>
      <c r="AE24">
        <v>0</v>
      </c>
      <c r="AF24">
        <v>4.4800000000000004</v>
      </c>
      <c r="AG24">
        <v>0.40897097625329809</v>
      </c>
      <c r="AH24">
        <v>7.58</v>
      </c>
      <c r="AI24">
        <v>3.5</v>
      </c>
      <c r="AJ24">
        <v>2.8000000000000012</v>
      </c>
      <c r="AK24">
        <v>0</v>
      </c>
      <c r="AL24">
        <v>0</v>
      </c>
      <c r="AM24">
        <v>0.4</v>
      </c>
      <c r="AN24">
        <v>4.3800000000000008</v>
      </c>
      <c r="AO24">
        <v>2.4000000000000008</v>
      </c>
      <c r="AP24">
        <v>0</v>
      </c>
      <c r="AQ24">
        <v>0.2</v>
      </c>
      <c r="AR24">
        <v>4.9799999999999986</v>
      </c>
      <c r="AS24">
        <v>0.31662269129287612</v>
      </c>
      <c r="AT24">
        <v>7.58</v>
      </c>
      <c r="AU24">
        <v>0</v>
      </c>
      <c r="AV24">
        <v>0</v>
      </c>
      <c r="AW24">
        <v>3</v>
      </c>
      <c r="AX24">
        <v>0</v>
      </c>
      <c r="AY24">
        <v>2.0999999046325679</v>
      </c>
      <c r="AZ24">
        <v>0.40000000596046448</v>
      </c>
      <c r="BA24">
        <v>0.10000000149011611</v>
      </c>
      <c r="BB24">
        <v>0.40000000596046448</v>
      </c>
      <c r="BC24">
        <v>2.4999999105930328</v>
      </c>
      <c r="BD24">
        <v>0.5000000074505806</v>
      </c>
      <c r="BE24">
        <v>0.83333332629667367</v>
      </c>
      <c r="BF24">
        <v>0.1666666737033263</v>
      </c>
      <c r="BG24">
        <v>150</v>
      </c>
      <c r="BH24">
        <v>2.0999999046325679</v>
      </c>
      <c r="BI24">
        <v>0.40000000596046448</v>
      </c>
      <c r="BJ24">
        <v>0.10000000149011611</v>
      </c>
      <c r="BK24">
        <v>0.40000000596046448</v>
      </c>
      <c r="BL24">
        <v>1</v>
      </c>
      <c r="BM24">
        <v>1</v>
      </c>
      <c r="BN24">
        <v>2023</v>
      </c>
      <c r="BO24">
        <v>1</v>
      </c>
      <c r="BP24">
        <v>1</v>
      </c>
      <c r="BQ24">
        <v>1</v>
      </c>
      <c r="BR24">
        <v>2023</v>
      </c>
      <c r="BS24">
        <v>2</v>
      </c>
      <c r="BT24">
        <v>1</v>
      </c>
      <c r="BU24">
        <v>2</v>
      </c>
      <c r="BV24">
        <v>2025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0</v>
      </c>
      <c r="CQ24">
        <v>1</v>
      </c>
      <c r="CR24">
        <v>0</v>
      </c>
    </row>
    <row r="25" spans="1:96" x14ac:dyDescent="0.25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>
        <v>4</v>
      </c>
      <c r="H25">
        <v>2</v>
      </c>
      <c r="I25">
        <v>2506</v>
      </c>
      <c r="J25">
        <v>1</v>
      </c>
      <c r="K25">
        <v>1</v>
      </c>
      <c r="L25">
        <v>1752.4</v>
      </c>
      <c r="M25">
        <v>2792.8</v>
      </c>
      <c r="N25">
        <v>8362.7000000000007</v>
      </c>
      <c r="O25">
        <v>1550.7</v>
      </c>
      <c r="P25">
        <v>6499.8</v>
      </c>
      <c r="Q25">
        <v>0</v>
      </c>
      <c r="R25">
        <v>0</v>
      </c>
      <c r="S25">
        <v>0</v>
      </c>
      <c r="T25">
        <v>0</v>
      </c>
      <c r="U25">
        <v>0</v>
      </c>
      <c r="V25">
        <v>3.03</v>
      </c>
      <c r="W25">
        <v>3.5</v>
      </c>
      <c r="X25">
        <v>3.03</v>
      </c>
      <c r="Y25">
        <v>0</v>
      </c>
      <c r="Z25">
        <v>0</v>
      </c>
      <c r="AA25">
        <v>0</v>
      </c>
      <c r="AB25">
        <v>0</v>
      </c>
      <c r="AC25">
        <v>3.03</v>
      </c>
      <c r="AD25">
        <v>0</v>
      </c>
      <c r="AE25">
        <v>0</v>
      </c>
      <c r="AF25">
        <v>0</v>
      </c>
      <c r="AG25">
        <v>1</v>
      </c>
      <c r="AH25">
        <v>3.03</v>
      </c>
      <c r="AI25">
        <v>3.5</v>
      </c>
      <c r="AJ25">
        <v>3.0300000000000011</v>
      </c>
      <c r="AK25">
        <v>0</v>
      </c>
      <c r="AL25">
        <v>0</v>
      </c>
      <c r="AM25">
        <v>0</v>
      </c>
      <c r="AN25">
        <v>0</v>
      </c>
      <c r="AO25">
        <v>3.0300000000000011</v>
      </c>
      <c r="AP25">
        <v>0</v>
      </c>
      <c r="AQ25">
        <v>0</v>
      </c>
      <c r="AR25">
        <v>0</v>
      </c>
      <c r="AS25">
        <v>1</v>
      </c>
      <c r="AT25">
        <v>3.03</v>
      </c>
      <c r="AU25">
        <v>0</v>
      </c>
      <c r="AV25">
        <v>0</v>
      </c>
      <c r="AW25">
        <v>3.029999971389771</v>
      </c>
      <c r="AX25">
        <v>0</v>
      </c>
      <c r="AY25">
        <v>1</v>
      </c>
      <c r="AZ25">
        <v>1.129999995231628</v>
      </c>
      <c r="BA25">
        <v>0.89999997615814209</v>
      </c>
      <c r="BB25">
        <v>0</v>
      </c>
      <c r="BC25">
        <v>2.129999995231628</v>
      </c>
      <c r="BD25">
        <v>0.89999997615814209</v>
      </c>
      <c r="BE25">
        <v>0.70297030209365352</v>
      </c>
      <c r="BF25">
        <v>0.29702969790634648</v>
      </c>
      <c r="BG25">
        <v>150</v>
      </c>
      <c r="BH25">
        <v>1</v>
      </c>
      <c r="BI25">
        <v>1.129999995231628</v>
      </c>
      <c r="BJ25">
        <v>0.89999997615814209</v>
      </c>
      <c r="BK25">
        <v>0</v>
      </c>
      <c r="BL25">
        <v>1</v>
      </c>
      <c r="BM25">
        <v>2</v>
      </c>
      <c r="BN25">
        <v>2023</v>
      </c>
      <c r="BO25">
        <v>1</v>
      </c>
      <c r="BP25">
        <v>1</v>
      </c>
      <c r="BQ25">
        <v>2</v>
      </c>
      <c r="BR25">
        <v>2023</v>
      </c>
      <c r="BS25">
        <v>2</v>
      </c>
      <c r="BT25">
        <v>1</v>
      </c>
      <c r="BU25">
        <v>2</v>
      </c>
      <c r="BV25">
        <v>2023</v>
      </c>
      <c r="BW25">
        <v>3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5">
      <c r="A26">
        <v>25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>
        <v>4</v>
      </c>
      <c r="H26">
        <v>2</v>
      </c>
      <c r="I26">
        <v>2766</v>
      </c>
      <c r="J26">
        <v>0</v>
      </c>
      <c r="K26">
        <v>1</v>
      </c>
      <c r="L26">
        <v>2678.7</v>
      </c>
      <c r="M26">
        <v>1551.4</v>
      </c>
      <c r="N26">
        <v>5058.8999999999996</v>
      </c>
      <c r="O26">
        <v>419.1</v>
      </c>
      <c r="P26">
        <v>3325.5</v>
      </c>
      <c r="Q26">
        <v>0</v>
      </c>
      <c r="R26">
        <v>0</v>
      </c>
      <c r="S26">
        <v>0</v>
      </c>
      <c r="T26">
        <v>0</v>
      </c>
      <c r="U26">
        <v>0</v>
      </c>
      <c r="V26">
        <v>4.57</v>
      </c>
      <c r="W26">
        <v>3.5</v>
      </c>
      <c r="X26">
        <v>4.57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4.57</v>
      </c>
      <c r="AE26">
        <v>0</v>
      </c>
      <c r="AF26">
        <v>0</v>
      </c>
      <c r="AG26">
        <v>1</v>
      </c>
      <c r="AH26">
        <v>4.57</v>
      </c>
      <c r="AI26">
        <v>3.5</v>
      </c>
      <c r="AJ26">
        <v>4.57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4.57</v>
      </c>
      <c r="AQ26">
        <v>0</v>
      </c>
      <c r="AR26">
        <v>0</v>
      </c>
      <c r="AS26">
        <v>1</v>
      </c>
      <c r="AT26">
        <v>4.57</v>
      </c>
      <c r="AU26">
        <v>0</v>
      </c>
      <c r="AV26">
        <v>0</v>
      </c>
      <c r="AW26">
        <v>4.570000171661377</v>
      </c>
      <c r="AX26">
        <v>0</v>
      </c>
      <c r="AY26">
        <v>0</v>
      </c>
      <c r="AZ26">
        <v>2.5699999332427979</v>
      </c>
      <c r="BA26">
        <v>2</v>
      </c>
      <c r="BB26">
        <v>0</v>
      </c>
      <c r="BC26">
        <v>2.5699999332427979</v>
      </c>
      <c r="BD26">
        <v>2</v>
      </c>
      <c r="BE26">
        <v>0.56236323211916717</v>
      </c>
      <c r="BF26">
        <v>0.43763676788083289</v>
      </c>
      <c r="BG26">
        <v>150</v>
      </c>
      <c r="BH26">
        <v>0</v>
      </c>
      <c r="BI26">
        <v>2.5699999332427979</v>
      </c>
      <c r="BJ26">
        <v>2</v>
      </c>
      <c r="BK26">
        <v>0</v>
      </c>
      <c r="BL26">
        <v>1</v>
      </c>
      <c r="BM26">
        <v>1</v>
      </c>
      <c r="BN26">
        <v>2023</v>
      </c>
      <c r="BO26">
        <v>1</v>
      </c>
      <c r="BP26">
        <v>1</v>
      </c>
      <c r="BQ26">
        <v>1</v>
      </c>
      <c r="BR26">
        <v>2023</v>
      </c>
      <c r="BS26">
        <v>2</v>
      </c>
      <c r="BT26">
        <v>1</v>
      </c>
      <c r="BU26">
        <v>2</v>
      </c>
      <c r="BV26">
        <v>2025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1</v>
      </c>
      <c r="CR26">
        <v>0</v>
      </c>
    </row>
    <row r="27" spans="1:96" x14ac:dyDescent="0.25">
      <c r="A27">
        <v>26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>
        <v>3</v>
      </c>
      <c r="H27">
        <v>2</v>
      </c>
      <c r="I27">
        <v>1780</v>
      </c>
      <c r="J27">
        <v>0</v>
      </c>
      <c r="K27">
        <v>1</v>
      </c>
      <c r="L27">
        <v>2368.5</v>
      </c>
      <c r="M27">
        <v>1835.5</v>
      </c>
      <c r="N27">
        <v>4559.7</v>
      </c>
      <c r="O27">
        <v>89.1</v>
      </c>
      <c r="P27">
        <v>2826.2</v>
      </c>
      <c r="Q27">
        <v>0</v>
      </c>
      <c r="R27">
        <v>0</v>
      </c>
      <c r="S27">
        <v>0</v>
      </c>
      <c r="T27">
        <v>0</v>
      </c>
      <c r="U27">
        <v>0</v>
      </c>
      <c r="V27">
        <v>3.77</v>
      </c>
      <c r="W27">
        <v>3.5</v>
      </c>
      <c r="X27">
        <v>3.77</v>
      </c>
      <c r="Y27">
        <v>0</v>
      </c>
      <c r="Z27">
        <v>0</v>
      </c>
      <c r="AA27">
        <v>0</v>
      </c>
      <c r="AB27">
        <v>0</v>
      </c>
      <c r="AC27">
        <v>3.77</v>
      </c>
      <c r="AD27">
        <v>0</v>
      </c>
      <c r="AE27">
        <v>0</v>
      </c>
      <c r="AF27">
        <v>0</v>
      </c>
      <c r="AG27">
        <v>1</v>
      </c>
      <c r="AH27">
        <v>3.77</v>
      </c>
      <c r="AI27">
        <v>3.5</v>
      </c>
      <c r="AJ27">
        <v>3.7700000000000018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3.7700000000000018</v>
      </c>
      <c r="AQ27">
        <v>0</v>
      </c>
      <c r="AR27">
        <v>0</v>
      </c>
      <c r="AS27">
        <v>1</v>
      </c>
      <c r="AT27">
        <v>3.77</v>
      </c>
      <c r="AU27">
        <v>0</v>
      </c>
      <c r="AV27">
        <v>0</v>
      </c>
      <c r="AW27">
        <v>3.7699999809265141</v>
      </c>
      <c r="AX27">
        <v>0</v>
      </c>
      <c r="AY27">
        <v>0</v>
      </c>
      <c r="AZ27">
        <v>3.0699999332427979</v>
      </c>
      <c r="BA27">
        <v>0.69999998807907104</v>
      </c>
      <c r="BB27">
        <v>0</v>
      </c>
      <c r="BC27">
        <v>3.0699999332427979</v>
      </c>
      <c r="BD27">
        <v>0.69999998807907104</v>
      </c>
      <c r="BE27">
        <v>0.81432360671412662</v>
      </c>
      <c r="BF27">
        <v>0.1856763932858734</v>
      </c>
      <c r="BG27">
        <v>150</v>
      </c>
      <c r="BH27">
        <v>0</v>
      </c>
      <c r="BI27">
        <v>3.0699999332427979</v>
      </c>
      <c r="BJ27">
        <v>0.69999998807907104</v>
      </c>
      <c r="BK27">
        <v>0</v>
      </c>
      <c r="BL27">
        <v>1</v>
      </c>
      <c r="BM27">
        <v>3</v>
      </c>
      <c r="BN27">
        <v>2023</v>
      </c>
      <c r="BO27">
        <v>1</v>
      </c>
      <c r="BP27">
        <v>1</v>
      </c>
      <c r="BQ27">
        <v>3</v>
      </c>
      <c r="BR27">
        <v>2023</v>
      </c>
      <c r="BS27">
        <v>2</v>
      </c>
      <c r="BT27">
        <v>1</v>
      </c>
      <c r="BU27">
        <v>3</v>
      </c>
      <c r="BV27">
        <v>2023</v>
      </c>
      <c r="BW27">
        <v>3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25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105</v>
      </c>
      <c r="G28">
        <v>2</v>
      </c>
      <c r="H28">
        <v>1</v>
      </c>
      <c r="I28">
        <v>1150</v>
      </c>
      <c r="J28">
        <v>0</v>
      </c>
      <c r="K28">
        <v>0</v>
      </c>
      <c r="L28">
        <v>6620.7</v>
      </c>
      <c r="M28">
        <v>4762</v>
      </c>
      <c r="N28">
        <v>8803.7999999999993</v>
      </c>
      <c r="O28">
        <v>1614.2</v>
      </c>
      <c r="P28">
        <v>8968.5</v>
      </c>
      <c r="Q28">
        <v>0</v>
      </c>
      <c r="R28">
        <v>0</v>
      </c>
      <c r="S28">
        <v>0</v>
      </c>
      <c r="T28">
        <v>0</v>
      </c>
      <c r="U28">
        <v>0</v>
      </c>
      <c r="V28">
        <v>2.33</v>
      </c>
      <c r="W28">
        <v>3.5</v>
      </c>
      <c r="X28">
        <v>2.33</v>
      </c>
      <c r="Y28">
        <v>0</v>
      </c>
      <c r="Z28">
        <v>0</v>
      </c>
      <c r="AA28">
        <v>0</v>
      </c>
      <c r="AB28">
        <v>0</v>
      </c>
      <c r="AC28">
        <v>2.33</v>
      </c>
      <c r="AD28">
        <v>0</v>
      </c>
      <c r="AE28">
        <v>0</v>
      </c>
      <c r="AF28">
        <v>0</v>
      </c>
      <c r="AG28">
        <v>1</v>
      </c>
      <c r="AH28">
        <v>2.33</v>
      </c>
      <c r="AI28">
        <v>3.5</v>
      </c>
      <c r="AJ28">
        <v>2.330000000000001</v>
      </c>
      <c r="AK28">
        <v>0</v>
      </c>
      <c r="AL28">
        <v>0</v>
      </c>
      <c r="AM28">
        <v>0</v>
      </c>
      <c r="AN28">
        <v>0</v>
      </c>
      <c r="AO28">
        <v>2.330000000000001</v>
      </c>
      <c r="AP28">
        <v>0</v>
      </c>
      <c r="AQ28">
        <v>0</v>
      </c>
      <c r="AR28">
        <v>0</v>
      </c>
      <c r="AS28">
        <v>1</v>
      </c>
      <c r="AT28">
        <v>2.33</v>
      </c>
      <c r="AU28">
        <v>0</v>
      </c>
      <c r="AV28">
        <v>0</v>
      </c>
      <c r="AW28">
        <v>2.3299999237060551</v>
      </c>
      <c r="AX28">
        <v>0</v>
      </c>
      <c r="AY28">
        <v>0</v>
      </c>
      <c r="AZ28">
        <v>2.3299999237060551</v>
      </c>
      <c r="BA28">
        <v>0</v>
      </c>
      <c r="BB28">
        <v>0</v>
      </c>
      <c r="BC28">
        <v>2.3299999237060551</v>
      </c>
      <c r="BD28">
        <v>0</v>
      </c>
      <c r="BE28">
        <v>1</v>
      </c>
      <c r="BF28">
        <v>0</v>
      </c>
      <c r="BG28">
        <v>150</v>
      </c>
      <c r="BH28">
        <v>0</v>
      </c>
      <c r="BI28">
        <v>2.3299999237060551</v>
      </c>
      <c r="BJ28">
        <v>0</v>
      </c>
      <c r="BK28">
        <v>0</v>
      </c>
      <c r="BL28">
        <v>1</v>
      </c>
      <c r="BM28">
        <v>2</v>
      </c>
      <c r="BN28">
        <v>2023</v>
      </c>
      <c r="BO28">
        <v>1</v>
      </c>
      <c r="BP28">
        <v>1</v>
      </c>
      <c r="BQ28">
        <v>2</v>
      </c>
      <c r="BR28">
        <v>2023</v>
      </c>
      <c r="BS28">
        <v>2</v>
      </c>
      <c r="BT28">
        <v>1</v>
      </c>
      <c r="BU28">
        <v>2</v>
      </c>
      <c r="BV28">
        <v>2023</v>
      </c>
      <c r="BW28">
        <v>3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5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190</v>
      </c>
      <c r="G29">
        <v>2</v>
      </c>
      <c r="H29">
        <v>1</v>
      </c>
      <c r="I29">
        <v>426</v>
      </c>
      <c r="J29">
        <v>0</v>
      </c>
      <c r="K29">
        <v>0</v>
      </c>
      <c r="L29">
        <v>4304.7</v>
      </c>
      <c r="M29">
        <v>1910.8</v>
      </c>
      <c r="N29">
        <v>14818.3</v>
      </c>
      <c r="O29">
        <v>1026</v>
      </c>
      <c r="P29">
        <v>16197.8</v>
      </c>
      <c r="Q29">
        <v>0</v>
      </c>
      <c r="R29">
        <v>0</v>
      </c>
      <c r="S29">
        <v>0</v>
      </c>
      <c r="T29">
        <v>0</v>
      </c>
      <c r="U29">
        <v>0</v>
      </c>
      <c r="V29">
        <v>1.66</v>
      </c>
      <c r="W29">
        <v>3</v>
      </c>
      <c r="X29">
        <v>1.66</v>
      </c>
      <c r="Y29">
        <v>0</v>
      </c>
      <c r="Z29">
        <v>0</v>
      </c>
      <c r="AA29">
        <v>0</v>
      </c>
      <c r="AB29">
        <v>0</v>
      </c>
      <c r="AC29">
        <v>1.66</v>
      </c>
      <c r="AD29">
        <v>0</v>
      </c>
      <c r="AE29">
        <v>0</v>
      </c>
      <c r="AF29">
        <v>0</v>
      </c>
      <c r="AG29">
        <v>1</v>
      </c>
      <c r="AH29">
        <v>1.66</v>
      </c>
      <c r="AI29">
        <v>3</v>
      </c>
      <c r="AJ29">
        <v>1.66</v>
      </c>
      <c r="AK29">
        <v>0</v>
      </c>
      <c r="AL29">
        <v>0</v>
      </c>
      <c r="AM29">
        <v>0</v>
      </c>
      <c r="AN29">
        <v>0</v>
      </c>
      <c r="AO29">
        <v>1.66</v>
      </c>
      <c r="AP29">
        <v>0</v>
      </c>
      <c r="AQ29">
        <v>0</v>
      </c>
      <c r="AR29">
        <v>0</v>
      </c>
      <c r="AS29">
        <v>1</v>
      </c>
      <c r="AT29">
        <v>1.66</v>
      </c>
      <c r="AU29">
        <v>0</v>
      </c>
      <c r="AV29">
        <v>0</v>
      </c>
      <c r="AW29">
        <v>1.6599999666213989</v>
      </c>
      <c r="AX29">
        <v>0</v>
      </c>
      <c r="AY29">
        <v>1.059999942779541</v>
      </c>
      <c r="AZ29">
        <v>0.60000002384185791</v>
      </c>
      <c r="BA29">
        <v>0</v>
      </c>
      <c r="BB29">
        <v>0</v>
      </c>
      <c r="BC29">
        <v>1.6599999666213989</v>
      </c>
      <c r="BD29">
        <v>0</v>
      </c>
      <c r="BE29">
        <v>1</v>
      </c>
      <c r="BF29">
        <v>0</v>
      </c>
      <c r="BG29">
        <v>150</v>
      </c>
      <c r="BH29">
        <v>1.059999942779541</v>
      </c>
      <c r="BI29">
        <v>0.60000002384185791</v>
      </c>
      <c r="BJ29">
        <v>0</v>
      </c>
      <c r="BK29">
        <v>0</v>
      </c>
      <c r="BL29">
        <v>1</v>
      </c>
      <c r="BM29">
        <v>1</v>
      </c>
      <c r="BN29">
        <v>2022</v>
      </c>
      <c r="BO29">
        <v>2</v>
      </c>
      <c r="BP29">
        <v>1</v>
      </c>
      <c r="BQ29">
        <v>1</v>
      </c>
      <c r="BR29">
        <v>2022</v>
      </c>
      <c r="BS29">
        <v>3</v>
      </c>
      <c r="BT29">
        <v>1</v>
      </c>
      <c r="BU29">
        <v>1</v>
      </c>
      <c r="BV29">
        <v>2022</v>
      </c>
      <c r="BW29">
        <v>4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25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190</v>
      </c>
      <c r="G30">
        <v>1</v>
      </c>
      <c r="H30">
        <v>1</v>
      </c>
      <c r="I30">
        <v>310</v>
      </c>
      <c r="J30">
        <v>0</v>
      </c>
      <c r="K30">
        <v>0</v>
      </c>
      <c r="L30">
        <v>8506.9</v>
      </c>
      <c r="M30">
        <v>6113.1</v>
      </c>
      <c r="N30">
        <v>19020.599999999999</v>
      </c>
      <c r="O30">
        <v>1650.5</v>
      </c>
      <c r="P30">
        <v>20400.099999999999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1.46</v>
      </c>
      <c r="W30">
        <v>2.5</v>
      </c>
      <c r="X30">
        <v>0</v>
      </c>
      <c r="Y30">
        <v>0</v>
      </c>
      <c r="Z30">
        <v>0</v>
      </c>
      <c r="AA30">
        <v>0</v>
      </c>
      <c r="AB30">
        <v>1.46</v>
      </c>
      <c r="AC30">
        <v>0</v>
      </c>
      <c r="AD30">
        <v>0</v>
      </c>
      <c r="AE30">
        <v>0</v>
      </c>
      <c r="AF30">
        <v>1.46</v>
      </c>
      <c r="AG30">
        <v>0</v>
      </c>
      <c r="AH30">
        <v>1.46</v>
      </c>
      <c r="AI30">
        <v>2.5</v>
      </c>
      <c r="AJ30">
        <v>0</v>
      </c>
      <c r="AK30">
        <v>0</v>
      </c>
      <c r="AL30">
        <v>0</v>
      </c>
      <c r="AM30">
        <v>0</v>
      </c>
      <c r="AN30">
        <v>1.46</v>
      </c>
      <c r="AO30">
        <v>0</v>
      </c>
      <c r="AP30">
        <v>0</v>
      </c>
      <c r="AQ30">
        <v>0</v>
      </c>
      <c r="AR30">
        <v>1.46</v>
      </c>
      <c r="AS30">
        <v>0</v>
      </c>
      <c r="AT30">
        <v>1.46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150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P30">
        <v>0</v>
      </c>
      <c r="BQ30">
        <v>0</v>
      </c>
      <c r="BT30">
        <v>0</v>
      </c>
      <c r="BU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25">
      <c r="A31">
        <v>30</v>
      </c>
      <c r="B31" t="s">
        <v>226</v>
      </c>
      <c r="C31" t="s">
        <v>227</v>
      </c>
      <c r="D31" t="s">
        <v>228</v>
      </c>
      <c r="E31" t="s">
        <v>229</v>
      </c>
      <c r="F31" t="s">
        <v>213</v>
      </c>
      <c r="G31">
        <v>3</v>
      </c>
      <c r="H31">
        <v>2</v>
      </c>
      <c r="I31">
        <v>3778</v>
      </c>
      <c r="J31">
        <v>0</v>
      </c>
      <c r="K31">
        <v>1</v>
      </c>
      <c r="L31">
        <v>2296</v>
      </c>
      <c r="M31">
        <v>1621.3</v>
      </c>
      <c r="N31">
        <v>3589.2</v>
      </c>
      <c r="O31">
        <v>57.6</v>
      </c>
      <c r="P31">
        <v>2614.4</v>
      </c>
      <c r="Q31">
        <v>0</v>
      </c>
      <c r="R31">
        <v>0</v>
      </c>
      <c r="S31">
        <v>0</v>
      </c>
      <c r="T31">
        <v>0</v>
      </c>
      <c r="U31">
        <v>0</v>
      </c>
      <c r="V31">
        <v>4.07</v>
      </c>
      <c r="W31">
        <v>3.5</v>
      </c>
      <c r="X31">
        <v>4.07</v>
      </c>
      <c r="Y31">
        <v>0</v>
      </c>
      <c r="Z31">
        <v>0</v>
      </c>
      <c r="AA31">
        <v>0</v>
      </c>
      <c r="AB31">
        <v>0</v>
      </c>
      <c r="AC31">
        <v>4.07</v>
      </c>
      <c r="AD31">
        <v>0</v>
      </c>
      <c r="AE31">
        <v>0</v>
      </c>
      <c r="AF31">
        <v>0</v>
      </c>
      <c r="AG31">
        <v>1</v>
      </c>
      <c r="AH31">
        <v>4.07</v>
      </c>
      <c r="AI31">
        <v>3.5</v>
      </c>
      <c r="AJ31">
        <v>4.0700000000000021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4.0700000000000021</v>
      </c>
      <c r="AQ31">
        <v>0</v>
      </c>
      <c r="AR31">
        <v>0</v>
      </c>
      <c r="AS31">
        <v>1</v>
      </c>
      <c r="AT31">
        <v>4.07</v>
      </c>
      <c r="AU31">
        <v>0</v>
      </c>
      <c r="AV31">
        <v>0</v>
      </c>
      <c r="AW31">
        <v>4.070000171661377</v>
      </c>
      <c r="AX31">
        <v>0</v>
      </c>
      <c r="AY31">
        <v>0.5</v>
      </c>
      <c r="AZ31">
        <v>1.799999952316284</v>
      </c>
      <c r="BA31">
        <v>1.2699999809265139</v>
      </c>
      <c r="BB31">
        <v>0.5</v>
      </c>
      <c r="BC31">
        <v>2.2999999523162842</v>
      </c>
      <c r="BD31">
        <v>1.7699999809265139</v>
      </c>
      <c r="BE31">
        <v>0.56511056266375537</v>
      </c>
      <c r="BF31">
        <v>0.43488943733624458</v>
      </c>
      <c r="BG31">
        <v>150</v>
      </c>
      <c r="BH31">
        <v>0.5</v>
      </c>
      <c r="BI31">
        <v>1.799999952316284</v>
      </c>
      <c r="BJ31">
        <v>1.2699999809265139</v>
      </c>
      <c r="BK31">
        <v>0.5</v>
      </c>
      <c r="BL31">
        <v>1</v>
      </c>
      <c r="BM31">
        <v>1</v>
      </c>
      <c r="BN31">
        <v>2023</v>
      </c>
      <c r="BO31">
        <v>1</v>
      </c>
      <c r="BP31">
        <v>1</v>
      </c>
      <c r="BQ31">
        <v>1</v>
      </c>
      <c r="BR31">
        <v>2023</v>
      </c>
      <c r="BS31">
        <v>2</v>
      </c>
      <c r="BT31">
        <v>1</v>
      </c>
      <c r="BU31">
        <v>1</v>
      </c>
      <c r="BV31">
        <v>2023</v>
      </c>
      <c r="BW31">
        <v>3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25">
      <c r="A32">
        <v>31</v>
      </c>
      <c r="B32" t="s">
        <v>230</v>
      </c>
      <c r="C32" t="s">
        <v>231</v>
      </c>
      <c r="D32" t="s">
        <v>232</v>
      </c>
      <c r="E32" t="s">
        <v>233</v>
      </c>
      <c r="F32" t="s">
        <v>149</v>
      </c>
      <c r="G32">
        <v>1</v>
      </c>
      <c r="H32">
        <v>1</v>
      </c>
      <c r="I32">
        <v>499</v>
      </c>
      <c r="J32">
        <v>0</v>
      </c>
      <c r="K32">
        <v>0</v>
      </c>
      <c r="L32">
        <v>3513.6</v>
      </c>
      <c r="M32">
        <v>1365.5</v>
      </c>
      <c r="N32">
        <v>13272.8</v>
      </c>
      <c r="O32">
        <v>739.2</v>
      </c>
      <c r="P32">
        <v>11409.9</v>
      </c>
      <c r="Q32">
        <v>0</v>
      </c>
      <c r="R32">
        <v>0</v>
      </c>
      <c r="S32">
        <v>0</v>
      </c>
      <c r="T32">
        <v>0</v>
      </c>
      <c r="U32">
        <v>0</v>
      </c>
      <c r="V32">
        <v>0.66</v>
      </c>
      <c r="W32">
        <v>3</v>
      </c>
      <c r="X32">
        <v>0.66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</v>
      </c>
      <c r="AE32">
        <v>0</v>
      </c>
      <c r="AF32">
        <v>0.56000000000000005</v>
      </c>
      <c r="AG32">
        <v>0.15151515151515149</v>
      </c>
      <c r="AH32">
        <v>0.66</v>
      </c>
      <c r="AI32">
        <v>3</v>
      </c>
      <c r="AJ32">
        <v>0.1</v>
      </c>
      <c r="AK32">
        <v>0</v>
      </c>
      <c r="AL32">
        <v>0</v>
      </c>
      <c r="AM32">
        <v>0.56000000000000005</v>
      </c>
      <c r="AN32">
        <v>0</v>
      </c>
      <c r="AO32">
        <v>0</v>
      </c>
      <c r="AP32">
        <v>0.1</v>
      </c>
      <c r="AQ32">
        <v>0</v>
      </c>
      <c r="AR32">
        <v>0.56000000000000005</v>
      </c>
      <c r="AS32">
        <v>0.15151515151515149</v>
      </c>
      <c r="AT32">
        <v>0.66</v>
      </c>
      <c r="AU32">
        <v>0</v>
      </c>
      <c r="AV32">
        <v>0</v>
      </c>
      <c r="AW32">
        <v>0.10000000149011611</v>
      </c>
      <c r="AX32">
        <v>0</v>
      </c>
      <c r="AY32">
        <v>0</v>
      </c>
      <c r="AZ32">
        <v>0</v>
      </c>
      <c r="BA32">
        <v>0.10000000149011611</v>
      </c>
      <c r="BB32">
        <v>0</v>
      </c>
      <c r="BC32">
        <v>0</v>
      </c>
      <c r="BD32">
        <v>0.10000000149011611</v>
      </c>
      <c r="BE32">
        <v>0</v>
      </c>
      <c r="BF32">
        <v>1</v>
      </c>
      <c r="BG32">
        <v>150</v>
      </c>
      <c r="BH32">
        <v>0</v>
      </c>
      <c r="BI32">
        <v>0</v>
      </c>
      <c r="BJ32">
        <v>0.10000000149011611</v>
      </c>
      <c r="BK32">
        <v>0</v>
      </c>
      <c r="BL32">
        <v>0</v>
      </c>
      <c r="BM32">
        <v>0</v>
      </c>
      <c r="BP32">
        <v>0</v>
      </c>
      <c r="BQ32">
        <v>0</v>
      </c>
      <c r="BT32">
        <v>0</v>
      </c>
      <c r="BU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1</v>
      </c>
      <c r="CR32">
        <v>0</v>
      </c>
    </row>
    <row r="33" spans="1:96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154</v>
      </c>
      <c r="G33">
        <v>3</v>
      </c>
      <c r="H33">
        <v>2</v>
      </c>
      <c r="I33">
        <v>1568</v>
      </c>
      <c r="J33">
        <v>0</v>
      </c>
      <c r="K33">
        <v>1</v>
      </c>
      <c r="L33">
        <v>2719.8</v>
      </c>
      <c r="M33">
        <v>2340.1999999999998</v>
      </c>
      <c r="N33">
        <v>12479</v>
      </c>
      <c r="O33">
        <v>1116.4000000000001</v>
      </c>
      <c r="P33">
        <v>10616.1</v>
      </c>
      <c r="Q33">
        <v>0</v>
      </c>
      <c r="R33">
        <v>0</v>
      </c>
      <c r="S33">
        <v>0</v>
      </c>
      <c r="T33">
        <v>0</v>
      </c>
      <c r="U33">
        <v>0</v>
      </c>
      <c r="V33">
        <v>2.09</v>
      </c>
      <c r="W33">
        <v>3</v>
      </c>
      <c r="X33">
        <v>2.09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2.09</v>
      </c>
      <c r="AE33">
        <v>0</v>
      </c>
      <c r="AF33">
        <v>0</v>
      </c>
      <c r="AG33">
        <v>1</v>
      </c>
      <c r="AH33">
        <v>2.09</v>
      </c>
      <c r="AI33">
        <v>3</v>
      </c>
      <c r="AJ33">
        <v>2.09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2.09</v>
      </c>
      <c r="AQ33">
        <v>0</v>
      </c>
      <c r="AR33">
        <v>0</v>
      </c>
      <c r="AS33">
        <v>1</v>
      </c>
      <c r="AT33">
        <v>2.09</v>
      </c>
      <c r="AU33">
        <v>0</v>
      </c>
      <c r="AV33">
        <v>0</v>
      </c>
      <c r="AW33">
        <v>2.089999914169312</v>
      </c>
      <c r="AX33">
        <v>0</v>
      </c>
      <c r="AY33">
        <v>0</v>
      </c>
      <c r="AZ33">
        <v>1.889999985694885</v>
      </c>
      <c r="BA33">
        <v>0.20000000298023221</v>
      </c>
      <c r="BB33">
        <v>0</v>
      </c>
      <c r="BC33">
        <v>1.889999985694885</v>
      </c>
      <c r="BD33">
        <v>0.20000000298023221</v>
      </c>
      <c r="BE33">
        <v>0.90430621815121859</v>
      </c>
      <c r="BF33">
        <v>9.569378184878137E-2</v>
      </c>
      <c r="BG33">
        <v>150</v>
      </c>
      <c r="BH33">
        <v>0</v>
      </c>
      <c r="BI33">
        <v>1.889999985694885</v>
      </c>
      <c r="BJ33">
        <v>0.20000000298023221</v>
      </c>
      <c r="BK33">
        <v>0</v>
      </c>
      <c r="BL33">
        <v>1</v>
      </c>
      <c r="BM33">
        <v>1</v>
      </c>
      <c r="BN33">
        <v>2023</v>
      </c>
      <c r="BO33">
        <v>1</v>
      </c>
      <c r="BP33">
        <v>1</v>
      </c>
      <c r="BQ33">
        <v>2</v>
      </c>
      <c r="BR33">
        <v>2024</v>
      </c>
      <c r="BS33">
        <v>1</v>
      </c>
      <c r="BT33">
        <v>1</v>
      </c>
      <c r="BU33">
        <v>3</v>
      </c>
      <c r="BV33">
        <v>2025</v>
      </c>
      <c r="BW33">
        <v>1</v>
      </c>
      <c r="BX33">
        <v>0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1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1</v>
      </c>
      <c r="CQ33">
        <v>0</v>
      </c>
      <c r="CR33">
        <v>0</v>
      </c>
    </row>
    <row r="34" spans="1:96" x14ac:dyDescent="0.25">
      <c r="A34">
        <v>33</v>
      </c>
      <c r="B34" t="s">
        <v>238</v>
      </c>
      <c r="C34" t="s">
        <v>239</v>
      </c>
      <c r="D34" t="s">
        <v>240</v>
      </c>
      <c r="E34" t="s">
        <v>241</v>
      </c>
      <c r="F34" t="s">
        <v>149</v>
      </c>
      <c r="G34">
        <v>1</v>
      </c>
      <c r="H34">
        <v>1</v>
      </c>
      <c r="I34">
        <v>447</v>
      </c>
      <c r="J34">
        <v>0</v>
      </c>
      <c r="K34">
        <v>1</v>
      </c>
      <c r="L34">
        <v>3639.6</v>
      </c>
      <c r="M34">
        <v>2038.8</v>
      </c>
      <c r="N34">
        <v>13398.9</v>
      </c>
      <c r="O34">
        <v>865.2</v>
      </c>
      <c r="P34">
        <v>11536</v>
      </c>
      <c r="Q34">
        <v>0</v>
      </c>
      <c r="R34">
        <v>0</v>
      </c>
      <c r="S34">
        <v>0</v>
      </c>
      <c r="T34">
        <v>0</v>
      </c>
      <c r="U34">
        <v>0</v>
      </c>
      <c r="V34">
        <v>1.71</v>
      </c>
      <c r="W34">
        <v>3</v>
      </c>
      <c r="X34">
        <v>1.71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1.71</v>
      </c>
      <c r="AE34">
        <v>0</v>
      </c>
      <c r="AF34">
        <v>0</v>
      </c>
      <c r="AG34">
        <v>1</v>
      </c>
      <c r="AH34">
        <v>1.71</v>
      </c>
      <c r="AI34">
        <v>3</v>
      </c>
      <c r="AJ34">
        <v>1.71</v>
      </c>
      <c r="AK34">
        <v>0</v>
      </c>
      <c r="AL34">
        <v>0</v>
      </c>
      <c r="AM34">
        <v>0</v>
      </c>
      <c r="AN34">
        <v>0</v>
      </c>
      <c r="AO34">
        <v>0.51</v>
      </c>
      <c r="AP34">
        <v>1.2</v>
      </c>
      <c r="AQ34">
        <v>0</v>
      </c>
      <c r="AR34">
        <v>0</v>
      </c>
      <c r="AS34">
        <v>1</v>
      </c>
      <c r="AT34">
        <v>1.71</v>
      </c>
      <c r="AU34">
        <v>0</v>
      </c>
      <c r="AV34">
        <v>0</v>
      </c>
      <c r="AW34">
        <v>1.7100000381469731</v>
      </c>
      <c r="AX34">
        <v>0</v>
      </c>
      <c r="AY34">
        <v>0.5</v>
      </c>
      <c r="AZ34">
        <v>1.2100000381469731</v>
      </c>
      <c r="BA34">
        <v>0</v>
      </c>
      <c r="BB34">
        <v>0</v>
      </c>
      <c r="BC34">
        <v>1.7100000381469731</v>
      </c>
      <c r="BD34">
        <v>0</v>
      </c>
      <c r="BE34">
        <v>1</v>
      </c>
      <c r="BF34">
        <v>0</v>
      </c>
      <c r="BG34">
        <v>150</v>
      </c>
      <c r="BH34">
        <v>0.5</v>
      </c>
      <c r="BI34">
        <v>1.2100000381469731</v>
      </c>
      <c r="BJ34">
        <v>0</v>
      </c>
      <c r="BK34">
        <v>0</v>
      </c>
      <c r="BL34">
        <v>0</v>
      </c>
      <c r="BM34">
        <v>0</v>
      </c>
      <c r="BP34">
        <v>0</v>
      </c>
      <c r="BQ34">
        <v>0</v>
      </c>
      <c r="BT34">
        <v>0</v>
      </c>
      <c r="BU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25">
      <c r="A35">
        <v>34</v>
      </c>
      <c r="B35" t="s">
        <v>242</v>
      </c>
      <c r="C35" t="s">
        <v>243</v>
      </c>
      <c r="D35" t="s">
        <v>244</v>
      </c>
      <c r="E35" t="s">
        <v>245</v>
      </c>
      <c r="F35" t="s">
        <v>149</v>
      </c>
      <c r="G35">
        <v>3</v>
      </c>
      <c r="H35">
        <v>1</v>
      </c>
      <c r="I35">
        <v>1733</v>
      </c>
      <c r="J35">
        <v>0</v>
      </c>
      <c r="K35">
        <v>1</v>
      </c>
      <c r="L35">
        <v>4613.6000000000004</v>
      </c>
      <c r="M35">
        <v>2943.6</v>
      </c>
      <c r="N35">
        <v>13008.9</v>
      </c>
      <c r="O35">
        <v>1839.2</v>
      </c>
      <c r="P35">
        <v>11146</v>
      </c>
      <c r="Q35">
        <v>0</v>
      </c>
      <c r="R35">
        <v>0</v>
      </c>
      <c r="S35">
        <v>0</v>
      </c>
      <c r="T35">
        <v>0</v>
      </c>
      <c r="U35">
        <v>0</v>
      </c>
      <c r="V35">
        <v>3.58</v>
      </c>
      <c r="W35">
        <v>3</v>
      </c>
      <c r="X35">
        <v>1.1000000000000001</v>
      </c>
      <c r="Y35">
        <v>0</v>
      </c>
      <c r="Z35">
        <v>0</v>
      </c>
      <c r="AA35">
        <v>2.48</v>
      </c>
      <c r="AB35">
        <v>0</v>
      </c>
      <c r="AC35">
        <v>0.2</v>
      </c>
      <c r="AD35">
        <v>0.8</v>
      </c>
      <c r="AE35">
        <v>0.1</v>
      </c>
      <c r="AF35">
        <v>2.48</v>
      </c>
      <c r="AG35">
        <v>0.27932960893854752</v>
      </c>
      <c r="AH35">
        <v>3.58</v>
      </c>
      <c r="AI35">
        <v>3</v>
      </c>
      <c r="AJ35">
        <v>1.1000000000000001</v>
      </c>
      <c r="AK35">
        <v>0</v>
      </c>
      <c r="AL35">
        <v>0</v>
      </c>
      <c r="AM35">
        <v>2.4800000000000009</v>
      </c>
      <c r="AN35">
        <v>0</v>
      </c>
      <c r="AO35">
        <v>0</v>
      </c>
      <c r="AP35">
        <v>0.99999999999999989</v>
      </c>
      <c r="AQ35">
        <v>0.1</v>
      </c>
      <c r="AR35">
        <v>2.4800000000000009</v>
      </c>
      <c r="AS35">
        <v>0.27932960893854741</v>
      </c>
      <c r="AT35">
        <v>3.58</v>
      </c>
      <c r="AU35">
        <v>0</v>
      </c>
      <c r="AV35">
        <v>0</v>
      </c>
      <c r="AW35">
        <v>1.1000000238418579</v>
      </c>
      <c r="AX35">
        <v>0</v>
      </c>
      <c r="AY35">
        <v>0</v>
      </c>
      <c r="AZ35">
        <v>1</v>
      </c>
      <c r="BA35">
        <v>0.10000000149011611</v>
      </c>
      <c r="BB35">
        <v>0</v>
      </c>
      <c r="BC35">
        <v>1</v>
      </c>
      <c r="BD35">
        <v>0.10000000149011611</v>
      </c>
      <c r="BE35">
        <v>0.90909090785940816</v>
      </c>
      <c r="BF35">
        <v>9.0909092140591827E-2</v>
      </c>
      <c r="BG35">
        <v>150</v>
      </c>
      <c r="BH35">
        <v>0</v>
      </c>
      <c r="BI35">
        <v>1</v>
      </c>
      <c r="BJ35">
        <v>0.10000000149011611</v>
      </c>
      <c r="BK35">
        <v>0</v>
      </c>
      <c r="BL35">
        <v>0</v>
      </c>
      <c r="BM35">
        <v>0</v>
      </c>
      <c r="BP35">
        <v>0</v>
      </c>
      <c r="BQ35">
        <v>0</v>
      </c>
      <c r="BT35">
        <v>0</v>
      </c>
      <c r="BU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25">
      <c r="A36">
        <v>35</v>
      </c>
      <c r="B36" t="s">
        <v>246</v>
      </c>
      <c r="C36" t="s">
        <v>247</v>
      </c>
      <c r="D36" t="s">
        <v>248</v>
      </c>
      <c r="E36" t="s">
        <v>249</v>
      </c>
      <c r="F36" t="s">
        <v>149</v>
      </c>
      <c r="G36">
        <v>2</v>
      </c>
      <c r="H36">
        <v>1</v>
      </c>
      <c r="I36">
        <v>1286</v>
      </c>
      <c r="J36">
        <v>0</v>
      </c>
      <c r="K36">
        <v>1</v>
      </c>
      <c r="L36">
        <v>3704</v>
      </c>
      <c r="M36">
        <v>1555.9</v>
      </c>
      <c r="N36">
        <v>13463.2</v>
      </c>
      <c r="O36">
        <v>929.6</v>
      </c>
      <c r="P36">
        <v>11600.3</v>
      </c>
      <c r="Q36">
        <v>0</v>
      </c>
      <c r="R36">
        <v>0</v>
      </c>
      <c r="S36">
        <v>0</v>
      </c>
      <c r="T36">
        <v>0</v>
      </c>
      <c r="U36">
        <v>0</v>
      </c>
      <c r="V36">
        <v>1.26</v>
      </c>
      <c r="W36">
        <v>3.5</v>
      </c>
      <c r="X36">
        <v>1</v>
      </c>
      <c r="Y36">
        <v>0</v>
      </c>
      <c r="Z36">
        <v>0.26</v>
      </c>
      <c r="AA36">
        <v>0</v>
      </c>
      <c r="AB36">
        <v>0</v>
      </c>
      <c r="AC36">
        <v>0</v>
      </c>
      <c r="AD36">
        <v>0.8</v>
      </c>
      <c r="AE36">
        <v>0.2</v>
      </c>
      <c r="AF36">
        <v>0.26</v>
      </c>
      <c r="AG36">
        <v>0.634920634920635</v>
      </c>
      <c r="AH36">
        <v>1.26</v>
      </c>
      <c r="AI36">
        <v>3.5</v>
      </c>
      <c r="AJ36">
        <v>0.99999999999999989</v>
      </c>
      <c r="AK36">
        <v>0</v>
      </c>
      <c r="AL36">
        <v>0.26</v>
      </c>
      <c r="AM36">
        <v>0</v>
      </c>
      <c r="AN36">
        <v>0</v>
      </c>
      <c r="AO36">
        <v>0.2</v>
      </c>
      <c r="AP36">
        <v>0.6</v>
      </c>
      <c r="AQ36">
        <v>0.2</v>
      </c>
      <c r="AR36">
        <v>0.26</v>
      </c>
      <c r="AS36">
        <v>0.634920634920635</v>
      </c>
      <c r="AT36">
        <v>1.26</v>
      </c>
      <c r="AU36">
        <v>0.25999999046325678</v>
      </c>
      <c r="AV36">
        <v>0</v>
      </c>
      <c r="AW36">
        <v>1</v>
      </c>
      <c r="AX36">
        <v>0</v>
      </c>
      <c r="AY36">
        <v>0</v>
      </c>
      <c r="AZ36">
        <v>0.69999998807907104</v>
      </c>
      <c r="BA36">
        <v>0.30000001192092901</v>
      </c>
      <c r="BB36">
        <v>0.25999999046325678</v>
      </c>
      <c r="BC36">
        <v>0.69999998807907104</v>
      </c>
      <c r="BD36">
        <v>0.56000000238418579</v>
      </c>
      <c r="BE36">
        <v>0.55555555029941395</v>
      </c>
      <c r="BF36">
        <v>0.444444449700586</v>
      </c>
      <c r="BG36">
        <v>150</v>
      </c>
      <c r="BH36">
        <v>0</v>
      </c>
      <c r="BI36">
        <v>0.69999998807907104</v>
      </c>
      <c r="BJ36">
        <v>0.30000001192092901</v>
      </c>
      <c r="BK36">
        <v>0</v>
      </c>
      <c r="BL36">
        <v>0</v>
      </c>
      <c r="BM36">
        <v>0</v>
      </c>
      <c r="BP36">
        <v>0</v>
      </c>
      <c r="BQ36">
        <v>0</v>
      </c>
      <c r="BT36">
        <v>0</v>
      </c>
      <c r="BU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1</v>
      </c>
      <c r="CR36">
        <v>0</v>
      </c>
    </row>
    <row r="37" spans="1:96" x14ac:dyDescent="0.25">
      <c r="A37">
        <v>36</v>
      </c>
      <c r="B37" t="s">
        <v>250</v>
      </c>
      <c r="C37" t="s">
        <v>251</v>
      </c>
      <c r="D37" t="s">
        <v>252</v>
      </c>
      <c r="E37" t="s">
        <v>253</v>
      </c>
      <c r="F37" t="s">
        <v>154</v>
      </c>
      <c r="G37">
        <v>3</v>
      </c>
      <c r="H37">
        <v>2</v>
      </c>
      <c r="I37">
        <v>1579</v>
      </c>
      <c r="J37">
        <v>0</v>
      </c>
      <c r="K37">
        <v>1</v>
      </c>
      <c r="L37">
        <v>4916.3999999999996</v>
      </c>
      <c r="M37">
        <v>1098.2</v>
      </c>
      <c r="N37">
        <v>14675.6</v>
      </c>
      <c r="O37">
        <v>222.1</v>
      </c>
      <c r="P37">
        <v>12812.7</v>
      </c>
      <c r="Q37">
        <v>0</v>
      </c>
      <c r="R37">
        <v>0</v>
      </c>
      <c r="S37">
        <v>0</v>
      </c>
      <c r="T37">
        <v>0</v>
      </c>
      <c r="U37">
        <v>0</v>
      </c>
      <c r="V37">
        <v>2.11</v>
      </c>
      <c r="W37">
        <v>3.5</v>
      </c>
      <c r="X37">
        <v>2.11</v>
      </c>
      <c r="Y37">
        <v>0</v>
      </c>
      <c r="Z37">
        <v>0</v>
      </c>
      <c r="AA37">
        <v>0</v>
      </c>
      <c r="AB37">
        <v>0</v>
      </c>
      <c r="AC37">
        <v>2.11</v>
      </c>
      <c r="AD37">
        <v>0</v>
      </c>
      <c r="AE37">
        <v>0</v>
      </c>
      <c r="AF37">
        <v>0</v>
      </c>
      <c r="AG37">
        <v>1</v>
      </c>
      <c r="AH37">
        <v>2.11</v>
      </c>
      <c r="AI37">
        <v>3.5</v>
      </c>
      <c r="AJ37">
        <v>2.11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2.11</v>
      </c>
      <c r="AQ37">
        <v>0</v>
      </c>
      <c r="AR37">
        <v>0</v>
      </c>
      <c r="AS37">
        <v>1</v>
      </c>
      <c r="AT37">
        <v>2.11</v>
      </c>
      <c r="AU37">
        <v>0</v>
      </c>
      <c r="AV37">
        <v>0</v>
      </c>
      <c r="AW37">
        <v>2.1099998950958252</v>
      </c>
      <c r="AX37">
        <v>0</v>
      </c>
      <c r="AY37">
        <v>0</v>
      </c>
      <c r="AZ37">
        <v>2.0099999904632568</v>
      </c>
      <c r="BA37">
        <v>0.10000000149011611</v>
      </c>
      <c r="BB37">
        <v>0</v>
      </c>
      <c r="BC37">
        <v>2.0099999904632568</v>
      </c>
      <c r="BD37">
        <v>0.10000000149011611</v>
      </c>
      <c r="BE37">
        <v>0.95260663418413605</v>
      </c>
      <c r="BF37">
        <v>4.7393365815863911E-2</v>
      </c>
      <c r="BG37">
        <v>150</v>
      </c>
      <c r="BH37">
        <v>0</v>
      </c>
      <c r="BI37">
        <v>2.0099999904632568</v>
      </c>
      <c r="BJ37">
        <v>0.10000000149011611</v>
      </c>
      <c r="BK37">
        <v>0</v>
      </c>
      <c r="BL37">
        <v>0</v>
      </c>
      <c r="BM37">
        <v>0</v>
      </c>
      <c r="BP37">
        <v>0</v>
      </c>
      <c r="BQ37">
        <v>0</v>
      </c>
      <c r="BT37">
        <v>0</v>
      </c>
      <c r="BU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25">
      <c r="A38">
        <v>37</v>
      </c>
      <c r="B38" t="s">
        <v>254</v>
      </c>
      <c r="C38" t="s">
        <v>255</v>
      </c>
      <c r="D38" t="s">
        <v>256</v>
      </c>
      <c r="E38" t="s">
        <v>257</v>
      </c>
      <c r="F38" t="s">
        <v>176</v>
      </c>
      <c r="G38">
        <v>1</v>
      </c>
      <c r="H38">
        <v>1</v>
      </c>
      <c r="I38">
        <v>668</v>
      </c>
      <c r="J38">
        <v>0</v>
      </c>
      <c r="K38">
        <v>0</v>
      </c>
      <c r="L38">
        <v>3386.3</v>
      </c>
      <c r="M38">
        <v>3536.4</v>
      </c>
      <c r="N38">
        <v>1759.6</v>
      </c>
      <c r="O38">
        <v>1501.9</v>
      </c>
      <c r="P38">
        <v>3431.5</v>
      </c>
      <c r="Q38">
        <v>0</v>
      </c>
      <c r="R38">
        <v>0</v>
      </c>
      <c r="S38">
        <v>0</v>
      </c>
      <c r="T38">
        <v>0</v>
      </c>
      <c r="U38">
        <v>0</v>
      </c>
      <c r="V38">
        <v>0.79</v>
      </c>
      <c r="W38">
        <v>3.5</v>
      </c>
      <c r="X38">
        <v>0.79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1</v>
      </c>
      <c r="AH38">
        <v>0.79</v>
      </c>
      <c r="AI38">
        <v>3.5</v>
      </c>
      <c r="AJ38">
        <v>0.78999999999999992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0.78999999999999992</v>
      </c>
      <c r="AR38">
        <v>0</v>
      </c>
      <c r="AS38">
        <v>0</v>
      </c>
      <c r="AT38">
        <v>0.79</v>
      </c>
      <c r="AU38">
        <v>0</v>
      </c>
      <c r="AV38">
        <v>0</v>
      </c>
      <c r="AW38">
        <v>0.79000002145767212</v>
      </c>
      <c r="AX38">
        <v>0</v>
      </c>
      <c r="AY38">
        <v>0</v>
      </c>
      <c r="AZ38">
        <v>0</v>
      </c>
      <c r="BA38">
        <v>0.79000002145767212</v>
      </c>
      <c r="BB38">
        <v>0</v>
      </c>
      <c r="BC38">
        <v>0</v>
      </c>
      <c r="BD38">
        <v>0.79000002145767212</v>
      </c>
      <c r="BE38">
        <v>0</v>
      </c>
      <c r="BF38">
        <v>1</v>
      </c>
      <c r="BG38">
        <v>150</v>
      </c>
      <c r="BH38">
        <v>0</v>
      </c>
      <c r="BI38">
        <v>0</v>
      </c>
      <c r="BJ38">
        <v>0.79000002145767212</v>
      </c>
      <c r="BK38">
        <v>0</v>
      </c>
      <c r="BL38">
        <v>0</v>
      </c>
      <c r="BM38">
        <v>0</v>
      </c>
      <c r="BP38">
        <v>0</v>
      </c>
      <c r="BQ38">
        <v>0</v>
      </c>
      <c r="BT38">
        <v>0</v>
      </c>
      <c r="BU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1:96" x14ac:dyDescent="0.25">
      <c r="A39">
        <v>38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>
        <v>2</v>
      </c>
      <c r="H39">
        <v>2</v>
      </c>
      <c r="I39">
        <v>1716</v>
      </c>
      <c r="J39">
        <v>0</v>
      </c>
      <c r="K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5.61</v>
      </c>
      <c r="W39">
        <v>3</v>
      </c>
      <c r="X39">
        <v>0</v>
      </c>
      <c r="Y39">
        <v>0</v>
      </c>
      <c r="Z39">
        <v>0</v>
      </c>
      <c r="AA39">
        <v>0</v>
      </c>
      <c r="AB39">
        <v>5.61</v>
      </c>
      <c r="AC39">
        <v>0</v>
      </c>
      <c r="AD39">
        <v>0</v>
      </c>
      <c r="AE39">
        <v>0</v>
      </c>
      <c r="AF39">
        <v>5.61</v>
      </c>
      <c r="AG39">
        <v>0</v>
      </c>
      <c r="AH39">
        <v>5.61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5.6099999999999959</v>
      </c>
      <c r="AO39">
        <v>0</v>
      </c>
      <c r="AP39">
        <v>0</v>
      </c>
      <c r="AQ39">
        <v>0</v>
      </c>
      <c r="AR39">
        <v>5.6099999999999959</v>
      </c>
      <c r="AS39">
        <v>0</v>
      </c>
      <c r="AT39">
        <v>5.61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150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P39">
        <v>0</v>
      </c>
      <c r="BQ39">
        <v>0</v>
      </c>
      <c r="BT39">
        <v>0</v>
      </c>
      <c r="BU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1:96" x14ac:dyDescent="0.25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105</v>
      </c>
      <c r="G40">
        <v>2</v>
      </c>
      <c r="H40">
        <v>1</v>
      </c>
      <c r="I40">
        <v>1057</v>
      </c>
      <c r="J40">
        <v>0</v>
      </c>
      <c r="K40">
        <v>1</v>
      </c>
      <c r="L40">
        <v>2640.6</v>
      </c>
      <c r="M40">
        <v>1440.1</v>
      </c>
      <c r="N40">
        <v>3946.6</v>
      </c>
      <c r="O40">
        <v>946.5</v>
      </c>
      <c r="P40">
        <v>4542.3999999999996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1.39</v>
      </c>
      <c r="W40">
        <v>3</v>
      </c>
      <c r="X40">
        <v>0</v>
      </c>
      <c r="Y40">
        <v>0</v>
      </c>
      <c r="Z40">
        <v>0</v>
      </c>
      <c r="AA40">
        <v>1.39</v>
      </c>
      <c r="AB40">
        <v>0</v>
      </c>
      <c r="AC40">
        <v>0</v>
      </c>
      <c r="AD40">
        <v>0</v>
      </c>
      <c r="AE40">
        <v>0</v>
      </c>
      <c r="AF40">
        <v>1.39</v>
      </c>
      <c r="AG40">
        <v>0</v>
      </c>
      <c r="AH40">
        <v>1.39</v>
      </c>
      <c r="AI40">
        <v>3</v>
      </c>
      <c r="AJ40">
        <v>1.39</v>
      </c>
      <c r="AK40">
        <v>0</v>
      </c>
      <c r="AL40">
        <v>0</v>
      </c>
      <c r="AM40">
        <v>0</v>
      </c>
      <c r="AN40">
        <v>0</v>
      </c>
      <c r="AO40">
        <v>1.39</v>
      </c>
      <c r="AP40">
        <v>0</v>
      </c>
      <c r="AQ40">
        <v>0</v>
      </c>
      <c r="AR40">
        <v>0</v>
      </c>
      <c r="AS40">
        <v>1</v>
      </c>
      <c r="AT40">
        <v>1.39</v>
      </c>
      <c r="AU40">
        <v>0</v>
      </c>
      <c r="AV40">
        <v>0</v>
      </c>
      <c r="AW40">
        <v>1.389999985694885</v>
      </c>
      <c r="AX40">
        <v>0</v>
      </c>
      <c r="AY40">
        <v>0.40000000596046448</v>
      </c>
      <c r="AZ40">
        <v>0.49000000953674322</v>
      </c>
      <c r="BA40">
        <v>0.5</v>
      </c>
      <c r="BB40">
        <v>0</v>
      </c>
      <c r="BC40">
        <v>0.89000001549720764</v>
      </c>
      <c r="BD40">
        <v>0.5</v>
      </c>
      <c r="BE40">
        <v>0.64028777379462953</v>
      </c>
      <c r="BF40">
        <v>0.35971222620537052</v>
      </c>
      <c r="BG40">
        <v>150</v>
      </c>
      <c r="BH40">
        <v>0.40000000596046448</v>
      </c>
      <c r="BI40">
        <v>0.49000000953674322</v>
      </c>
      <c r="BJ40">
        <v>0.5</v>
      </c>
      <c r="BK40">
        <v>0</v>
      </c>
      <c r="BL40">
        <v>0</v>
      </c>
      <c r="BM40">
        <v>0</v>
      </c>
      <c r="BP40">
        <v>1</v>
      </c>
      <c r="BQ40">
        <v>1</v>
      </c>
      <c r="BR40">
        <v>2024</v>
      </c>
      <c r="BS40">
        <v>1</v>
      </c>
      <c r="BT40">
        <v>1</v>
      </c>
      <c r="BU40">
        <v>1</v>
      </c>
      <c r="BV40">
        <v>2024</v>
      </c>
      <c r="BW40">
        <v>2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25">
      <c r="A41">
        <v>40</v>
      </c>
      <c r="B41" t="s">
        <v>267</v>
      </c>
      <c r="C41" t="s">
        <v>268</v>
      </c>
      <c r="D41" t="s">
        <v>269</v>
      </c>
      <c r="E41" t="s">
        <v>194</v>
      </c>
      <c r="F41" t="s">
        <v>100</v>
      </c>
      <c r="G41">
        <v>1</v>
      </c>
      <c r="H41">
        <v>1</v>
      </c>
      <c r="I41">
        <v>1874</v>
      </c>
      <c r="J41">
        <v>0</v>
      </c>
      <c r="K41">
        <v>1</v>
      </c>
      <c r="L41">
        <v>2875.3</v>
      </c>
      <c r="M41">
        <v>2807.9</v>
      </c>
      <c r="N41">
        <v>4548</v>
      </c>
      <c r="O41">
        <v>991.5</v>
      </c>
      <c r="P41">
        <v>2685.1</v>
      </c>
      <c r="Q41">
        <v>0</v>
      </c>
      <c r="R41">
        <v>0</v>
      </c>
      <c r="S41">
        <v>0</v>
      </c>
      <c r="T41">
        <v>0</v>
      </c>
      <c r="U41">
        <v>0</v>
      </c>
      <c r="V41">
        <v>2.1</v>
      </c>
      <c r="W41">
        <v>3</v>
      </c>
      <c r="X41">
        <v>2.1</v>
      </c>
      <c r="Y41">
        <v>0</v>
      </c>
      <c r="Z41">
        <v>0</v>
      </c>
      <c r="AA41">
        <v>0</v>
      </c>
      <c r="AB41">
        <v>0</v>
      </c>
      <c r="AC41">
        <v>2.1</v>
      </c>
      <c r="AD41">
        <v>0</v>
      </c>
      <c r="AE41">
        <v>0</v>
      </c>
      <c r="AF41">
        <v>0</v>
      </c>
      <c r="AG41">
        <v>1</v>
      </c>
      <c r="AH41">
        <v>2.1</v>
      </c>
      <c r="AI41">
        <v>3</v>
      </c>
      <c r="AJ41">
        <v>2.100000000000001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2.100000000000001</v>
      </c>
      <c r="AQ41">
        <v>0</v>
      </c>
      <c r="AR41">
        <v>0</v>
      </c>
      <c r="AS41">
        <v>1</v>
      </c>
      <c r="AT41">
        <v>2.1</v>
      </c>
      <c r="AU41">
        <v>0</v>
      </c>
      <c r="AV41">
        <v>0</v>
      </c>
      <c r="AW41">
        <v>2.0999999046325679</v>
      </c>
      <c r="AX41">
        <v>0</v>
      </c>
      <c r="AY41">
        <v>0.89999997615814209</v>
      </c>
      <c r="AZ41">
        <v>1.200000047683716</v>
      </c>
      <c r="BA41">
        <v>0</v>
      </c>
      <c r="BB41">
        <v>0</v>
      </c>
      <c r="BC41">
        <v>2.1000000238418579</v>
      </c>
      <c r="BD41">
        <v>0</v>
      </c>
      <c r="BE41">
        <v>1</v>
      </c>
      <c r="BF41">
        <v>0</v>
      </c>
      <c r="BG41">
        <v>150</v>
      </c>
      <c r="BH41">
        <v>0.89999997615814209</v>
      </c>
      <c r="BI41">
        <v>1.200000047683716</v>
      </c>
      <c r="BJ41">
        <v>0</v>
      </c>
      <c r="BK41">
        <v>0</v>
      </c>
      <c r="BL41">
        <v>1</v>
      </c>
      <c r="BM41">
        <v>1</v>
      </c>
      <c r="BN41">
        <v>2023</v>
      </c>
      <c r="BO41">
        <v>1</v>
      </c>
      <c r="BP41">
        <v>1</v>
      </c>
      <c r="BQ41">
        <v>1</v>
      </c>
      <c r="BR41">
        <v>2023</v>
      </c>
      <c r="BS41">
        <v>2</v>
      </c>
      <c r="BT41">
        <v>1</v>
      </c>
      <c r="BU41">
        <v>2</v>
      </c>
      <c r="BV41">
        <v>2025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25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100</v>
      </c>
      <c r="G42">
        <v>3</v>
      </c>
      <c r="H42">
        <v>1</v>
      </c>
      <c r="I42">
        <v>1903</v>
      </c>
      <c r="J42">
        <v>0</v>
      </c>
      <c r="K42">
        <v>0</v>
      </c>
      <c r="L42">
        <v>3312.2</v>
      </c>
      <c r="M42">
        <v>3299.3</v>
      </c>
      <c r="N42">
        <v>3671.3</v>
      </c>
      <c r="O42">
        <v>922.4</v>
      </c>
      <c r="P42">
        <v>3167.3</v>
      </c>
      <c r="Q42">
        <v>0</v>
      </c>
      <c r="R42">
        <v>0</v>
      </c>
      <c r="S42">
        <v>0</v>
      </c>
      <c r="T42">
        <v>0</v>
      </c>
      <c r="U42">
        <v>0</v>
      </c>
      <c r="V42">
        <v>1.24</v>
      </c>
      <c r="W42">
        <v>3</v>
      </c>
      <c r="X42">
        <v>1.24</v>
      </c>
      <c r="Y42">
        <v>0</v>
      </c>
      <c r="Z42">
        <v>0</v>
      </c>
      <c r="AA42">
        <v>0</v>
      </c>
      <c r="AB42">
        <v>0</v>
      </c>
      <c r="AC42">
        <v>1.24</v>
      </c>
      <c r="AD42">
        <v>0</v>
      </c>
      <c r="AE42">
        <v>0</v>
      </c>
      <c r="AF42">
        <v>0</v>
      </c>
      <c r="AG42">
        <v>1</v>
      </c>
      <c r="AH42">
        <v>1.24</v>
      </c>
      <c r="AI42">
        <v>3</v>
      </c>
      <c r="AJ42">
        <v>1.24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1.24</v>
      </c>
      <c r="AQ42">
        <v>0</v>
      </c>
      <c r="AR42">
        <v>0</v>
      </c>
      <c r="AS42">
        <v>1</v>
      </c>
      <c r="AT42">
        <v>1.24</v>
      </c>
      <c r="AU42">
        <v>0</v>
      </c>
      <c r="AV42">
        <v>0</v>
      </c>
      <c r="AW42">
        <v>1.2400000095367429</v>
      </c>
      <c r="AX42">
        <v>0</v>
      </c>
      <c r="AY42">
        <v>0</v>
      </c>
      <c r="AZ42">
        <v>0.40000000596046448</v>
      </c>
      <c r="BA42">
        <v>0.8399999737739563</v>
      </c>
      <c r="BB42">
        <v>0</v>
      </c>
      <c r="BC42">
        <v>0.40000000596046448</v>
      </c>
      <c r="BD42">
        <v>0.8399999737739563</v>
      </c>
      <c r="BE42">
        <v>0.32258065524011958</v>
      </c>
      <c r="BF42">
        <v>0.67741934475988042</v>
      </c>
      <c r="BG42">
        <v>150</v>
      </c>
      <c r="BH42">
        <v>0</v>
      </c>
      <c r="BI42">
        <v>0.40000000596046448</v>
      </c>
      <c r="BJ42">
        <v>0.8399999737739563</v>
      </c>
      <c r="BK42">
        <v>0</v>
      </c>
      <c r="BL42">
        <v>0</v>
      </c>
      <c r="BM42">
        <v>0</v>
      </c>
      <c r="BP42">
        <v>0</v>
      </c>
      <c r="BQ42">
        <v>0</v>
      </c>
      <c r="BT42">
        <v>0</v>
      </c>
      <c r="BU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25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100</v>
      </c>
      <c r="G43">
        <v>2</v>
      </c>
      <c r="H43">
        <v>1</v>
      </c>
      <c r="I43">
        <v>1164</v>
      </c>
      <c r="J43">
        <v>0</v>
      </c>
      <c r="K43">
        <v>0</v>
      </c>
      <c r="L43">
        <v>4064.3</v>
      </c>
      <c r="M43">
        <v>3949.4</v>
      </c>
      <c r="N43">
        <v>4423.3999999999996</v>
      </c>
      <c r="O43">
        <v>897</v>
      </c>
      <c r="P43">
        <v>3919.4</v>
      </c>
      <c r="Q43">
        <v>0</v>
      </c>
      <c r="R43">
        <v>0</v>
      </c>
      <c r="S43">
        <v>0</v>
      </c>
      <c r="T43">
        <v>0</v>
      </c>
      <c r="U43">
        <v>0</v>
      </c>
      <c r="V43">
        <v>1.63</v>
      </c>
      <c r="W43">
        <v>3</v>
      </c>
      <c r="X43">
        <v>1.63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1.63</v>
      </c>
      <c r="AE43">
        <v>0</v>
      </c>
      <c r="AF43">
        <v>0</v>
      </c>
      <c r="AG43">
        <v>1</v>
      </c>
      <c r="AH43">
        <v>1.63</v>
      </c>
      <c r="AI43">
        <v>3</v>
      </c>
      <c r="AJ43">
        <v>1.63</v>
      </c>
      <c r="AK43">
        <v>0</v>
      </c>
      <c r="AL43">
        <v>0</v>
      </c>
      <c r="AM43">
        <v>0</v>
      </c>
      <c r="AN43">
        <v>0</v>
      </c>
      <c r="AO43">
        <v>0.6</v>
      </c>
      <c r="AP43">
        <v>1.03</v>
      </c>
      <c r="AQ43">
        <v>0</v>
      </c>
      <c r="AR43">
        <v>0</v>
      </c>
      <c r="AS43">
        <v>1</v>
      </c>
      <c r="AT43">
        <v>1.63</v>
      </c>
      <c r="AU43">
        <v>0</v>
      </c>
      <c r="AV43">
        <v>0</v>
      </c>
      <c r="AW43">
        <v>1.629999995231628</v>
      </c>
      <c r="AX43">
        <v>0</v>
      </c>
      <c r="AY43">
        <v>0.60000002384185791</v>
      </c>
      <c r="AZ43">
        <v>1.029999971389771</v>
      </c>
      <c r="BA43">
        <v>0</v>
      </c>
      <c r="BB43">
        <v>0</v>
      </c>
      <c r="BC43">
        <v>1.629999995231628</v>
      </c>
      <c r="BD43">
        <v>0</v>
      </c>
      <c r="BE43">
        <v>1</v>
      </c>
      <c r="BF43">
        <v>0</v>
      </c>
      <c r="BG43">
        <v>150</v>
      </c>
      <c r="BH43">
        <v>0.60000002384185791</v>
      </c>
      <c r="BI43">
        <v>1.029999971389771</v>
      </c>
      <c r="BJ43">
        <v>0</v>
      </c>
      <c r="BK43">
        <v>0</v>
      </c>
      <c r="BL43">
        <v>0</v>
      </c>
      <c r="BM43">
        <v>0</v>
      </c>
      <c r="BP43">
        <v>0</v>
      </c>
      <c r="BQ43">
        <v>0</v>
      </c>
      <c r="BT43">
        <v>0</v>
      </c>
      <c r="BU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25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176</v>
      </c>
      <c r="G44">
        <v>2</v>
      </c>
      <c r="H44">
        <v>1</v>
      </c>
      <c r="I44">
        <v>743</v>
      </c>
      <c r="J44">
        <v>0</v>
      </c>
      <c r="K44">
        <v>0</v>
      </c>
      <c r="L44">
        <v>3233.4</v>
      </c>
      <c r="M44">
        <v>3264.1</v>
      </c>
      <c r="N44">
        <v>10405.200000000001</v>
      </c>
      <c r="O44">
        <v>1686.5</v>
      </c>
      <c r="P44">
        <v>12077.1</v>
      </c>
      <c r="Q44">
        <v>0</v>
      </c>
      <c r="R44">
        <v>0</v>
      </c>
      <c r="S44">
        <v>0</v>
      </c>
      <c r="T44">
        <v>0</v>
      </c>
      <c r="U44">
        <v>0</v>
      </c>
      <c r="V44">
        <v>1.32</v>
      </c>
      <c r="W44">
        <v>3</v>
      </c>
      <c r="X44">
        <v>1.32</v>
      </c>
      <c r="Y44">
        <v>0</v>
      </c>
      <c r="Z44">
        <v>0</v>
      </c>
      <c r="AA44">
        <v>0</v>
      </c>
      <c r="AB44">
        <v>0</v>
      </c>
      <c r="AC44">
        <v>1.32</v>
      </c>
      <c r="AD44">
        <v>0</v>
      </c>
      <c r="AE44">
        <v>0</v>
      </c>
      <c r="AF44">
        <v>0</v>
      </c>
      <c r="AG44">
        <v>1</v>
      </c>
      <c r="AH44">
        <v>1.32</v>
      </c>
      <c r="AI44">
        <v>3</v>
      </c>
      <c r="AJ44">
        <v>1.32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1.32</v>
      </c>
      <c r="AQ44">
        <v>0</v>
      </c>
      <c r="AR44">
        <v>0</v>
      </c>
      <c r="AS44">
        <v>1</v>
      </c>
      <c r="AT44">
        <v>1.32</v>
      </c>
      <c r="AU44">
        <v>0</v>
      </c>
      <c r="AV44">
        <v>0</v>
      </c>
      <c r="AW44">
        <v>1.320000052452087</v>
      </c>
      <c r="AX44">
        <v>0</v>
      </c>
      <c r="AY44">
        <v>0.20000000298023221</v>
      </c>
      <c r="AZ44">
        <v>0.92000001668930054</v>
      </c>
      <c r="BA44">
        <v>0.20000000298023221</v>
      </c>
      <c r="BB44">
        <v>0</v>
      </c>
      <c r="BC44">
        <v>1.120000019669533</v>
      </c>
      <c r="BD44">
        <v>0.20000000298023221</v>
      </c>
      <c r="BE44">
        <v>0.84848484882693209</v>
      </c>
      <c r="BF44">
        <v>0.15151515117306791</v>
      </c>
      <c r="BG44">
        <v>150</v>
      </c>
      <c r="BH44">
        <v>0.20000000298023221</v>
      </c>
      <c r="BI44">
        <v>0.92000001668930054</v>
      </c>
      <c r="BJ44">
        <v>0.20000000298023221</v>
      </c>
      <c r="BK44">
        <v>0</v>
      </c>
      <c r="BL44">
        <v>1</v>
      </c>
      <c r="BM44">
        <v>1</v>
      </c>
      <c r="BN44">
        <v>2023</v>
      </c>
      <c r="BO44">
        <v>1</v>
      </c>
      <c r="BP44">
        <v>1</v>
      </c>
      <c r="BQ44">
        <v>2</v>
      </c>
      <c r="BR44">
        <v>2024</v>
      </c>
      <c r="BS44">
        <v>1</v>
      </c>
      <c r="BT44">
        <v>1</v>
      </c>
      <c r="BU44">
        <v>2</v>
      </c>
      <c r="BV44">
        <v>2024</v>
      </c>
      <c r="BW44">
        <v>2</v>
      </c>
      <c r="BX44">
        <v>0</v>
      </c>
      <c r="BY44">
        <v>0</v>
      </c>
      <c r="BZ44">
        <v>1</v>
      </c>
      <c r="CA44">
        <v>1</v>
      </c>
      <c r="CB44">
        <v>0</v>
      </c>
      <c r="CC44">
        <v>0</v>
      </c>
      <c r="CD44">
        <v>0</v>
      </c>
      <c r="CE44">
        <v>1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25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185</v>
      </c>
      <c r="G45">
        <v>1</v>
      </c>
      <c r="H45">
        <v>1</v>
      </c>
      <c r="I45">
        <v>330</v>
      </c>
      <c r="J45">
        <v>0</v>
      </c>
      <c r="K45">
        <v>0</v>
      </c>
      <c r="L45">
        <v>3131.6</v>
      </c>
      <c r="M45">
        <v>5196.5</v>
      </c>
      <c r="N45">
        <v>11050</v>
      </c>
      <c r="O45">
        <v>1557.1</v>
      </c>
      <c r="P45">
        <v>41329.599999999999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2.33</v>
      </c>
      <c r="W45">
        <v>4</v>
      </c>
      <c r="X45">
        <v>0</v>
      </c>
      <c r="Y45">
        <v>0</v>
      </c>
      <c r="Z45">
        <v>0</v>
      </c>
      <c r="AA45">
        <v>2.33</v>
      </c>
      <c r="AB45">
        <v>0</v>
      </c>
      <c r="AC45">
        <v>0</v>
      </c>
      <c r="AD45">
        <v>0</v>
      </c>
      <c r="AE45">
        <v>0</v>
      </c>
      <c r="AF45">
        <v>2.33</v>
      </c>
      <c r="AG45">
        <v>0</v>
      </c>
      <c r="AH45">
        <v>2.33</v>
      </c>
      <c r="AI45">
        <v>4</v>
      </c>
      <c r="AJ45">
        <v>0</v>
      </c>
      <c r="AK45">
        <v>0</v>
      </c>
      <c r="AL45">
        <v>0</v>
      </c>
      <c r="AM45">
        <v>2.330000000000001</v>
      </c>
      <c r="AN45">
        <v>0</v>
      </c>
      <c r="AO45">
        <v>0</v>
      </c>
      <c r="AP45">
        <v>0</v>
      </c>
      <c r="AQ45">
        <v>0</v>
      </c>
      <c r="AR45">
        <v>2.330000000000001</v>
      </c>
      <c r="AS45">
        <v>0</v>
      </c>
      <c r="AT45">
        <v>2.33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150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2023</v>
      </c>
      <c r="BO45">
        <v>1</v>
      </c>
      <c r="BP45">
        <v>1</v>
      </c>
      <c r="BQ45">
        <v>2</v>
      </c>
      <c r="BR45">
        <v>2024</v>
      </c>
      <c r="BS45">
        <v>1</v>
      </c>
      <c r="BT45">
        <v>1</v>
      </c>
      <c r="BU45">
        <v>2</v>
      </c>
      <c r="BV45">
        <v>2024</v>
      </c>
      <c r="BW45">
        <v>2</v>
      </c>
      <c r="BX45">
        <v>0</v>
      </c>
      <c r="BY45">
        <v>0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25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176</v>
      </c>
      <c r="G46">
        <v>2</v>
      </c>
      <c r="H46">
        <v>1</v>
      </c>
      <c r="I46">
        <v>459</v>
      </c>
      <c r="J46">
        <v>0</v>
      </c>
      <c r="K46">
        <v>0</v>
      </c>
      <c r="L46">
        <v>1554.6</v>
      </c>
      <c r="M46">
        <v>1585.3</v>
      </c>
      <c r="N46">
        <v>6402</v>
      </c>
      <c r="O46">
        <v>1197.5</v>
      </c>
      <c r="P46">
        <v>8073.9</v>
      </c>
      <c r="Q46">
        <v>0</v>
      </c>
      <c r="R46">
        <v>0</v>
      </c>
      <c r="S46">
        <v>0</v>
      </c>
      <c r="T46">
        <v>0</v>
      </c>
      <c r="U46">
        <v>0</v>
      </c>
      <c r="V46">
        <v>0.82</v>
      </c>
      <c r="W46">
        <v>3.5</v>
      </c>
      <c r="X46">
        <v>0</v>
      </c>
      <c r="Y46">
        <v>0</v>
      </c>
      <c r="Z46">
        <v>0</v>
      </c>
      <c r="AA46">
        <v>0.82</v>
      </c>
      <c r="AB46">
        <v>0</v>
      </c>
      <c r="AC46">
        <v>0</v>
      </c>
      <c r="AD46">
        <v>0</v>
      </c>
      <c r="AE46">
        <v>0</v>
      </c>
      <c r="AF46">
        <v>0.82</v>
      </c>
      <c r="AG46">
        <v>0</v>
      </c>
      <c r="AH46">
        <v>0.82</v>
      </c>
      <c r="AI46">
        <v>3.5</v>
      </c>
      <c r="AJ46">
        <v>0</v>
      </c>
      <c r="AK46">
        <v>0</v>
      </c>
      <c r="AL46">
        <v>0</v>
      </c>
      <c r="AM46">
        <v>0.82</v>
      </c>
      <c r="AN46">
        <v>0</v>
      </c>
      <c r="AO46">
        <v>0</v>
      </c>
      <c r="AP46">
        <v>0</v>
      </c>
      <c r="AQ46">
        <v>0</v>
      </c>
      <c r="AR46">
        <v>0.82</v>
      </c>
      <c r="AS46">
        <v>0</v>
      </c>
      <c r="AT46">
        <v>0.82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150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P46">
        <v>0</v>
      </c>
      <c r="BQ46">
        <v>0</v>
      </c>
      <c r="BT46">
        <v>0</v>
      </c>
      <c r="BU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1</v>
      </c>
    </row>
    <row r="47" spans="1:96" x14ac:dyDescent="0.2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176</v>
      </c>
      <c r="G47">
        <v>2</v>
      </c>
      <c r="H47">
        <v>1</v>
      </c>
      <c r="I47">
        <v>527</v>
      </c>
      <c r="J47">
        <v>0</v>
      </c>
      <c r="K47">
        <v>0</v>
      </c>
      <c r="L47">
        <v>4542.8</v>
      </c>
      <c r="M47">
        <v>4573.5</v>
      </c>
      <c r="N47">
        <v>11710.7</v>
      </c>
      <c r="O47">
        <v>2035.2</v>
      </c>
      <c r="P47">
        <v>13382.6</v>
      </c>
      <c r="Q47">
        <v>0</v>
      </c>
      <c r="R47">
        <v>0</v>
      </c>
      <c r="S47">
        <v>0</v>
      </c>
      <c r="T47">
        <v>0</v>
      </c>
      <c r="U47">
        <v>0</v>
      </c>
      <c r="V47">
        <v>1.61</v>
      </c>
      <c r="W47">
        <v>3.5</v>
      </c>
      <c r="X47">
        <v>1.61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1.61</v>
      </c>
      <c r="AG47">
        <v>0</v>
      </c>
      <c r="AH47">
        <v>1.61</v>
      </c>
      <c r="AI47">
        <v>3</v>
      </c>
      <c r="AJ47">
        <v>1.61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1.61</v>
      </c>
      <c r="AS47">
        <v>0</v>
      </c>
      <c r="AT47">
        <v>1.61</v>
      </c>
      <c r="AU47">
        <v>0</v>
      </c>
      <c r="AV47">
        <v>0</v>
      </c>
      <c r="AW47">
        <v>1.610000014305115</v>
      </c>
      <c r="AX47">
        <v>0</v>
      </c>
      <c r="AY47">
        <v>0</v>
      </c>
      <c r="AZ47">
        <v>0</v>
      </c>
      <c r="BA47">
        <v>0</v>
      </c>
      <c r="BB47">
        <v>1.610000014305115</v>
      </c>
      <c r="BC47">
        <v>0</v>
      </c>
      <c r="BD47">
        <v>1.610000014305115</v>
      </c>
      <c r="BE47">
        <v>0</v>
      </c>
      <c r="BF47">
        <v>1</v>
      </c>
      <c r="BG47">
        <v>150</v>
      </c>
      <c r="BH47">
        <v>0</v>
      </c>
      <c r="BI47">
        <v>0</v>
      </c>
      <c r="BJ47">
        <v>0</v>
      </c>
      <c r="BK47">
        <v>1.610000014305115</v>
      </c>
      <c r="BL47">
        <v>0</v>
      </c>
      <c r="BM47">
        <v>0</v>
      </c>
      <c r="BP47">
        <v>0</v>
      </c>
      <c r="BQ47">
        <v>0</v>
      </c>
      <c r="BT47">
        <v>0</v>
      </c>
      <c r="BU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25">
      <c r="A48">
        <v>47</v>
      </c>
      <c r="B48" t="s">
        <v>294</v>
      </c>
      <c r="C48" t="s">
        <v>295</v>
      </c>
      <c r="D48" t="s">
        <v>296</v>
      </c>
      <c r="E48" t="s">
        <v>297</v>
      </c>
      <c r="F48" t="s">
        <v>176</v>
      </c>
      <c r="G48">
        <v>2</v>
      </c>
      <c r="H48">
        <v>1</v>
      </c>
      <c r="I48">
        <v>751</v>
      </c>
      <c r="J48">
        <v>0</v>
      </c>
      <c r="K48">
        <v>0</v>
      </c>
      <c r="L48">
        <v>1424.6</v>
      </c>
      <c r="M48">
        <v>1455.3</v>
      </c>
      <c r="N48">
        <v>8596.5</v>
      </c>
      <c r="O48">
        <v>1082.9000000000001</v>
      </c>
      <c r="P48">
        <v>10268.4</v>
      </c>
      <c r="Q48">
        <v>0</v>
      </c>
      <c r="R48">
        <v>0</v>
      </c>
      <c r="S48">
        <v>0</v>
      </c>
      <c r="T48">
        <v>0</v>
      </c>
      <c r="U48">
        <v>0</v>
      </c>
      <c r="V48">
        <v>2.1800000000000002</v>
      </c>
      <c r="W48">
        <v>3</v>
      </c>
      <c r="X48">
        <v>2.1800000000000002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1.98</v>
      </c>
      <c r="AE48">
        <v>0.2</v>
      </c>
      <c r="AF48">
        <v>0</v>
      </c>
      <c r="AG48">
        <v>0.90825688073394484</v>
      </c>
      <c r="AH48">
        <v>2.1800000000000002</v>
      </c>
      <c r="AI48">
        <v>3</v>
      </c>
      <c r="AJ48">
        <v>2.180000000000001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1.9800000000000011</v>
      </c>
      <c r="AQ48">
        <v>0.2</v>
      </c>
      <c r="AR48">
        <v>0</v>
      </c>
      <c r="AS48">
        <v>0.90825688073394495</v>
      </c>
      <c r="AT48">
        <v>2.1800000000000002</v>
      </c>
      <c r="AU48">
        <v>0</v>
      </c>
      <c r="AV48">
        <v>0</v>
      </c>
      <c r="AW48">
        <v>2.1800000667572021</v>
      </c>
      <c r="AX48">
        <v>0</v>
      </c>
      <c r="AY48">
        <v>0</v>
      </c>
      <c r="AZ48">
        <v>1.679999947547913</v>
      </c>
      <c r="BA48">
        <v>0.5</v>
      </c>
      <c r="BB48">
        <v>0</v>
      </c>
      <c r="BC48">
        <v>1.679999947547913</v>
      </c>
      <c r="BD48">
        <v>0.5</v>
      </c>
      <c r="BE48">
        <v>0.7706421963163782</v>
      </c>
      <c r="BF48">
        <v>0.2293578036836218</v>
      </c>
      <c r="BG48">
        <v>150</v>
      </c>
      <c r="BH48">
        <v>0</v>
      </c>
      <c r="BI48">
        <v>1.679999947547913</v>
      </c>
      <c r="BJ48">
        <v>0.5</v>
      </c>
      <c r="BK48">
        <v>0</v>
      </c>
      <c r="BL48">
        <v>1</v>
      </c>
      <c r="BM48">
        <v>2</v>
      </c>
      <c r="BN48">
        <v>2023</v>
      </c>
      <c r="BO48">
        <v>1</v>
      </c>
      <c r="BP48">
        <v>1</v>
      </c>
      <c r="BQ48">
        <v>2</v>
      </c>
      <c r="BR48">
        <v>2023</v>
      </c>
      <c r="BS48">
        <v>2</v>
      </c>
      <c r="BT48">
        <v>1</v>
      </c>
      <c r="BU48">
        <v>2</v>
      </c>
      <c r="BV48">
        <v>2023</v>
      </c>
      <c r="BW48">
        <v>3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1:96" x14ac:dyDescent="0.25">
      <c r="A49">
        <v>48</v>
      </c>
      <c r="B49" t="s">
        <v>298</v>
      </c>
      <c r="C49" t="s">
        <v>299</v>
      </c>
      <c r="D49" t="s">
        <v>300</v>
      </c>
      <c r="E49" t="s">
        <v>301</v>
      </c>
      <c r="F49" t="s">
        <v>176</v>
      </c>
      <c r="G49">
        <v>2</v>
      </c>
      <c r="H49">
        <v>1</v>
      </c>
      <c r="I49">
        <v>643</v>
      </c>
      <c r="J49">
        <v>0</v>
      </c>
      <c r="K49">
        <v>0</v>
      </c>
      <c r="L49">
        <v>1284.0999999999999</v>
      </c>
      <c r="M49">
        <v>1314.8</v>
      </c>
      <c r="N49">
        <v>6603.6</v>
      </c>
      <c r="O49">
        <v>516.5</v>
      </c>
      <c r="P49">
        <v>8275.5</v>
      </c>
      <c r="Q49">
        <v>0</v>
      </c>
      <c r="R49">
        <v>0</v>
      </c>
      <c r="S49">
        <v>0</v>
      </c>
      <c r="T49">
        <v>0</v>
      </c>
      <c r="U49">
        <v>0</v>
      </c>
      <c r="V49">
        <v>0.55000000000000004</v>
      </c>
      <c r="W49">
        <v>3.5</v>
      </c>
      <c r="X49">
        <v>0</v>
      </c>
      <c r="Y49">
        <v>0</v>
      </c>
      <c r="Z49">
        <v>0</v>
      </c>
      <c r="AA49">
        <v>0.55000000000000004</v>
      </c>
      <c r="AB49">
        <v>0</v>
      </c>
      <c r="AC49">
        <v>0</v>
      </c>
      <c r="AD49">
        <v>0</v>
      </c>
      <c r="AE49">
        <v>0</v>
      </c>
      <c r="AF49">
        <v>0.55000000000000004</v>
      </c>
      <c r="AG49">
        <v>0</v>
      </c>
      <c r="AH49">
        <v>0.55000000000000004</v>
      </c>
      <c r="AI49">
        <v>3.5</v>
      </c>
      <c r="AJ49">
        <v>0.55000000000000004</v>
      </c>
      <c r="AK49">
        <v>0</v>
      </c>
      <c r="AL49">
        <v>0</v>
      </c>
      <c r="AM49">
        <v>0</v>
      </c>
      <c r="AN49">
        <v>0</v>
      </c>
      <c r="AO49">
        <v>0.55000000000000004</v>
      </c>
      <c r="AP49">
        <v>0</v>
      </c>
      <c r="AQ49">
        <v>0</v>
      </c>
      <c r="AR49">
        <v>0</v>
      </c>
      <c r="AS49">
        <v>1</v>
      </c>
      <c r="AT49">
        <v>0.55000000000000004</v>
      </c>
      <c r="AU49">
        <v>0</v>
      </c>
      <c r="AV49">
        <v>0</v>
      </c>
      <c r="AW49">
        <v>0.55000001192092896</v>
      </c>
      <c r="AX49">
        <v>0</v>
      </c>
      <c r="AY49">
        <v>0.44999998807907099</v>
      </c>
      <c r="AZ49">
        <v>0.10000000149011611</v>
      </c>
      <c r="BA49">
        <v>0</v>
      </c>
      <c r="BB49">
        <v>0</v>
      </c>
      <c r="BC49">
        <v>0.54999998956918716</v>
      </c>
      <c r="BD49">
        <v>0</v>
      </c>
      <c r="BE49">
        <v>1</v>
      </c>
      <c r="BF49">
        <v>0</v>
      </c>
      <c r="BG49">
        <v>150</v>
      </c>
      <c r="BH49">
        <v>0.44999998807907099</v>
      </c>
      <c r="BI49">
        <v>0.10000000149011611</v>
      </c>
      <c r="BJ49">
        <v>0</v>
      </c>
      <c r="BK49">
        <v>0</v>
      </c>
      <c r="BL49">
        <v>0</v>
      </c>
      <c r="BM49">
        <v>0</v>
      </c>
      <c r="BP49">
        <v>1</v>
      </c>
      <c r="BQ49">
        <v>1</v>
      </c>
      <c r="BR49">
        <v>2024</v>
      </c>
      <c r="BS49">
        <v>1</v>
      </c>
      <c r="BT49">
        <v>1</v>
      </c>
      <c r="BU49">
        <v>1</v>
      </c>
      <c r="BV49">
        <v>2024</v>
      </c>
      <c r="BW49">
        <v>2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25">
      <c r="A50">
        <v>49</v>
      </c>
      <c r="B50" t="s">
        <v>302</v>
      </c>
      <c r="C50" t="s">
        <v>303</v>
      </c>
      <c r="D50" t="s">
        <v>304</v>
      </c>
      <c r="E50" t="s">
        <v>305</v>
      </c>
      <c r="F50" t="s">
        <v>127</v>
      </c>
      <c r="G50">
        <v>1</v>
      </c>
      <c r="H50">
        <v>1</v>
      </c>
      <c r="I50">
        <v>507</v>
      </c>
      <c r="J50">
        <v>0</v>
      </c>
      <c r="K50">
        <v>0</v>
      </c>
      <c r="L50">
        <v>22881.599999999999</v>
      </c>
      <c r="M50">
        <v>18931.900000000001</v>
      </c>
      <c r="N50">
        <v>25092</v>
      </c>
      <c r="O50">
        <v>4485.5</v>
      </c>
      <c r="P50">
        <v>24994.400000000001</v>
      </c>
      <c r="Q50">
        <v>0</v>
      </c>
      <c r="R50">
        <v>0</v>
      </c>
      <c r="S50">
        <v>0</v>
      </c>
      <c r="T50">
        <v>0</v>
      </c>
      <c r="U50">
        <v>0</v>
      </c>
      <c r="V50">
        <v>4.2699999999999996</v>
      </c>
      <c r="W50">
        <v>3.5</v>
      </c>
      <c r="X50">
        <v>4.2699999999999996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0.6</v>
      </c>
      <c r="AE50">
        <v>0.47</v>
      </c>
      <c r="AF50">
        <v>3.2</v>
      </c>
      <c r="AG50">
        <v>0.14051522248243559</v>
      </c>
      <c r="AH50">
        <v>4.2699999999999996</v>
      </c>
      <c r="AI50">
        <v>3.5</v>
      </c>
      <c r="AJ50">
        <v>4.2700000000000014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0.2</v>
      </c>
      <c r="AQ50">
        <v>0.4</v>
      </c>
      <c r="AR50">
        <v>3.6700000000000021</v>
      </c>
      <c r="AS50">
        <v>4.6838407494145189E-2</v>
      </c>
      <c r="AT50">
        <v>4.2699999999999996</v>
      </c>
      <c r="AU50">
        <v>0.10000000149011611</v>
      </c>
      <c r="AV50">
        <v>0</v>
      </c>
      <c r="AW50">
        <v>4.1700000762939453</v>
      </c>
      <c r="AX50">
        <v>0</v>
      </c>
      <c r="AY50">
        <v>0.60000002384185791</v>
      </c>
      <c r="AZ50">
        <v>0.30000001192092901</v>
      </c>
      <c r="BA50">
        <v>0.40000000596046448</v>
      </c>
      <c r="BB50">
        <v>2.970000028610229</v>
      </c>
      <c r="BC50">
        <v>0.90000003576278687</v>
      </c>
      <c r="BD50">
        <v>3.370000034570694</v>
      </c>
      <c r="BE50">
        <v>0.21077283862725979</v>
      </c>
      <c r="BF50">
        <v>0.78922716137274018</v>
      </c>
      <c r="BG50">
        <v>150</v>
      </c>
      <c r="BH50">
        <v>0.5</v>
      </c>
      <c r="BI50">
        <v>0.30000001192092901</v>
      </c>
      <c r="BJ50">
        <v>0.40000000596046448</v>
      </c>
      <c r="BK50">
        <v>2.970000028610229</v>
      </c>
      <c r="BL50">
        <v>0</v>
      </c>
      <c r="BM50">
        <v>0</v>
      </c>
      <c r="BP50">
        <v>0</v>
      </c>
      <c r="BQ50">
        <v>0</v>
      </c>
      <c r="BT50">
        <v>0</v>
      </c>
      <c r="BU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25">
      <c r="A51">
        <v>50</v>
      </c>
      <c r="B51" t="s">
        <v>306</v>
      </c>
      <c r="C51" t="s">
        <v>307</v>
      </c>
      <c r="D51" t="s">
        <v>308</v>
      </c>
      <c r="E51" t="s">
        <v>309</v>
      </c>
      <c r="F51" t="s">
        <v>310</v>
      </c>
      <c r="G51">
        <v>3</v>
      </c>
      <c r="H51">
        <v>1</v>
      </c>
      <c r="I51">
        <v>1058</v>
      </c>
      <c r="J51">
        <v>1</v>
      </c>
      <c r="K51">
        <v>0</v>
      </c>
      <c r="L51">
        <v>29266.799999999999</v>
      </c>
      <c r="M51">
        <v>5229.2</v>
      </c>
      <c r="N51">
        <v>31477.200000000001</v>
      </c>
      <c r="O51">
        <v>1499.1</v>
      </c>
      <c r="P51">
        <v>31379.5</v>
      </c>
      <c r="Q51">
        <v>0</v>
      </c>
      <c r="R51">
        <v>0</v>
      </c>
      <c r="S51">
        <v>0</v>
      </c>
      <c r="T51">
        <v>0</v>
      </c>
      <c r="U51">
        <v>0</v>
      </c>
      <c r="V51">
        <v>0.61</v>
      </c>
      <c r="W51">
        <v>3.5</v>
      </c>
      <c r="X51">
        <v>0.61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0.21</v>
      </c>
      <c r="AF51">
        <v>0.4</v>
      </c>
      <c r="AG51">
        <v>0</v>
      </c>
      <c r="AH51">
        <v>0.61</v>
      </c>
      <c r="AI51">
        <v>3.5</v>
      </c>
      <c r="AJ51">
        <v>0.61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0.2</v>
      </c>
      <c r="AQ51">
        <v>0</v>
      </c>
      <c r="AR51">
        <v>0.41</v>
      </c>
      <c r="AS51">
        <v>0.32786885245901642</v>
      </c>
      <c r="AT51">
        <v>0.61</v>
      </c>
      <c r="AU51">
        <v>0.2099999934434891</v>
      </c>
      <c r="AV51">
        <v>0</v>
      </c>
      <c r="AW51">
        <v>0.40000000596046448</v>
      </c>
      <c r="AX51">
        <v>0</v>
      </c>
      <c r="AY51">
        <v>0</v>
      </c>
      <c r="AZ51">
        <v>0.2099999934434891</v>
      </c>
      <c r="BA51">
        <v>0</v>
      </c>
      <c r="BB51">
        <v>0.40000000596046448</v>
      </c>
      <c r="BC51">
        <v>0.2099999934434891</v>
      </c>
      <c r="BD51">
        <v>0.40000000596046448</v>
      </c>
      <c r="BE51">
        <v>0.34426228466997599</v>
      </c>
      <c r="BF51">
        <v>0.65573771533002401</v>
      </c>
      <c r="BG51">
        <v>150</v>
      </c>
      <c r="BH51">
        <v>0</v>
      </c>
      <c r="BI51">
        <v>0</v>
      </c>
      <c r="BJ51">
        <v>0</v>
      </c>
      <c r="BK51">
        <v>0.40000000596046448</v>
      </c>
      <c r="BL51">
        <v>0</v>
      </c>
      <c r="BM51">
        <v>0</v>
      </c>
      <c r="BP51">
        <v>0</v>
      </c>
      <c r="BQ51">
        <v>0</v>
      </c>
      <c r="BT51">
        <v>0</v>
      </c>
      <c r="BU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25">
      <c r="A52">
        <v>51</v>
      </c>
      <c r="B52" t="s">
        <v>311</v>
      </c>
      <c r="C52" t="s">
        <v>312</v>
      </c>
      <c r="D52" t="s">
        <v>313</v>
      </c>
      <c r="E52" t="s">
        <v>314</v>
      </c>
      <c r="F52" t="s">
        <v>315</v>
      </c>
      <c r="G52">
        <v>6</v>
      </c>
      <c r="H52">
        <v>1</v>
      </c>
      <c r="I52">
        <v>4606</v>
      </c>
      <c r="J52">
        <v>1</v>
      </c>
      <c r="K52">
        <v>0</v>
      </c>
      <c r="L52">
        <v>1430.4</v>
      </c>
      <c r="M52">
        <v>0</v>
      </c>
      <c r="N52">
        <v>2388.8000000000002</v>
      </c>
      <c r="O52">
        <v>114.3</v>
      </c>
      <c r="P52">
        <v>29002</v>
      </c>
      <c r="Q52">
        <v>0</v>
      </c>
      <c r="R52">
        <v>0</v>
      </c>
      <c r="S52">
        <v>0</v>
      </c>
      <c r="T52">
        <v>0</v>
      </c>
      <c r="U52">
        <v>0</v>
      </c>
      <c r="V52">
        <v>2.86</v>
      </c>
      <c r="W52">
        <v>3.5</v>
      </c>
      <c r="X52">
        <v>2.86</v>
      </c>
      <c r="Y52">
        <v>0</v>
      </c>
      <c r="Z52">
        <v>0</v>
      </c>
      <c r="AA52">
        <v>0</v>
      </c>
      <c r="AB52">
        <v>0</v>
      </c>
      <c r="AC52">
        <v>1.6</v>
      </c>
      <c r="AD52">
        <v>0</v>
      </c>
      <c r="AE52">
        <v>1.06</v>
      </c>
      <c r="AF52">
        <v>0.2</v>
      </c>
      <c r="AG52">
        <v>0.55944055944055937</v>
      </c>
      <c r="AH52">
        <v>2.86</v>
      </c>
      <c r="AI52">
        <v>3.5</v>
      </c>
      <c r="AJ52">
        <v>2.8600000000000012</v>
      </c>
      <c r="AK52">
        <v>0</v>
      </c>
      <c r="AL52">
        <v>0</v>
      </c>
      <c r="AM52">
        <v>0</v>
      </c>
      <c r="AN52">
        <v>0</v>
      </c>
      <c r="AO52">
        <v>1.6</v>
      </c>
      <c r="AP52">
        <v>0</v>
      </c>
      <c r="AQ52">
        <v>1.06</v>
      </c>
      <c r="AR52">
        <v>0.2</v>
      </c>
      <c r="AS52">
        <v>0.55944055944055948</v>
      </c>
      <c r="AT52">
        <v>2.86</v>
      </c>
      <c r="AU52">
        <v>0</v>
      </c>
      <c r="AV52">
        <v>0</v>
      </c>
      <c r="AW52">
        <v>2.8599998950958252</v>
      </c>
      <c r="AX52">
        <v>0</v>
      </c>
      <c r="AY52">
        <v>0.20000000298023221</v>
      </c>
      <c r="AZ52">
        <v>1.299999952316284</v>
      </c>
      <c r="BA52">
        <v>0.30000001192092901</v>
      </c>
      <c r="BB52">
        <v>1.059999942779541</v>
      </c>
      <c r="BC52">
        <v>1.499999955296516</v>
      </c>
      <c r="BD52">
        <v>1.35999995470047</v>
      </c>
      <c r="BE52">
        <v>0.524475525349963</v>
      </c>
      <c r="BF52">
        <v>0.47552447465003689</v>
      </c>
      <c r="BG52">
        <v>150</v>
      </c>
      <c r="BH52">
        <v>0.20000000298023221</v>
      </c>
      <c r="BI52">
        <v>1.299999952316284</v>
      </c>
      <c r="BJ52">
        <v>0.30000001192092901</v>
      </c>
      <c r="BK52">
        <v>1.059999942779541</v>
      </c>
      <c r="BL52">
        <v>1</v>
      </c>
      <c r="BM52">
        <v>1</v>
      </c>
      <c r="BN52">
        <v>2022</v>
      </c>
      <c r="BO52">
        <v>2</v>
      </c>
      <c r="BP52">
        <v>1</v>
      </c>
      <c r="BQ52">
        <v>1</v>
      </c>
      <c r="BR52">
        <v>2022</v>
      </c>
      <c r="BS52">
        <v>3</v>
      </c>
      <c r="BT52">
        <v>1</v>
      </c>
      <c r="BU52">
        <v>1</v>
      </c>
      <c r="BV52">
        <v>2022</v>
      </c>
      <c r="BW52">
        <v>4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1</v>
      </c>
      <c r="CR52">
        <v>0</v>
      </c>
    </row>
    <row r="53" spans="1:96" x14ac:dyDescent="0.25">
      <c r="A53">
        <v>52</v>
      </c>
      <c r="B53" t="s">
        <v>316</v>
      </c>
      <c r="C53" t="s">
        <v>317</v>
      </c>
      <c r="D53" t="s">
        <v>318</v>
      </c>
      <c r="E53" t="s">
        <v>319</v>
      </c>
      <c r="F53" t="s">
        <v>315</v>
      </c>
      <c r="G53">
        <v>3</v>
      </c>
      <c r="H53">
        <v>1</v>
      </c>
      <c r="I53">
        <v>2075</v>
      </c>
      <c r="J53">
        <v>0</v>
      </c>
      <c r="K53">
        <v>0</v>
      </c>
      <c r="L53">
        <v>1135.9000000000001</v>
      </c>
      <c r="M53">
        <v>1027.3</v>
      </c>
      <c r="N53">
        <v>705.3</v>
      </c>
      <c r="O53">
        <v>197.1</v>
      </c>
      <c r="P53">
        <v>27941.3</v>
      </c>
      <c r="Q53">
        <v>0</v>
      </c>
      <c r="R53">
        <v>0</v>
      </c>
      <c r="S53">
        <v>0</v>
      </c>
      <c r="T53">
        <v>0</v>
      </c>
      <c r="U53">
        <v>0</v>
      </c>
      <c r="V53">
        <v>2.21</v>
      </c>
      <c r="W53">
        <v>3.5</v>
      </c>
      <c r="X53">
        <v>2</v>
      </c>
      <c r="Y53">
        <v>0</v>
      </c>
      <c r="Z53">
        <v>0</v>
      </c>
      <c r="AA53">
        <v>0</v>
      </c>
      <c r="AB53">
        <v>0.21</v>
      </c>
      <c r="AC53">
        <v>0.6</v>
      </c>
      <c r="AD53">
        <v>0.4</v>
      </c>
      <c r="AE53">
        <v>0.8</v>
      </c>
      <c r="AF53">
        <v>0.41</v>
      </c>
      <c r="AG53">
        <v>0.45248868778280538</v>
      </c>
      <c r="AH53">
        <v>2.21</v>
      </c>
      <c r="AI53">
        <v>3.5</v>
      </c>
      <c r="AJ53">
        <v>2.100000000000001</v>
      </c>
      <c r="AK53">
        <v>0</v>
      </c>
      <c r="AL53">
        <v>0</v>
      </c>
      <c r="AM53">
        <v>0</v>
      </c>
      <c r="AN53">
        <v>0.11</v>
      </c>
      <c r="AO53">
        <v>0</v>
      </c>
      <c r="AP53">
        <v>0.89999999999999991</v>
      </c>
      <c r="AQ53">
        <v>0.79999999999999993</v>
      </c>
      <c r="AR53">
        <v>0.51</v>
      </c>
      <c r="AS53">
        <v>0.40723981900452477</v>
      </c>
      <c r="AT53">
        <v>2.21</v>
      </c>
      <c r="AU53">
        <v>0</v>
      </c>
      <c r="AV53">
        <v>0</v>
      </c>
      <c r="AW53">
        <v>2</v>
      </c>
      <c r="AX53">
        <v>0</v>
      </c>
      <c r="AY53">
        <v>0.60000002384185791</v>
      </c>
      <c r="AZ53">
        <v>0.40000000596046448</v>
      </c>
      <c r="BA53">
        <v>0.60000002384185791</v>
      </c>
      <c r="BB53">
        <v>0.40000000596046448</v>
      </c>
      <c r="BC53">
        <v>1.0000000298023219</v>
      </c>
      <c r="BD53">
        <v>1.0000000298023219</v>
      </c>
      <c r="BE53">
        <v>0.5</v>
      </c>
      <c r="BF53">
        <v>0.5</v>
      </c>
      <c r="BG53">
        <v>150</v>
      </c>
      <c r="BH53">
        <v>0.60000002384185791</v>
      </c>
      <c r="BI53">
        <v>0.40000000596046448</v>
      </c>
      <c r="BJ53">
        <v>0.60000002384185791</v>
      </c>
      <c r="BK53">
        <v>0.40000000596046448</v>
      </c>
      <c r="BL53">
        <v>0</v>
      </c>
      <c r="BM53">
        <v>0</v>
      </c>
      <c r="BP53">
        <v>0</v>
      </c>
      <c r="BQ53">
        <v>0</v>
      </c>
      <c r="BT53">
        <v>0</v>
      </c>
      <c r="BU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25">
      <c r="A54">
        <v>53</v>
      </c>
      <c r="B54" t="s">
        <v>320</v>
      </c>
      <c r="C54" t="s">
        <v>321</v>
      </c>
      <c r="D54" t="s">
        <v>322</v>
      </c>
      <c r="E54" t="s">
        <v>323</v>
      </c>
      <c r="F54" t="s">
        <v>100</v>
      </c>
      <c r="G54">
        <v>1</v>
      </c>
      <c r="H54">
        <v>1</v>
      </c>
      <c r="I54">
        <v>938</v>
      </c>
      <c r="J54">
        <v>0</v>
      </c>
      <c r="K54">
        <v>0</v>
      </c>
      <c r="L54">
        <v>920.9</v>
      </c>
      <c r="M54">
        <v>1071</v>
      </c>
      <c r="N54">
        <v>1065.3</v>
      </c>
      <c r="O54">
        <v>210.7</v>
      </c>
      <c r="P54">
        <v>1034</v>
      </c>
      <c r="Q54">
        <v>0</v>
      </c>
      <c r="R54">
        <v>0</v>
      </c>
      <c r="S54">
        <v>0</v>
      </c>
      <c r="T54">
        <v>0</v>
      </c>
      <c r="U54">
        <v>0</v>
      </c>
      <c r="V54">
        <v>0.24</v>
      </c>
      <c r="W54">
        <v>3</v>
      </c>
      <c r="X54">
        <v>0.24</v>
      </c>
      <c r="Y54">
        <v>0</v>
      </c>
      <c r="Z54">
        <v>0</v>
      </c>
      <c r="AA54">
        <v>0</v>
      </c>
      <c r="AB54">
        <v>0</v>
      </c>
      <c r="AC54">
        <v>0.24</v>
      </c>
      <c r="AD54">
        <v>0</v>
      </c>
      <c r="AE54">
        <v>0</v>
      </c>
      <c r="AF54">
        <v>0</v>
      </c>
      <c r="AG54">
        <v>1</v>
      </c>
      <c r="AH54">
        <v>0.24</v>
      </c>
      <c r="AI54">
        <v>3</v>
      </c>
      <c r="AJ54">
        <v>0.24</v>
      </c>
      <c r="AK54">
        <v>0</v>
      </c>
      <c r="AL54">
        <v>0</v>
      </c>
      <c r="AM54">
        <v>0</v>
      </c>
      <c r="AN54">
        <v>0</v>
      </c>
      <c r="AO54">
        <v>0.24</v>
      </c>
      <c r="AP54">
        <v>0</v>
      </c>
      <c r="AQ54">
        <v>0</v>
      </c>
      <c r="AR54">
        <v>0</v>
      </c>
      <c r="AS54">
        <v>1</v>
      </c>
      <c r="AT54">
        <v>0.24</v>
      </c>
      <c r="AU54">
        <v>0</v>
      </c>
      <c r="AV54">
        <v>0</v>
      </c>
      <c r="AW54">
        <v>0.239999994635582</v>
      </c>
      <c r="AX54">
        <v>0</v>
      </c>
      <c r="AY54">
        <v>0.239999994635582</v>
      </c>
      <c r="AZ54">
        <v>0</v>
      </c>
      <c r="BA54">
        <v>0</v>
      </c>
      <c r="BB54">
        <v>0</v>
      </c>
      <c r="BC54">
        <v>0.239999994635582</v>
      </c>
      <c r="BD54">
        <v>0</v>
      </c>
      <c r="BE54">
        <v>1</v>
      </c>
      <c r="BF54">
        <v>0</v>
      </c>
      <c r="BG54">
        <v>150</v>
      </c>
      <c r="BH54">
        <v>0.239999994635582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2023</v>
      </c>
      <c r="BO54">
        <v>1</v>
      </c>
      <c r="BP54">
        <v>1</v>
      </c>
      <c r="BQ54">
        <v>1</v>
      </c>
      <c r="BR54">
        <v>2023</v>
      </c>
      <c r="BS54">
        <v>2</v>
      </c>
      <c r="BT54">
        <v>1</v>
      </c>
      <c r="BU54">
        <v>1</v>
      </c>
      <c r="BV54">
        <v>2023</v>
      </c>
      <c r="BW54">
        <v>3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25">
      <c r="A55">
        <v>54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>
        <v>2</v>
      </c>
      <c r="H55">
        <v>2</v>
      </c>
      <c r="I55">
        <v>701</v>
      </c>
      <c r="J55">
        <v>0</v>
      </c>
      <c r="K55">
        <v>1</v>
      </c>
      <c r="L55">
        <v>6241.4</v>
      </c>
      <c r="M55">
        <v>5437</v>
      </c>
      <c r="N55">
        <v>12374.3</v>
      </c>
      <c r="O55">
        <v>1268.5999999999999</v>
      </c>
      <c r="P55">
        <v>13772.9</v>
      </c>
      <c r="Q55">
        <v>0</v>
      </c>
      <c r="R55">
        <v>0</v>
      </c>
      <c r="S55">
        <v>0</v>
      </c>
      <c r="T55">
        <v>0</v>
      </c>
      <c r="U55">
        <v>0</v>
      </c>
      <c r="V55">
        <v>4.34</v>
      </c>
      <c r="W55">
        <v>3.5</v>
      </c>
      <c r="X55">
        <v>4.34</v>
      </c>
      <c r="Y55">
        <v>0</v>
      </c>
      <c r="Z55">
        <v>0</v>
      </c>
      <c r="AA55">
        <v>0</v>
      </c>
      <c r="AB55">
        <v>0</v>
      </c>
      <c r="AC55">
        <v>1.54</v>
      </c>
      <c r="AD55">
        <v>2.6</v>
      </c>
      <c r="AE55">
        <v>0.2</v>
      </c>
      <c r="AF55">
        <v>0</v>
      </c>
      <c r="AG55">
        <v>0.95391705069124422</v>
      </c>
      <c r="AH55">
        <v>4.34</v>
      </c>
      <c r="AI55">
        <v>3.5</v>
      </c>
      <c r="AJ55">
        <v>4.3400000000000007</v>
      </c>
      <c r="AK55">
        <v>0</v>
      </c>
      <c r="AL55">
        <v>0</v>
      </c>
      <c r="AM55">
        <v>0</v>
      </c>
      <c r="AN55">
        <v>0</v>
      </c>
      <c r="AO55">
        <v>1.74</v>
      </c>
      <c r="AP55">
        <v>2.2000000000000011</v>
      </c>
      <c r="AQ55">
        <v>0.4</v>
      </c>
      <c r="AR55">
        <v>0</v>
      </c>
      <c r="AS55">
        <v>0.90783410138248843</v>
      </c>
      <c r="AT55">
        <v>4.34</v>
      </c>
      <c r="AU55">
        <v>0</v>
      </c>
      <c r="AV55">
        <v>0</v>
      </c>
      <c r="AW55">
        <v>4.3400001525878906</v>
      </c>
      <c r="AX55">
        <v>0</v>
      </c>
      <c r="AY55">
        <v>1.5399999618530269</v>
      </c>
      <c r="AZ55">
        <v>1.3999999761581421</v>
      </c>
      <c r="BA55">
        <v>1.3999999761581421</v>
      </c>
      <c r="BB55">
        <v>0</v>
      </c>
      <c r="BC55">
        <v>2.939999938011169</v>
      </c>
      <c r="BD55">
        <v>1.3999999761581421</v>
      </c>
      <c r="BE55">
        <v>0.67741935395265873</v>
      </c>
      <c r="BF55">
        <v>0.32258064604734132</v>
      </c>
      <c r="BG55">
        <v>150</v>
      </c>
      <c r="BH55">
        <v>1.5399999618530269</v>
      </c>
      <c r="BI55">
        <v>1.3999999761581421</v>
      </c>
      <c r="BJ55">
        <v>1.3999999761581421</v>
      </c>
      <c r="BK55">
        <v>0</v>
      </c>
      <c r="BL55">
        <v>0</v>
      </c>
      <c r="BM55">
        <v>0</v>
      </c>
      <c r="BP55">
        <v>0</v>
      </c>
      <c r="BQ55">
        <v>0</v>
      </c>
      <c r="BT55">
        <v>0</v>
      </c>
      <c r="BU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25">
      <c r="A56">
        <v>55</v>
      </c>
      <c r="B56" t="s">
        <v>329</v>
      </c>
      <c r="C56" t="s">
        <v>330</v>
      </c>
      <c r="D56" t="s">
        <v>331</v>
      </c>
      <c r="E56" t="s">
        <v>332</v>
      </c>
      <c r="F56" t="s">
        <v>100</v>
      </c>
      <c r="G56">
        <v>2</v>
      </c>
      <c r="H56">
        <v>1</v>
      </c>
      <c r="I56">
        <v>1848</v>
      </c>
      <c r="J56">
        <v>1</v>
      </c>
      <c r="K56">
        <v>0</v>
      </c>
      <c r="L56">
        <v>10112.4</v>
      </c>
      <c r="M56">
        <v>9359.7999999999993</v>
      </c>
      <c r="N56">
        <v>11521.3</v>
      </c>
      <c r="O56">
        <v>939</v>
      </c>
      <c r="P56">
        <v>9847.6</v>
      </c>
      <c r="Q56">
        <v>0</v>
      </c>
      <c r="R56">
        <v>0</v>
      </c>
      <c r="S56">
        <v>0</v>
      </c>
      <c r="T56">
        <v>0</v>
      </c>
      <c r="U56">
        <v>0</v>
      </c>
      <c r="V56">
        <v>1.82</v>
      </c>
      <c r="W56">
        <v>3</v>
      </c>
      <c r="X56">
        <v>1.72</v>
      </c>
      <c r="Y56">
        <v>0</v>
      </c>
      <c r="Z56">
        <v>0</v>
      </c>
      <c r="AA56">
        <v>0.1</v>
      </c>
      <c r="AB56">
        <v>0</v>
      </c>
      <c r="AC56">
        <v>0</v>
      </c>
      <c r="AD56">
        <v>0.82</v>
      </c>
      <c r="AE56">
        <v>0</v>
      </c>
      <c r="AF56">
        <v>1</v>
      </c>
      <c r="AG56">
        <v>0.45054945054945061</v>
      </c>
      <c r="AH56">
        <v>1.82</v>
      </c>
      <c r="AI56">
        <v>3</v>
      </c>
      <c r="AJ56">
        <v>1.820000000000001</v>
      </c>
      <c r="AK56">
        <v>0</v>
      </c>
      <c r="AL56">
        <v>0</v>
      </c>
      <c r="AM56">
        <v>0</v>
      </c>
      <c r="AN56">
        <v>0</v>
      </c>
      <c r="AO56">
        <v>0.79999999999999993</v>
      </c>
      <c r="AP56">
        <v>0.4</v>
      </c>
      <c r="AQ56">
        <v>0.62</v>
      </c>
      <c r="AR56">
        <v>0</v>
      </c>
      <c r="AS56">
        <v>0.65934065934065933</v>
      </c>
      <c r="AT56">
        <v>1.82</v>
      </c>
      <c r="AU56">
        <v>0</v>
      </c>
      <c r="AV56">
        <v>0</v>
      </c>
      <c r="AW56">
        <v>1.820000052452087</v>
      </c>
      <c r="AX56">
        <v>0</v>
      </c>
      <c r="AY56">
        <v>0.5</v>
      </c>
      <c r="AZ56">
        <v>0.30000001192092901</v>
      </c>
      <c r="BA56">
        <v>0.62000000476837158</v>
      </c>
      <c r="BB56">
        <v>0.40000000596046448</v>
      </c>
      <c r="BC56">
        <v>0.80000001192092896</v>
      </c>
      <c r="BD56">
        <v>1.0200000107288361</v>
      </c>
      <c r="BE56">
        <v>0.43956044064010352</v>
      </c>
      <c r="BF56">
        <v>0.56043955935989653</v>
      </c>
      <c r="BG56">
        <v>150</v>
      </c>
      <c r="BH56">
        <v>0.5</v>
      </c>
      <c r="BI56">
        <v>0.30000001192092901</v>
      </c>
      <c r="BJ56">
        <v>0.62000000476837158</v>
      </c>
      <c r="BK56">
        <v>0.40000000596046448</v>
      </c>
      <c r="BL56">
        <v>0</v>
      </c>
      <c r="BM56">
        <v>0</v>
      </c>
      <c r="BP56">
        <v>1</v>
      </c>
      <c r="BQ56">
        <v>1</v>
      </c>
      <c r="BR56">
        <v>2024</v>
      </c>
      <c r="BS56">
        <v>1</v>
      </c>
      <c r="BT56">
        <v>1</v>
      </c>
      <c r="BU56">
        <v>1</v>
      </c>
      <c r="BV56">
        <v>2024</v>
      </c>
      <c r="BW56">
        <v>2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25">
      <c r="A57">
        <v>56</v>
      </c>
      <c r="B57" t="s">
        <v>333</v>
      </c>
      <c r="C57" t="s">
        <v>334</v>
      </c>
      <c r="D57" t="s">
        <v>335</v>
      </c>
      <c r="E57" t="s">
        <v>194</v>
      </c>
      <c r="F57" t="s">
        <v>100</v>
      </c>
      <c r="G57">
        <v>1</v>
      </c>
      <c r="H57">
        <v>1</v>
      </c>
      <c r="I57">
        <v>1874</v>
      </c>
      <c r="J57">
        <v>0</v>
      </c>
      <c r="K57">
        <v>0</v>
      </c>
      <c r="L57">
        <v>1351.3</v>
      </c>
      <c r="M57">
        <v>1894.4</v>
      </c>
      <c r="N57">
        <v>2726.1</v>
      </c>
      <c r="O57">
        <v>0</v>
      </c>
      <c r="P57">
        <v>1033</v>
      </c>
      <c r="Q57">
        <v>0</v>
      </c>
      <c r="R57">
        <v>0</v>
      </c>
      <c r="S57">
        <v>0</v>
      </c>
      <c r="T57">
        <v>0</v>
      </c>
      <c r="U57">
        <v>0</v>
      </c>
      <c r="V57">
        <v>0.35</v>
      </c>
      <c r="W57">
        <v>3.5</v>
      </c>
      <c r="X57">
        <v>0.35</v>
      </c>
      <c r="Y57">
        <v>0</v>
      </c>
      <c r="Z57">
        <v>0</v>
      </c>
      <c r="AA57">
        <v>0</v>
      </c>
      <c r="AB57">
        <v>0</v>
      </c>
      <c r="AC57">
        <v>0.35</v>
      </c>
      <c r="AD57">
        <v>0</v>
      </c>
      <c r="AE57">
        <v>0</v>
      </c>
      <c r="AF57">
        <v>0</v>
      </c>
      <c r="AG57">
        <v>1</v>
      </c>
      <c r="AH57">
        <v>0.35</v>
      </c>
      <c r="AI57">
        <v>3.5</v>
      </c>
      <c r="AJ57">
        <v>0.35</v>
      </c>
      <c r="AK57">
        <v>0</v>
      </c>
      <c r="AL57">
        <v>0</v>
      </c>
      <c r="AM57">
        <v>0</v>
      </c>
      <c r="AN57">
        <v>0</v>
      </c>
      <c r="AO57">
        <v>0.15</v>
      </c>
      <c r="AP57">
        <v>0.2</v>
      </c>
      <c r="AQ57">
        <v>0</v>
      </c>
      <c r="AR57">
        <v>0</v>
      </c>
      <c r="AS57">
        <v>1</v>
      </c>
      <c r="AT57">
        <v>0.35</v>
      </c>
      <c r="AU57">
        <v>0</v>
      </c>
      <c r="AV57">
        <v>0</v>
      </c>
      <c r="AW57">
        <v>0.34999999403953552</v>
      </c>
      <c r="AX57">
        <v>0</v>
      </c>
      <c r="AY57">
        <v>0</v>
      </c>
      <c r="AZ57">
        <v>0.34999999403953552</v>
      </c>
      <c r="BA57">
        <v>0</v>
      </c>
      <c r="BB57">
        <v>0</v>
      </c>
      <c r="BC57">
        <v>0.34999999403953552</v>
      </c>
      <c r="BD57">
        <v>0</v>
      </c>
      <c r="BE57">
        <v>1</v>
      </c>
      <c r="BF57">
        <v>0</v>
      </c>
      <c r="BG57">
        <v>150</v>
      </c>
      <c r="BH57">
        <v>0</v>
      </c>
      <c r="BI57">
        <v>0.34999999403953552</v>
      </c>
      <c r="BJ57">
        <v>0</v>
      </c>
      <c r="BK57">
        <v>0</v>
      </c>
      <c r="BL57">
        <v>0</v>
      </c>
      <c r="BM57">
        <v>0</v>
      </c>
      <c r="BP57">
        <v>0</v>
      </c>
      <c r="BQ57">
        <v>0</v>
      </c>
      <c r="BT57">
        <v>0</v>
      </c>
      <c r="BU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25">
      <c r="A58">
        <v>57</v>
      </c>
      <c r="B58" t="s">
        <v>336</v>
      </c>
      <c r="C58" t="s">
        <v>337</v>
      </c>
      <c r="D58" t="s">
        <v>338</v>
      </c>
      <c r="E58" t="s">
        <v>339</v>
      </c>
      <c r="F58" t="s">
        <v>310</v>
      </c>
      <c r="G58">
        <v>1</v>
      </c>
      <c r="H58">
        <v>1</v>
      </c>
      <c r="I58">
        <v>303</v>
      </c>
      <c r="J58">
        <v>0</v>
      </c>
      <c r="K58">
        <v>1</v>
      </c>
      <c r="L58">
        <v>14913.1</v>
      </c>
      <c r="M58">
        <v>10870.4</v>
      </c>
      <c r="N58">
        <v>17123.5</v>
      </c>
      <c r="O58">
        <v>390</v>
      </c>
      <c r="P58">
        <v>17025.900000000001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0.74</v>
      </c>
      <c r="W58">
        <v>3.5</v>
      </c>
      <c r="X58">
        <v>0.74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0.2</v>
      </c>
      <c r="AE58">
        <v>0.54</v>
      </c>
      <c r="AF58">
        <v>0</v>
      </c>
      <c r="AG58">
        <v>0.27027027027027029</v>
      </c>
      <c r="AH58">
        <v>0.74</v>
      </c>
      <c r="AI58">
        <v>3.5</v>
      </c>
      <c r="AJ58">
        <v>0.74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0.34</v>
      </c>
      <c r="AR58">
        <v>0.4</v>
      </c>
      <c r="AS58">
        <v>0</v>
      </c>
      <c r="AT58">
        <v>0.74</v>
      </c>
      <c r="AU58">
        <v>0</v>
      </c>
      <c r="AV58">
        <v>0</v>
      </c>
      <c r="AW58">
        <v>0.74000000953674316</v>
      </c>
      <c r="AX58">
        <v>0</v>
      </c>
      <c r="AY58">
        <v>0</v>
      </c>
      <c r="AZ58">
        <v>0.10000000149011611</v>
      </c>
      <c r="BA58">
        <v>0.14000000059604639</v>
      </c>
      <c r="BB58">
        <v>0.5</v>
      </c>
      <c r="BC58">
        <v>0.10000000149011611</v>
      </c>
      <c r="BD58">
        <v>0.64000000059604645</v>
      </c>
      <c r="BE58">
        <v>0.13513513676784089</v>
      </c>
      <c r="BF58">
        <v>0.86486486323215916</v>
      </c>
      <c r="BG58">
        <v>150</v>
      </c>
      <c r="BH58">
        <v>0</v>
      </c>
      <c r="BI58">
        <v>0.10000000149011611</v>
      </c>
      <c r="BJ58">
        <v>0.14000000059604639</v>
      </c>
      <c r="BK58">
        <v>0.5</v>
      </c>
      <c r="BL58">
        <v>0</v>
      </c>
      <c r="BM58">
        <v>0</v>
      </c>
      <c r="BP58">
        <v>0</v>
      </c>
      <c r="BQ58">
        <v>0</v>
      </c>
      <c r="BT58">
        <v>0</v>
      </c>
      <c r="BU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x14ac:dyDescent="0.25">
      <c r="A59">
        <v>58</v>
      </c>
      <c r="B59" t="s">
        <v>340</v>
      </c>
      <c r="C59" t="s">
        <v>341</v>
      </c>
      <c r="D59" t="s">
        <v>342</v>
      </c>
      <c r="E59" t="s">
        <v>339</v>
      </c>
      <c r="F59" t="s">
        <v>310</v>
      </c>
      <c r="G59">
        <v>1</v>
      </c>
      <c r="H59">
        <v>1</v>
      </c>
      <c r="I59">
        <v>303</v>
      </c>
      <c r="J59">
        <v>0</v>
      </c>
      <c r="K59">
        <v>0</v>
      </c>
      <c r="L59">
        <v>16716.8</v>
      </c>
      <c r="M59">
        <v>12674.1</v>
      </c>
      <c r="N59">
        <v>18927.2</v>
      </c>
      <c r="O59">
        <v>1391.2</v>
      </c>
      <c r="P59">
        <v>18829.599999999999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2.93</v>
      </c>
      <c r="W59">
        <v>2</v>
      </c>
      <c r="X59">
        <v>0</v>
      </c>
      <c r="Y59">
        <v>0</v>
      </c>
      <c r="Z59">
        <v>2.93</v>
      </c>
      <c r="AA59">
        <v>0</v>
      </c>
      <c r="AB59">
        <v>0</v>
      </c>
      <c r="AC59">
        <v>0.4</v>
      </c>
      <c r="AD59">
        <v>0.2</v>
      </c>
      <c r="AE59">
        <v>2.13</v>
      </c>
      <c r="AF59">
        <v>0.2</v>
      </c>
      <c r="AG59">
        <v>0.20477815699658711</v>
      </c>
      <c r="AH59">
        <v>2.93</v>
      </c>
      <c r="AI59">
        <v>2</v>
      </c>
      <c r="AJ59">
        <v>0</v>
      </c>
      <c r="AK59">
        <v>0</v>
      </c>
      <c r="AL59">
        <v>2.930000000000001</v>
      </c>
      <c r="AM59">
        <v>0</v>
      </c>
      <c r="AN59">
        <v>0</v>
      </c>
      <c r="AO59">
        <v>0</v>
      </c>
      <c r="AP59">
        <v>0.4</v>
      </c>
      <c r="AQ59">
        <v>1.53</v>
      </c>
      <c r="AR59">
        <v>0.99999999999999989</v>
      </c>
      <c r="AS59">
        <v>0.136518771331058</v>
      </c>
      <c r="AT59">
        <v>2.93</v>
      </c>
      <c r="AU59">
        <v>2.9300000667572021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2.2300000190734859</v>
      </c>
      <c r="BB59">
        <v>0.69999998807907104</v>
      </c>
      <c r="BC59">
        <v>0</v>
      </c>
      <c r="BD59">
        <v>2.9300000071525569</v>
      </c>
      <c r="BE59">
        <v>0</v>
      </c>
      <c r="BF59">
        <v>1</v>
      </c>
      <c r="BG59">
        <v>150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</v>
      </c>
      <c r="BN59">
        <v>2023</v>
      </c>
      <c r="BO59">
        <v>1</v>
      </c>
      <c r="BP59">
        <v>1</v>
      </c>
      <c r="BQ59">
        <v>1</v>
      </c>
      <c r="BR59">
        <v>2023</v>
      </c>
      <c r="BS59">
        <v>2</v>
      </c>
      <c r="BT59">
        <v>1</v>
      </c>
      <c r="BU59">
        <v>1</v>
      </c>
      <c r="BV59">
        <v>2023</v>
      </c>
      <c r="BW59">
        <v>3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25">
      <c r="A60">
        <v>59</v>
      </c>
      <c r="B60" t="s">
        <v>343</v>
      </c>
      <c r="C60" t="s">
        <v>344</v>
      </c>
      <c r="D60" t="s">
        <v>345</v>
      </c>
      <c r="E60" t="s">
        <v>346</v>
      </c>
      <c r="F60" t="s">
        <v>100</v>
      </c>
      <c r="G60">
        <v>3</v>
      </c>
      <c r="H60">
        <v>1</v>
      </c>
      <c r="I60">
        <v>3551</v>
      </c>
      <c r="J60">
        <v>0</v>
      </c>
      <c r="K60">
        <v>1</v>
      </c>
      <c r="L60">
        <v>1491.2</v>
      </c>
      <c r="M60">
        <v>1641.3</v>
      </c>
      <c r="N60">
        <v>2153.6999999999998</v>
      </c>
      <c r="O60">
        <v>572.29999999999995</v>
      </c>
      <c r="P60">
        <v>1254.7</v>
      </c>
      <c r="Q60">
        <v>0</v>
      </c>
      <c r="R60">
        <v>0</v>
      </c>
      <c r="S60">
        <v>0</v>
      </c>
      <c r="T60">
        <v>0</v>
      </c>
      <c r="U60">
        <v>0</v>
      </c>
      <c r="V60">
        <v>0.81</v>
      </c>
      <c r="W60">
        <v>5</v>
      </c>
      <c r="X60">
        <v>0.81</v>
      </c>
      <c r="Y60">
        <v>0</v>
      </c>
      <c r="Z60">
        <v>0</v>
      </c>
      <c r="AA60">
        <v>0</v>
      </c>
      <c r="AB60">
        <v>0</v>
      </c>
      <c r="AC60">
        <v>0.81</v>
      </c>
      <c r="AD60">
        <v>0</v>
      </c>
      <c r="AE60">
        <v>0</v>
      </c>
      <c r="AF60">
        <v>0</v>
      </c>
      <c r="AG60">
        <v>1</v>
      </c>
      <c r="AH60">
        <v>0.81</v>
      </c>
      <c r="AI60">
        <v>5</v>
      </c>
      <c r="AJ60">
        <v>0.80999999999999994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0.80999999999999994</v>
      </c>
      <c r="AQ60">
        <v>0</v>
      </c>
      <c r="AR60">
        <v>0</v>
      </c>
      <c r="AS60">
        <v>1</v>
      </c>
      <c r="AT60">
        <v>0.81</v>
      </c>
      <c r="AU60">
        <v>0</v>
      </c>
      <c r="AV60">
        <v>0</v>
      </c>
      <c r="AW60">
        <v>0.81000000238418579</v>
      </c>
      <c r="AX60">
        <v>0</v>
      </c>
      <c r="AY60">
        <v>0</v>
      </c>
      <c r="AZ60">
        <v>0.81000000238418579</v>
      </c>
      <c r="BA60">
        <v>0</v>
      </c>
      <c r="BB60">
        <v>0</v>
      </c>
      <c r="BC60">
        <v>0.81000000238418579</v>
      </c>
      <c r="BD60">
        <v>0</v>
      </c>
      <c r="BE60">
        <v>1</v>
      </c>
      <c r="BF60">
        <v>0</v>
      </c>
      <c r="BG60">
        <v>150</v>
      </c>
      <c r="BH60">
        <v>0</v>
      </c>
      <c r="BI60">
        <v>0.81000000238418579</v>
      </c>
      <c r="BJ60">
        <v>0</v>
      </c>
      <c r="BK60">
        <v>0</v>
      </c>
      <c r="BL60">
        <v>0</v>
      </c>
      <c r="BM60">
        <v>0</v>
      </c>
      <c r="BP60">
        <v>0</v>
      </c>
      <c r="BQ60">
        <v>0</v>
      </c>
      <c r="BT60">
        <v>0</v>
      </c>
      <c r="BU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5">
      <c r="A61">
        <v>60</v>
      </c>
      <c r="B61" t="s">
        <v>347</v>
      </c>
      <c r="C61" t="s">
        <v>348</v>
      </c>
      <c r="D61" t="s">
        <v>349</v>
      </c>
      <c r="E61" t="s">
        <v>350</v>
      </c>
      <c r="F61" t="s">
        <v>105</v>
      </c>
      <c r="G61">
        <v>1</v>
      </c>
      <c r="H61">
        <v>1</v>
      </c>
      <c r="I61">
        <v>404</v>
      </c>
      <c r="J61">
        <v>0</v>
      </c>
      <c r="K61">
        <v>1</v>
      </c>
      <c r="L61">
        <v>2436.5</v>
      </c>
      <c r="M61">
        <v>2727.7</v>
      </c>
      <c r="N61">
        <v>9356.2999999999993</v>
      </c>
      <c r="O61">
        <v>946.5</v>
      </c>
      <c r="P61">
        <v>10735.8</v>
      </c>
      <c r="Q61">
        <v>0</v>
      </c>
      <c r="R61">
        <v>0</v>
      </c>
      <c r="S61">
        <v>0</v>
      </c>
      <c r="T61">
        <v>0</v>
      </c>
      <c r="U61">
        <v>0</v>
      </c>
      <c r="V61">
        <v>1.28</v>
      </c>
      <c r="W61">
        <v>3.5</v>
      </c>
      <c r="X61">
        <v>0.4</v>
      </c>
      <c r="Y61">
        <v>0</v>
      </c>
      <c r="Z61">
        <v>0</v>
      </c>
      <c r="AA61">
        <v>0.88</v>
      </c>
      <c r="AB61">
        <v>0</v>
      </c>
      <c r="AC61">
        <v>0.4</v>
      </c>
      <c r="AD61">
        <v>0</v>
      </c>
      <c r="AE61">
        <v>0</v>
      </c>
      <c r="AF61">
        <v>0.88</v>
      </c>
      <c r="AG61">
        <v>0.3125</v>
      </c>
      <c r="AH61">
        <v>1.28</v>
      </c>
      <c r="AI61">
        <v>3.5</v>
      </c>
      <c r="AJ61">
        <v>0.6</v>
      </c>
      <c r="AK61">
        <v>0</v>
      </c>
      <c r="AL61">
        <v>0</v>
      </c>
      <c r="AM61">
        <v>0.67999999999999994</v>
      </c>
      <c r="AN61">
        <v>0</v>
      </c>
      <c r="AO61">
        <v>0.6</v>
      </c>
      <c r="AP61">
        <v>0</v>
      </c>
      <c r="AQ61">
        <v>0</v>
      </c>
      <c r="AR61">
        <v>0.67999999999999994</v>
      </c>
      <c r="AS61">
        <v>0.46875000000000011</v>
      </c>
      <c r="AT61">
        <v>1.28</v>
      </c>
      <c r="AU61">
        <v>0</v>
      </c>
      <c r="AV61">
        <v>0</v>
      </c>
      <c r="AW61">
        <v>0.60000002384185791</v>
      </c>
      <c r="AX61">
        <v>0</v>
      </c>
      <c r="AY61">
        <v>0.5</v>
      </c>
      <c r="AZ61">
        <v>0.10000000149011611</v>
      </c>
      <c r="BA61">
        <v>0</v>
      </c>
      <c r="BB61">
        <v>0</v>
      </c>
      <c r="BC61">
        <v>0.60000000149011612</v>
      </c>
      <c r="BD61">
        <v>0</v>
      </c>
      <c r="BE61">
        <v>1</v>
      </c>
      <c r="BF61">
        <v>0</v>
      </c>
      <c r="BG61">
        <v>150</v>
      </c>
      <c r="BH61">
        <v>0.5</v>
      </c>
      <c r="BI61">
        <v>0.10000000149011611</v>
      </c>
      <c r="BJ61">
        <v>0</v>
      </c>
      <c r="BK61">
        <v>0</v>
      </c>
      <c r="BL61">
        <v>1</v>
      </c>
      <c r="BM61">
        <v>1</v>
      </c>
      <c r="BN61">
        <v>2021</v>
      </c>
      <c r="BO61">
        <v>3</v>
      </c>
      <c r="BP61">
        <v>1</v>
      </c>
      <c r="BQ61">
        <v>2</v>
      </c>
      <c r="BR61">
        <v>2024</v>
      </c>
      <c r="BS61">
        <v>1</v>
      </c>
      <c r="BT61">
        <v>1</v>
      </c>
      <c r="BU61">
        <v>2</v>
      </c>
      <c r="BV61">
        <v>2024</v>
      </c>
      <c r="BW61">
        <v>2</v>
      </c>
      <c r="BX61">
        <v>1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25">
      <c r="A62">
        <v>61</v>
      </c>
      <c r="B62" t="s">
        <v>351</v>
      </c>
      <c r="C62" t="s">
        <v>352</v>
      </c>
      <c r="D62" t="s">
        <v>353</v>
      </c>
      <c r="E62" t="s">
        <v>354</v>
      </c>
      <c r="F62" t="s">
        <v>176</v>
      </c>
      <c r="G62">
        <v>1</v>
      </c>
      <c r="H62">
        <v>1</v>
      </c>
      <c r="I62">
        <v>259</v>
      </c>
      <c r="J62">
        <v>0</v>
      </c>
      <c r="K62">
        <v>0</v>
      </c>
      <c r="L62">
        <v>4463</v>
      </c>
      <c r="M62">
        <v>4493.7</v>
      </c>
      <c r="N62">
        <v>11634.9</v>
      </c>
      <c r="O62">
        <v>376.2</v>
      </c>
      <c r="P62">
        <v>13306.7</v>
      </c>
      <c r="Q62">
        <v>0</v>
      </c>
      <c r="R62">
        <v>0</v>
      </c>
      <c r="S62">
        <v>0</v>
      </c>
      <c r="T62">
        <v>0</v>
      </c>
      <c r="U62">
        <v>0</v>
      </c>
      <c r="V62">
        <v>1.51</v>
      </c>
      <c r="W62">
        <v>3</v>
      </c>
      <c r="X62">
        <v>1.51</v>
      </c>
      <c r="Y62">
        <v>0</v>
      </c>
      <c r="Z62">
        <v>0</v>
      </c>
      <c r="AA62">
        <v>0</v>
      </c>
      <c r="AB62">
        <v>0</v>
      </c>
      <c r="AC62">
        <v>1.51</v>
      </c>
      <c r="AD62">
        <v>0</v>
      </c>
      <c r="AE62">
        <v>0</v>
      </c>
      <c r="AF62">
        <v>0</v>
      </c>
      <c r="AG62">
        <v>1</v>
      </c>
      <c r="AH62">
        <v>1.51</v>
      </c>
      <c r="AI62">
        <v>3</v>
      </c>
      <c r="AJ62">
        <v>1.51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1.2</v>
      </c>
      <c r="AQ62">
        <v>0.2</v>
      </c>
      <c r="AR62">
        <v>0.11</v>
      </c>
      <c r="AS62">
        <v>0.79470198675496684</v>
      </c>
      <c r="AT62">
        <v>1.51</v>
      </c>
      <c r="AU62">
        <v>0</v>
      </c>
      <c r="AV62">
        <v>0</v>
      </c>
      <c r="AW62">
        <v>1.5099999904632571</v>
      </c>
      <c r="AX62">
        <v>0</v>
      </c>
      <c r="AY62">
        <v>0</v>
      </c>
      <c r="AZ62">
        <v>1.200000047683716</v>
      </c>
      <c r="BA62">
        <v>0.31000000238418579</v>
      </c>
      <c r="BB62">
        <v>0</v>
      </c>
      <c r="BC62">
        <v>1.200000047683716</v>
      </c>
      <c r="BD62">
        <v>0.31000000238418579</v>
      </c>
      <c r="BE62">
        <v>0.79470199198321501</v>
      </c>
      <c r="BF62">
        <v>0.20529800801678499</v>
      </c>
      <c r="BG62">
        <v>150</v>
      </c>
      <c r="BH62">
        <v>0</v>
      </c>
      <c r="BI62">
        <v>1.200000047683716</v>
      </c>
      <c r="BJ62">
        <v>0.31000000238418579</v>
      </c>
      <c r="BK62">
        <v>0</v>
      </c>
      <c r="BL62">
        <v>0</v>
      </c>
      <c r="BM62">
        <v>0</v>
      </c>
      <c r="BP62">
        <v>1</v>
      </c>
      <c r="BQ62">
        <v>1</v>
      </c>
      <c r="BR62">
        <v>2024</v>
      </c>
      <c r="BS62">
        <v>1</v>
      </c>
      <c r="BT62">
        <v>1</v>
      </c>
      <c r="BU62">
        <v>2</v>
      </c>
      <c r="BV62">
        <v>2025</v>
      </c>
      <c r="BW62">
        <v>1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25">
      <c r="A63">
        <v>62</v>
      </c>
      <c r="B63" t="s">
        <v>355</v>
      </c>
      <c r="C63" t="s">
        <v>356</v>
      </c>
      <c r="D63" t="s">
        <v>357</v>
      </c>
      <c r="E63" t="s">
        <v>358</v>
      </c>
      <c r="F63" t="s">
        <v>310</v>
      </c>
      <c r="G63">
        <v>1</v>
      </c>
      <c r="H63">
        <v>1</v>
      </c>
      <c r="I63">
        <v>474</v>
      </c>
      <c r="J63">
        <v>1</v>
      </c>
      <c r="K63">
        <v>0</v>
      </c>
      <c r="L63">
        <v>26934.3</v>
      </c>
      <c r="M63">
        <v>8122.4</v>
      </c>
      <c r="N63">
        <v>29144.7</v>
      </c>
      <c r="O63">
        <v>1982.5</v>
      </c>
      <c r="P63">
        <v>29047.1</v>
      </c>
      <c r="Q63">
        <v>0</v>
      </c>
      <c r="R63">
        <v>0</v>
      </c>
      <c r="S63">
        <v>0</v>
      </c>
      <c r="T63">
        <v>0</v>
      </c>
      <c r="U63">
        <v>0</v>
      </c>
      <c r="V63">
        <v>1.1599999999999999</v>
      </c>
      <c r="W63">
        <v>3.5</v>
      </c>
      <c r="X63">
        <v>1.1599999999999999</v>
      </c>
      <c r="Y63">
        <v>0</v>
      </c>
      <c r="Z63">
        <v>0</v>
      </c>
      <c r="AA63">
        <v>0</v>
      </c>
      <c r="AB63">
        <v>0</v>
      </c>
      <c r="AC63">
        <v>1.1599999999999999</v>
      </c>
      <c r="AD63">
        <v>0</v>
      </c>
      <c r="AE63">
        <v>0</v>
      </c>
      <c r="AF63">
        <v>0</v>
      </c>
      <c r="AG63">
        <v>1</v>
      </c>
      <c r="AH63">
        <v>1.1599999999999999</v>
      </c>
      <c r="AI63">
        <v>3.5</v>
      </c>
      <c r="AJ63">
        <v>1.1599999999999999</v>
      </c>
      <c r="AK63">
        <v>0</v>
      </c>
      <c r="AL63">
        <v>0</v>
      </c>
      <c r="AM63">
        <v>0</v>
      </c>
      <c r="AN63">
        <v>0</v>
      </c>
      <c r="AO63">
        <v>1.1599999999999999</v>
      </c>
      <c r="AP63">
        <v>0</v>
      </c>
      <c r="AQ63">
        <v>0</v>
      </c>
      <c r="AR63">
        <v>0</v>
      </c>
      <c r="AS63">
        <v>1</v>
      </c>
      <c r="AT63">
        <v>1.1599999999999999</v>
      </c>
      <c r="AU63">
        <v>0</v>
      </c>
      <c r="AV63">
        <v>0</v>
      </c>
      <c r="AW63">
        <v>1.1599999666213989</v>
      </c>
      <c r="AX63">
        <v>0</v>
      </c>
      <c r="AY63">
        <v>0</v>
      </c>
      <c r="AZ63">
        <v>1.059999942779541</v>
      </c>
      <c r="BA63">
        <v>0.10000000149011611</v>
      </c>
      <c r="BB63">
        <v>0</v>
      </c>
      <c r="BC63">
        <v>1.059999942779541</v>
      </c>
      <c r="BD63">
        <v>0.10000000149011611</v>
      </c>
      <c r="BE63">
        <v>0.91379309802202036</v>
      </c>
      <c r="BF63">
        <v>8.6206901977979589E-2</v>
      </c>
      <c r="BG63">
        <v>150</v>
      </c>
      <c r="BH63">
        <v>0</v>
      </c>
      <c r="BI63">
        <v>1.059999942779541</v>
      </c>
      <c r="BJ63">
        <v>0.10000000149011611</v>
      </c>
      <c r="BK63">
        <v>0</v>
      </c>
      <c r="BL63">
        <v>0</v>
      </c>
      <c r="BM63">
        <v>0</v>
      </c>
      <c r="BP63">
        <v>0</v>
      </c>
      <c r="BQ63">
        <v>0</v>
      </c>
      <c r="BT63">
        <v>0</v>
      </c>
      <c r="BU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25">
      <c r="A64">
        <v>63</v>
      </c>
      <c r="B64" t="s">
        <v>359</v>
      </c>
      <c r="C64" t="s">
        <v>360</v>
      </c>
      <c r="D64" t="s">
        <v>361</v>
      </c>
      <c r="E64" t="s">
        <v>362</v>
      </c>
      <c r="F64" t="s">
        <v>363</v>
      </c>
      <c r="G64">
        <v>1</v>
      </c>
      <c r="H64">
        <v>1</v>
      </c>
      <c r="I64">
        <v>633</v>
      </c>
      <c r="J64">
        <v>0</v>
      </c>
      <c r="K64">
        <v>0</v>
      </c>
      <c r="L64">
        <v>1258.9000000000001</v>
      </c>
      <c r="M64">
        <v>795.3</v>
      </c>
      <c r="N64">
        <v>2477.8000000000002</v>
      </c>
      <c r="O64">
        <v>0</v>
      </c>
      <c r="P64">
        <v>29090.9</v>
      </c>
      <c r="Q64">
        <v>0</v>
      </c>
      <c r="R64">
        <v>0</v>
      </c>
      <c r="S64">
        <v>0</v>
      </c>
      <c r="T64">
        <v>0</v>
      </c>
      <c r="U64">
        <v>0</v>
      </c>
      <c r="V64">
        <v>0.32</v>
      </c>
      <c r="W64">
        <v>3</v>
      </c>
      <c r="X64">
        <v>0.32</v>
      </c>
      <c r="Y64">
        <v>0</v>
      </c>
      <c r="Z64">
        <v>0</v>
      </c>
      <c r="AA64">
        <v>0</v>
      </c>
      <c r="AB64">
        <v>0</v>
      </c>
      <c r="AC64">
        <v>0.32</v>
      </c>
      <c r="AD64">
        <v>0</v>
      </c>
      <c r="AE64">
        <v>0</v>
      </c>
      <c r="AF64">
        <v>0</v>
      </c>
      <c r="AG64">
        <v>1</v>
      </c>
      <c r="AH64">
        <v>0.32</v>
      </c>
      <c r="AI64">
        <v>3</v>
      </c>
      <c r="AJ64">
        <v>0.32000000000000012</v>
      </c>
      <c r="AK64">
        <v>0</v>
      </c>
      <c r="AL64">
        <v>0</v>
      </c>
      <c r="AM64">
        <v>0</v>
      </c>
      <c r="AN64">
        <v>0</v>
      </c>
      <c r="AO64">
        <v>0.2</v>
      </c>
      <c r="AP64">
        <v>0.12</v>
      </c>
      <c r="AQ64">
        <v>0</v>
      </c>
      <c r="AR64">
        <v>0</v>
      </c>
      <c r="AS64">
        <v>1</v>
      </c>
      <c r="AT64">
        <v>0.32</v>
      </c>
      <c r="AU64">
        <v>0</v>
      </c>
      <c r="AV64">
        <v>0</v>
      </c>
      <c r="AW64">
        <v>0.31999999284744263</v>
      </c>
      <c r="AX64">
        <v>0</v>
      </c>
      <c r="AY64">
        <v>0</v>
      </c>
      <c r="AZ64">
        <v>0.20000000298023221</v>
      </c>
      <c r="BA64">
        <v>0.10000000149011611</v>
      </c>
      <c r="BB64">
        <v>1.9999999552965161E-2</v>
      </c>
      <c r="BC64">
        <v>0.20000000298023221</v>
      </c>
      <c r="BD64">
        <v>0.1200000010430813</v>
      </c>
      <c r="BE64">
        <v>0.62500000145519152</v>
      </c>
      <c r="BF64">
        <v>0.37499999854480848</v>
      </c>
      <c r="BG64">
        <v>150</v>
      </c>
      <c r="BH64">
        <v>0</v>
      </c>
      <c r="BI64">
        <v>0.20000000298023221</v>
      </c>
      <c r="BJ64">
        <v>0.10000000149011611</v>
      </c>
      <c r="BK64">
        <v>1.9999999552965161E-2</v>
      </c>
      <c r="BL64">
        <v>0</v>
      </c>
      <c r="BM64">
        <v>0</v>
      </c>
      <c r="BP64">
        <v>0</v>
      </c>
      <c r="BQ64">
        <v>0</v>
      </c>
      <c r="BT64">
        <v>0</v>
      </c>
      <c r="BU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1</v>
      </c>
    </row>
    <row r="65" spans="1:96" x14ac:dyDescent="0.25">
      <c r="A65">
        <v>64</v>
      </c>
      <c r="B65" t="s">
        <v>364</v>
      </c>
      <c r="C65" t="s">
        <v>365</v>
      </c>
      <c r="D65" t="s">
        <v>366</v>
      </c>
      <c r="E65" t="s">
        <v>367</v>
      </c>
      <c r="F65" t="s">
        <v>100</v>
      </c>
      <c r="G65">
        <v>1</v>
      </c>
      <c r="H65">
        <v>1</v>
      </c>
      <c r="I65">
        <v>1142</v>
      </c>
      <c r="J65">
        <v>0</v>
      </c>
      <c r="K65">
        <v>0</v>
      </c>
      <c r="L65">
        <v>1768.8</v>
      </c>
      <c r="M65">
        <v>197.4</v>
      </c>
      <c r="N65">
        <v>3467.1</v>
      </c>
      <c r="O65">
        <v>0</v>
      </c>
      <c r="P65">
        <v>1604.2</v>
      </c>
      <c r="Q65">
        <v>0</v>
      </c>
      <c r="R65">
        <v>0</v>
      </c>
      <c r="S65">
        <v>0</v>
      </c>
      <c r="T65">
        <v>0</v>
      </c>
      <c r="U65">
        <v>0</v>
      </c>
      <c r="V65">
        <v>0.18</v>
      </c>
      <c r="W65">
        <v>3</v>
      </c>
      <c r="X65">
        <v>0.18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0.18</v>
      </c>
      <c r="AE65">
        <v>0</v>
      </c>
      <c r="AF65">
        <v>0</v>
      </c>
      <c r="AG65">
        <v>1</v>
      </c>
      <c r="AH65">
        <v>0.18</v>
      </c>
      <c r="AI65">
        <v>3</v>
      </c>
      <c r="AJ65">
        <v>0.18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0.18</v>
      </c>
      <c r="AQ65">
        <v>0</v>
      </c>
      <c r="AR65">
        <v>0</v>
      </c>
      <c r="AS65">
        <v>1</v>
      </c>
      <c r="AT65">
        <v>0.18</v>
      </c>
      <c r="AU65">
        <v>0</v>
      </c>
      <c r="AV65">
        <v>0</v>
      </c>
      <c r="AW65">
        <v>0.1800000071525574</v>
      </c>
      <c r="AX65">
        <v>0</v>
      </c>
      <c r="AY65">
        <v>0</v>
      </c>
      <c r="AZ65">
        <v>0</v>
      </c>
      <c r="BA65">
        <v>0.10000000149011611</v>
      </c>
      <c r="BB65">
        <v>7.9999998211860657E-2</v>
      </c>
      <c r="BC65">
        <v>0</v>
      </c>
      <c r="BD65">
        <v>0.1799999997019768</v>
      </c>
      <c r="BE65">
        <v>0</v>
      </c>
      <c r="BF65">
        <v>1</v>
      </c>
      <c r="BG65">
        <v>150</v>
      </c>
      <c r="BH65">
        <v>0</v>
      </c>
      <c r="BI65">
        <v>0</v>
      </c>
      <c r="BJ65">
        <v>0.10000000149011611</v>
      </c>
      <c r="BK65">
        <v>7.9999998211860657E-2</v>
      </c>
      <c r="BL65">
        <v>0</v>
      </c>
      <c r="BM65">
        <v>0</v>
      </c>
      <c r="BP65">
        <v>0</v>
      </c>
      <c r="BQ65">
        <v>0</v>
      </c>
      <c r="BT65">
        <v>0</v>
      </c>
      <c r="BU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1:96" x14ac:dyDescent="0.25">
      <c r="A66">
        <v>65</v>
      </c>
      <c r="B66" t="s">
        <v>368</v>
      </c>
      <c r="C66" t="s">
        <v>369</v>
      </c>
      <c r="D66" t="s">
        <v>370</v>
      </c>
      <c r="E66" t="s">
        <v>371</v>
      </c>
      <c r="F66" t="s">
        <v>310</v>
      </c>
      <c r="G66">
        <v>2</v>
      </c>
      <c r="H66">
        <v>1</v>
      </c>
      <c r="I66">
        <v>859</v>
      </c>
      <c r="J66">
        <v>0</v>
      </c>
      <c r="K66">
        <v>0</v>
      </c>
      <c r="L66">
        <v>30227.200000000001</v>
      </c>
      <c r="M66">
        <v>8413.6</v>
      </c>
      <c r="N66">
        <v>32437.599999999999</v>
      </c>
      <c r="O66">
        <v>2459.5</v>
      </c>
      <c r="P66">
        <v>32339.9</v>
      </c>
      <c r="Q66">
        <v>0</v>
      </c>
      <c r="R66">
        <v>0</v>
      </c>
      <c r="S66">
        <v>0</v>
      </c>
      <c r="T66">
        <v>0</v>
      </c>
      <c r="U66">
        <v>0</v>
      </c>
      <c r="V66">
        <v>4.8600000000000003</v>
      </c>
      <c r="W66">
        <v>1.5</v>
      </c>
      <c r="X66">
        <v>0</v>
      </c>
      <c r="Y66">
        <v>0</v>
      </c>
      <c r="Z66">
        <v>2.2000000000000002</v>
      </c>
      <c r="AA66">
        <v>0.4</v>
      </c>
      <c r="AB66">
        <v>2.2599999999999998</v>
      </c>
      <c r="AC66">
        <v>1.2</v>
      </c>
      <c r="AD66">
        <v>0</v>
      </c>
      <c r="AE66">
        <v>0.4</v>
      </c>
      <c r="AF66">
        <v>3.26</v>
      </c>
      <c r="AG66">
        <v>0.24691358024691359</v>
      </c>
      <c r="AH66">
        <v>4.8600000000000003</v>
      </c>
      <c r="AI66">
        <v>1.5</v>
      </c>
      <c r="AJ66">
        <v>0</v>
      </c>
      <c r="AK66">
        <v>0</v>
      </c>
      <c r="AL66">
        <v>2.600000000000001</v>
      </c>
      <c r="AM66">
        <v>0</v>
      </c>
      <c r="AN66">
        <v>2.2600000000000011</v>
      </c>
      <c r="AO66">
        <v>0</v>
      </c>
      <c r="AP66">
        <v>1.3</v>
      </c>
      <c r="AQ66">
        <v>0.2</v>
      </c>
      <c r="AR66">
        <v>3.3600000000000021</v>
      </c>
      <c r="AS66">
        <v>0.26748971193415633</v>
      </c>
      <c r="AT66">
        <v>4.8600000000000003</v>
      </c>
      <c r="AU66">
        <v>3.059999942779541</v>
      </c>
      <c r="AV66">
        <v>0</v>
      </c>
      <c r="AW66">
        <v>0</v>
      </c>
      <c r="AX66">
        <v>0</v>
      </c>
      <c r="AY66">
        <v>0</v>
      </c>
      <c r="AZ66">
        <v>2.7599999904632568</v>
      </c>
      <c r="BA66">
        <v>0.30000001192092901</v>
      </c>
      <c r="BB66">
        <v>0</v>
      </c>
      <c r="BC66">
        <v>2.7599999904632568</v>
      </c>
      <c r="BD66">
        <v>0.30000001192092901</v>
      </c>
      <c r="BE66">
        <v>0.90196078049438388</v>
      </c>
      <c r="BF66">
        <v>9.8039219505616088E-2</v>
      </c>
      <c r="BG66">
        <v>150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3</v>
      </c>
      <c r="BN66">
        <v>2023</v>
      </c>
      <c r="BO66">
        <v>1</v>
      </c>
      <c r="BP66">
        <v>1</v>
      </c>
      <c r="BQ66">
        <v>3</v>
      </c>
      <c r="BR66">
        <v>2023</v>
      </c>
      <c r="BS66">
        <v>2</v>
      </c>
      <c r="BT66">
        <v>1</v>
      </c>
      <c r="BU66">
        <v>3</v>
      </c>
      <c r="BV66">
        <v>2023</v>
      </c>
      <c r="BW66">
        <v>3</v>
      </c>
      <c r="BX66">
        <v>1</v>
      </c>
      <c r="BY66">
        <v>1</v>
      </c>
      <c r="BZ66">
        <v>1</v>
      </c>
      <c r="CA66">
        <v>0</v>
      </c>
      <c r="CB66">
        <v>0</v>
      </c>
      <c r="CC66">
        <v>1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25">
      <c r="A67">
        <v>66</v>
      </c>
      <c r="B67" t="s">
        <v>372</v>
      </c>
      <c r="C67" t="s">
        <v>373</v>
      </c>
      <c r="D67" t="s">
        <v>374</v>
      </c>
      <c r="E67" t="s">
        <v>109</v>
      </c>
      <c r="F67" t="s">
        <v>100</v>
      </c>
      <c r="G67">
        <v>2</v>
      </c>
      <c r="H67">
        <v>1</v>
      </c>
      <c r="I67">
        <v>2315</v>
      </c>
      <c r="J67">
        <v>0</v>
      </c>
      <c r="K67">
        <v>1</v>
      </c>
      <c r="L67">
        <v>454.9</v>
      </c>
      <c r="M67">
        <v>605</v>
      </c>
      <c r="N67">
        <v>1552.9</v>
      </c>
      <c r="O67">
        <v>35.299999999999997</v>
      </c>
      <c r="P67">
        <v>745.4</v>
      </c>
      <c r="Q67">
        <v>0</v>
      </c>
      <c r="R67">
        <v>0</v>
      </c>
      <c r="S67">
        <v>0</v>
      </c>
      <c r="T67">
        <v>0</v>
      </c>
      <c r="U67">
        <v>0</v>
      </c>
      <c r="V67">
        <v>0.41</v>
      </c>
      <c r="W67">
        <v>4.5</v>
      </c>
      <c r="X67">
        <v>0.41</v>
      </c>
      <c r="Y67">
        <v>0</v>
      </c>
      <c r="Z67">
        <v>0</v>
      </c>
      <c r="AA67">
        <v>0</v>
      </c>
      <c r="AB67">
        <v>0</v>
      </c>
      <c r="AC67">
        <v>0.41</v>
      </c>
      <c r="AD67">
        <v>0</v>
      </c>
      <c r="AE67">
        <v>0</v>
      </c>
      <c r="AF67">
        <v>0</v>
      </c>
      <c r="AG67">
        <v>1</v>
      </c>
      <c r="AH67">
        <v>0.41</v>
      </c>
      <c r="AI67">
        <v>4.5</v>
      </c>
      <c r="AJ67">
        <v>0.41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0.41</v>
      </c>
      <c r="AQ67">
        <v>0</v>
      </c>
      <c r="AR67">
        <v>0</v>
      </c>
      <c r="AS67">
        <v>1</v>
      </c>
      <c r="AT67">
        <v>0.41</v>
      </c>
      <c r="AU67">
        <v>0</v>
      </c>
      <c r="AV67">
        <v>0</v>
      </c>
      <c r="AW67">
        <v>0.40999999642372131</v>
      </c>
      <c r="AX67">
        <v>0</v>
      </c>
      <c r="AY67">
        <v>0</v>
      </c>
      <c r="AZ67">
        <v>0.40999999642372131</v>
      </c>
      <c r="BA67">
        <v>0</v>
      </c>
      <c r="BB67">
        <v>0</v>
      </c>
      <c r="BC67">
        <v>0.40999999642372131</v>
      </c>
      <c r="BD67">
        <v>0</v>
      </c>
      <c r="BE67">
        <v>1</v>
      </c>
      <c r="BF67">
        <v>0</v>
      </c>
      <c r="BG67">
        <v>150</v>
      </c>
      <c r="BH67">
        <v>0</v>
      </c>
      <c r="BI67">
        <v>0.40999999642372131</v>
      </c>
      <c r="BJ67">
        <v>0</v>
      </c>
      <c r="BK67">
        <v>0</v>
      </c>
      <c r="BL67">
        <v>0</v>
      </c>
      <c r="BM67">
        <v>0</v>
      </c>
      <c r="BP67">
        <v>0</v>
      </c>
      <c r="BQ67">
        <v>0</v>
      </c>
      <c r="BT67">
        <v>0</v>
      </c>
      <c r="BU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1:96" x14ac:dyDescent="0.25">
      <c r="A68">
        <v>67</v>
      </c>
      <c r="B68" t="s">
        <v>375</v>
      </c>
      <c r="C68" t="s">
        <v>376</v>
      </c>
      <c r="D68" t="s">
        <v>377</v>
      </c>
      <c r="E68" t="s">
        <v>378</v>
      </c>
      <c r="F68" t="s">
        <v>105</v>
      </c>
      <c r="G68">
        <v>2</v>
      </c>
      <c r="H68">
        <v>1</v>
      </c>
      <c r="I68">
        <v>1247</v>
      </c>
      <c r="J68">
        <v>0</v>
      </c>
      <c r="K68">
        <v>0</v>
      </c>
      <c r="L68">
        <v>3193.6</v>
      </c>
      <c r="M68">
        <v>3103.3</v>
      </c>
      <c r="N68">
        <v>3164</v>
      </c>
      <c r="O68">
        <v>689.4</v>
      </c>
      <c r="P68">
        <v>4562.7</v>
      </c>
      <c r="Q68">
        <v>0</v>
      </c>
      <c r="R68">
        <v>0</v>
      </c>
      <c r="S68">
        <v>0</v>
      </c>
      <c r="T68">
        <v>0</v>
      </c>
      <c r="U68">
        <v>0</v>
      </c>
      <c r="V68">
        <v>0.6</v>
      </c>
      <c r="W68">
        <v>3.5</v>
      </c>
      <c r="X68">
        <v>0.6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0.6</v>
      </c>
      <c r="AF68">
        <v>0</v>
      </c>
      <c r="AG68">
        <v>0</v>
      </c>
      <c r="AH68">
        <v>0.6</v>
      </c>
      <c r="AI68">
        <v>3.5</v>
      </c>
      <c r="AJ68">
        <v>0.6</v>
      </c>
      <c r="AK68">
        <v>0</v>
      </c>
      <c r="AL68">
        <v>0</v>
      </c>
      <c r="AM68">
        <v>0</v>
      </c>
      <c r="AN68">
        <v>0</v>
      </c>
      <c r="AO68">
        <v>0.6</v>
      </c>
      <c r="AP68">
        <v>0</v>
      </c>
      <c r="AQ68">
        <v>0</v>
      </c>
      <c r="AR68">
        <v>0</v>
      </c>
      <c r="AS68">
        <v>1</v>
      </c>
      <c r="AT68">
        <v>0.6</v>
      </c>
      <c r="AU68">
        <v>0</v>
      </c>
      <c r="AV68">
        <v>0</v>
      </c>
      <c r="AW68">
        <v>0.60000002384185791</v>
      </c>
      <c r="AX68">
        <v>0</v>
      </c>
      <c r="AY68">
        <v>0.60000002384185791</v>
      </c>
      <c r="AZ68">
        <v>0</v>
      </c>
      <c r="BA68">
        <v>0</v>
      </c>
      <c r="BB68">
        <v>0</v>
      </c>
      <c r="BC68">
        <v>0.60000002384185791</v>
      </c>
      <c r="BD68">
        <v>0</v>
      </c>
      <c r="BE68">
        <v>1</v>
      </c>
      <c r="BF68">
        <v>0</v>
      </c>
      <c r="BG68">
        <v>150</v>
      </c>
      <c r="BH68">
        <v>0.60000002384185791</v>
      </c>
      <c r="BI68">
        <v>0</v>
      </c>
      <c r="BJ68">
        <v>0</v>
      </c>
      <c r="BK68">
        <v>0</v>
      </c>
      <c r="BL68">
        <v>0</v>
      </c>
      <c r="BM68">
        <v>0</v>
      </c>
      <c r="BP68">
        <v>0</v>
      </c>
      <c r="BQ68">
        <v>0</v>
      </c>
      <c r="BT68">
        <v>0</v>
      </c>
      <c r="BU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25">
      <c r="A69">
        <v>68</v>
      </c>
      <c r="B69" t="s">
        <v>379</v>
      </c>
      <c r="C69" t="s">
        <v>380</v>
      </c>
      <c r="D69" t="s">
        <v>381</v>
      </c>
      <c r="E69" t="s">
        <v>180</v>
      </c>
      <c r="F69" t="s">
        <v>105</v>
      </c>
      <c r="G69">
        <v>1</v>
      </c>
      <c r="H69">
        <v>1</v>
      </c>
      <c r="I69">
        <v>682</v>
      </c>
      <c r="J69">
        <v>0</v>
      </c>
      <c r="K69">
        <v>0</v>
      </c>
      <c r="L69">
        <v>2954.7</v>
      </c>
      <c r="M69">
        <v>2864.4</v>
      </c>
      <c r="N69">
        <v>3525</v>
      </c>
      <c r="O69">
        <v>916.8</v>
      </c>
      <c r="P69">
        <v>4923.6000000000004</v>
      </c>
      <c r="Q69">
        <v>0</v>
      </c>
      <c r="R69">
        <v>0</v>
      </c>
      <c r="S69">
        <v>0</v>
      </c>
      <c r="T69">
        <v>0</v>
      </c>
      <c r="U69">
        <v>0</v>
      </c>
      <c r="V69">
        <v>0.3</v>
      </c>
      <c r="W69">
        <v>3</v>
      </c>
      <c r="X69">
        <v>0.3</v>
      </c>
      <c r="Y69">
        <v>0</v>
      </c>
      <c r="Z69">
        <v>0</v>
      </c>
      <c r="AA69">
        <v>0</v>
      </c>
      <c r="AB69">
        <v>0</v>
      </c>
      <c r="AC69">
        <v>0.3</v>
      </c>
      <c r="AD69">
        <v>0</v>
      </c>
      <c r="AE69">
        <v>0</v>
      </c>
      <c r="AF69">
        <v>0</v>
      </c>
      <c r="AG69">
        <v>1</v>
      </c>
      <c r="AH69">
        <v>0.3</v>
      </c>
      <c r="AI69">
        <v>3</v>
      </c>
      <c r="AJ69">
        <v>0.3</v>
      </c>
      <c r="AK69">
        <v>0</v>
      </c>
      <c r="AL69">
        <v>0</v>
      </c>
      <c r="AM69">
        <v>0</v>
      </c>
      <c r="AN69">
        <v>0</v>
      </c>
      <c r="AO69">
        <v>0.3</v>
      </c>
      <c r="AP69">
        <v>0</v>
      </c>
      <c r="AQ69">
        <v>0</v>
      </c>
      <c r="AR69">
        <v>0</v>
      </c>
      <c r="AS69">
        <v>1</v>
      </c>
      <c r="AT69">
        <v>0.3</v>
      </c>
      <c r="AU69">
        <v>0</v>
      </c>
      <c r="AV69">
        <v>0</v>
      </c>
      <c r="AW69">
        <v>0.30000001192092901</v>
      </c>
      <c r="AX69">
        <v>0</v>
      </c>
      <c r="AY69">
        <v>0</v>
      </c>
      <c r="AZ69">
        <v>0.10000000149011611</v>
      </c>
      <c r="BA69">
        <v>0.20000000298023221</v>
      </c>
      <c r="BB69">
        <v>0</v>
      </c>
      <c r="BC69">
        <v>0.10000000149011611</v>
      </c>
      <c r="BD69">
        <v>0.20000000298023221</v>
      </c>
      <c r="BE69">
        <v>0.33333333333333331</v>
      </c>
      <c r="BF69">
        <v>0.66666666666666663</v>
      </c>
      <c r="BG69">
        <v>150</v>
      </c>
      <c r="BH69">
        <v>0</v>
      </c>
      <c r="BI69">
        <v>0.10000000149011611</v>
      </c>
      <c r="BJ69">
        <v>0.20000000298023221</v>
      </c>
      <c r="BK69">
        <v>0</v>
      </c>
      <c r="BL69">
        <v>0</v>
      </c>
      <c r="BM69">
        <v>0</v>
      </c>
      <c r="BP69">
        <v>0</v>
      </c>
      <c r="BQ69">
        <v>0</v>
      </c>
      <c r="BT69">
        <v>0</v>
      </c>
      <c r="BU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25">
      <c r="A70">
        <v>69</v>
      </c>
      <c r="B70" t="s">
        <v>382</v>
      </c>
      <c r="C70" t="s">
        <v>383</v>
      </c>
      <c r="D70" t="s">
        <v>384</v>
      </c>
      <c r="E70" t="s">
        <v>385</v>
      </c>
      <c r="F70" t="s">
        <v>127</v>
      </c>
      <c r="G70">
        <v>1</v>
      </c>
      <c r="H70">
        <v>1</v>
      </c>
      <c r="I70">
        <v>448</v>
      </c>
      <c r="J70">
        <v>0</v>
      </c>
      <c r="K70">
        <v>0</v>
      </c>
      <c r="L70">
        <v>7191.3</v>
      </c>
      <c r="M70">
        <v>7765.4</v>
      </c>
      <c r="N70">
        <v>11936</v>
      </c>
      <c r="O70">
        <v>1270.5999999999999</v>
      </c>
      <c r="P70">
        <v>10334.700000000001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2.36</v>
      </c>
      <c r="W70">
        <v>3</v>
      </c>
      <c r="X70">
        <v>0</v>
      </c>
      <c r="Y70">
        <v>0</v>
      </c>
      <c r="Z70">
        <v>0</v>
      </c>
      <c r="AA70">
        <v>2.36</v>
      </c>
      <c r="AB70">
        <v>0</v>
      </c>
      <c r="AC70">
        <v>0</v>
      </c>
      <c r="AD70">
        <v>0</v>
      </c>
      <c r="AE70">
        <v>0</v>
      </c>
      <c r="AF70">
        <v>2.36</v>
      </c>
      <c r="AG70">
        <v>0</v>
      </c>
      <c r="AH70">
        <v>2.36</v>
      </c>
      <c r="AI70">
        <v>3.5</v>
      </c>
      <c r="AJ70">
        <v>2.3600000000000012</v>
      </c>
      <c r="AK70">
        <v>0</v>
      </c>
      <c r="AL70">
        <v>0</v>
      </c>
      <c r="AM70">
        <v>0</v>
      </c>
      <c r="AN70">
        <v>0</v>
      </c>
      <c r="AO70">
        <v>2.3600000000000012</v>
      </c>
      <c r="AP70">
        <v>0</v>
      </c>
      <c r="AQ70">
        <v>0</v>
      </c>
      <c r="AR70">
        <v>0</v>
      </c>
      <c r="AS70">
        <v>1</v>
      </c>
      <c r="AT70">
        <v>2.36</v>
      </c>
      <c r="AU70">
        <v>0</v>
      </c>
      <c r="AV70">
        <v>0</v>
      </c>
      <c r="AW70">
        <v>2.3599998950958252</v>
      </c>
      <c r="AX70">
        <v>0</v>
      </c>
      <c r="AY70">
        <v>2.059999942779541</v>
      </c>
      <c r="AZ70">
        <v>0.30000001192092901</v>
      </c>
      <c r="BA70">
        <v>0</v>
      </c>
      <c r="BB70">
        <v>0</v>
      </c>
      <c r="BC70">
        <v>2.35999995470047</v>
      </c>
      <c r="BD70">
        <v>0</v>
      </c>
      <c r="BE70">
        <v>1</v>
      </c>
      <c r="BF70">
        <v>0</v>
      </c>
      <c r="BG70">
        <v>150</v>
      </c>
      <c r="BH70">
        <v>2.059999942779541</v>
      </c>
      <c r="BI70">
        <v>0.30000001192092901</v>
      </c>
      <c r="BJ70">
        <v>0</v>
      </c>
      <c r="BK70">
        <v>0</v>
      </c>
      <c r="BL70">
        <v>0</v>
      </c>
      <c r="BM70">
        <v>0</v>
      </c>
      <c r="BP70">
        <v>0</v>
      </c>
      <c r="BQ70">
        <v>0</v>
      </c>
      <c r="BT70">
        <v>0</v>
      </c>
      <c r="BU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25">
      <c r="A71">
        <v>70</v>
      </c>
      <c r="B71" t="s">
        <v>386</v>
      </c>
      <c r="C71" t="s">
        <v>387</v>
      </c>
      <c r="D71" t="s">
        <v>388</v>
      </c>
      <c r="E71" t="s">
        <v>389</v>
      </c>
      <c r="F71" t="s">
        <v>100</v>
      </c>
      <c r="G71">
        <v>2</v>
      </c>
      <c r="H71">
        <v>1</v>
      </c>
      <c r="I71">
        <v>1348</v>
      </c>
      <c r="J71">
        <v>1</v>
      </c>
      <c r="L71">
        <v>3498.6</v>
      </c>
      <c r="M71">
        <v>2163.1999999999998</v>
      </c>
      <c r="N71">
        <v>6008.8</v>
      </c>
      <c r="O71">
        <v>845</v>
      </c>
      <c r="P71">
        <v>4145.8999999999996</v>
      </c>
      <c r="Q71">
        <v>0</v>
      </c>
      <c r="R71">
        <v>0</v>
      </c>
      <c r="S71">
        <v>0</v>
      </c>
      <c r="T71">
        <v>0</v>
      </c>
      <c r="U71">
        <v>0</v>
      </c>
      <c r="V71">
        <v>1.52</v>
      </c>
      <c r="W71">
        <v>3</v>
      </c>
      <c r="X71">
        <v>1.52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1.52</v>
      </c>
      <c r="AE71">
        <v>0</v>
      </c>
      <c r="AF71">
        <v>0</v>
      </c>
      <c r="AG71">
        <v>1</v>
      </c>
      <c r="AH71">
        <v>1.52</v>
      </c>
      <c r="AI71">
        <v>3</v>
      </c>
      <c r="AJ71">
        <v>1.52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0.99999999999999989</v>
      </c>
      <c r="AQ71">
        <v>0.52</v>
      </c>
      <c r="AR71">
        <v>0</v>
      </c>
      <c r="AS71">
        <v>0.6578947368421052</v>
      </c>
      <c r="AT71">
        <v>1.52</v>
      </c>
      <c r="AU71">
        <v>0</v>
      </c>
      <c r="AV71">
        <v>0</v>
      </c>
      <c r="AW71">
        <v>1.5199999809265139</v>
      </c>
      <c r="AX71">
        <v>0</v>
      </c>
      <c r="AY71">
        <v>0</v>
      </c>
      <c r="AZ71">
        <v>1.0199999809265139</v>
      </c>
      <c r="BA71">
        <v>0.5</v>
      </c>
      <c r="BB71">
        <v>0</v>
      </c>
      <c r="BC71">
        <v>1.0199999809265139</v>
      </c>
      <c r="BD71">
        <v>0.5</v>
      </c>
      <c r="BE71">
        <v>0.67105262745120187</v>
      </c>
      <c r="BF71">
        <v>0.32894737254879819</v>
      </c>
      <c r="BG71">
        <v>150</v>
      </c>
      <c r="BH71">
        <v>0</v>
      </c>
      <c r="BI71">
        <v>1.0199999809265139</v>
      </c>
      <c r="BJ71">
        <v>0.5</v>
      </c>
      <c r="BK71">
        <v>0</v>
      </c>
      <c r="BL71">
        <v>1</v>
      </c>
      <c r="BM71">
        <v>1</v>
      </c>
      <c r="BN71">
        <v>2023</v>
      </c>
      <c r="BO71">
        <v>1</v>
      </c>
      <c r="BP71">
        <v>1</v>
      </c>
      <c r="BQ71">
        <v>1</v>
      </c>
      <c r="BR71">
        <v>2023</v>
      </c>
      <c r="BS71">
        <v>2</v>
      </c>
      <c r="BT71">
        <v>1</v>
      </c>
      <c r="BU71">
        <v>1</v>
      </c>
      <c r="BV71">
        <v>2023</v>
      </c>
      <c r="BW71">
        <v>3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1:96" x14ac:dyDescent="0.25">
      <c r="A72">
        <v>71</v>
      </c>
      <c r="B72" t="s">
        <v>390</v>
      </c>
      <c r="C72" t="s">
        <v>391</v>
      </c>
      <c r="D72" t="s">
        <v>392</v>
      </c>
      <c r="E72" t="s">
        <v>393</v>
      </c>
      <c r="F72" t="s">
        <v>203</v>
      </c>
      <c r="G72">
        <v>2</v>
      </c>
      <c r="H72">
        <v>2</v>
      </c>
      <c r="I72">
        <v>1084</v>
      </c>
      <c r="J72">
        <v>1</v>
      </c>
      <c r="K72">
        <v>0</v>
      </c>
      <c r="L72">
        <v>5501</v>
      </c>
      <c r="M72">
        <v>4435</v>
      </c>
      <c r="N72">
        <v>7855.4</v>
      </c>
      <c r="O72">
        <v>1269.8</v>
      </c>
      <c r="P72">
        <v>5992.5</v>
      </c>
      <c r="Q72">
        <v>0</v>
      </c>
      <c r="R72">
        <v>0</v>
      </c>
      <c r="S72">
        <v>0</v>
      </c>
      <c r="T72">
        <v>0</v>
      </c>
      <c r="U72">
        <v>0</v>
      </c>
      <c r="V72">
        <v>1.92</v>
      </c>
      <c r="W72">
        <v>3</v>
      </c>
      <c r="X72">
        <v>1.92</v>
      </c>
      <c r="Y72">
        <v>0</v>
      </c>
      <c r="Z72">
        <v>0</v>
      </c>
      <c r="AA72">
        <v>0</v>
      </c>
      <c r="AB72">
        <v>0</v>
      </c>
      <c r="AC72">
        <v>1.92</v>
      </c>
      <c r="AD72">
        <v>0</v>
      </c>
      <c r="AE72">
        <v>0</v>
      </c>
      <c r="AF72">
        <v>0</v>
      </c>
      <c r="AG72">
        <v>1</v>
      </c>
      <c r="AH72">
        <v>1.92</v>
      </c>
      <c r="AI72">
        <v>3</v>
      </c>
      <c r="AJ72">
        <v>1.920000000000001</v>
      </c>
      <c r="AK72">
        <v>0</v>
      </c>
      <c r="AL72">
        <v>0</v>
      </c>
      <c r="AM72">
        <v>0</v>
      </c>
      <c r="AN72">
        <v>0</v>
      </c>
      <c r="AO72">
        <v>1.1200000000000001</v>
      </c>
      <c r="AP72">
        <v>0.79999999999999993</v>
      </c>
      <c r="AQ72">
        <v>0</v>
      </c>
      <c r="AR72">
        <v>0</v>
      </c>
      <c r="AS72">
        <v>1</v>
      </c>
      <c r="AT72">
        <v>1.92</v>
      </c>
      <c r="AU72">
        <v>0</v>
      </c>
      <c r="AV72">
        <v>0</v>
      </c>
      <c r="AW72">
        <v>1.919999957084656</v>
      </c>
      <c r="AX72">
        <v>0</v>
      </c>
      <c r="AY72">
        <v>0.119999997317791</v>
      </c>
      <c r="AZ72">
        <v>1.799999952316284</v>
      </c>
      <c r="BA72">
        <v>0</v>
      </c>
      <c r="BB72">
        <v>0</v>
      </c>
      <c r="BC72">
        <v>1.9199999496340749</v>
      </c>
      <c r="BD72">
        <v>0</v>
      </c>
      <c r="BE72">
        <v>1</v>
      </c>
      <c r="BF72">
        <v>0</v>
      </c>
      <c r="BG72">
        <v>150</v>
      </c>
      <c r="BH72">
        <v>0.119999997317791</v>
      </c>
      <c r="BI72">
        <v>1.799999952316284</v>
      </c>
      <c r="BJ72">
        <v>0</v>
      </c>
      <c r="BK72">
        <v>0</v>
      </c>
      <c r="BL72">
        <v>0</v>
      </c>
      <c r="BM72">
        <v>0</v>
      </c>
      <c r="BP72">
        <v>0</v>
      </c>
      <c r="BQ72">
        <v>0</v>
      </c>
      <c r="BT72">
        <v>0</v>
      </c>
      <c r="BU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1:96" x14ac:dyDescent="0.25">
      <c r="A73">
        <v>72</v>
      </c>
      <c r="B73" t="s">
        <v>394</v>
      </c>
      <c r="C73" t="s">
        <v>395</v>
      </c>
      <c r="D73" t="s">
        <v>396</v>
      </c>
      <c r="E73" t="s">
        <v>397</v>
      </c>
      <c r="F73" t="s">
        <v>100</v>
      </c>
      <c r="G73">
        <v>2</v>
      </c>
      <c r="H73">
        <v>1</v>
      </c>
      <c r="I73">
        <v>1637</v>
      </c>
      <c r="J73">
        <v>1</v>
      </c>
      <c r="K73">
        <v>1</v>
      </c>
      <c r="L73">
        <v>3537.8</v>
      </c>
      <c r="M73">
        <v>2014.8</v>
      </c>
      <c r="N73">
        <v>5299.5</v>
      </c>
      <c r="O73">
        <v>697.1</v>
      </c>
      <c r="P73">
        <v>3436.6</v>
      </c>
      <c r="Q73">
        <v>0</v>
      </c>
      <c r="R73">
        <v>0</v>
      </c>
      <c r="S73">
        <v>0</v>
      </c>
      <c r="T73">
        <v>0</v>
      </c>
      <c r="U73">
        <v>0</v>
      </c>
      <c r="V73">
        <v>1.29</v>
      </c>
      <c r="W73">
        <v>3</v>
      </c>
      <c r="X73">
        <v>1.29</v>
      </c>
      <c r="Y73">
        <v>0</v>
      </c>
      <c r="Z73">
        <v>0</v>
      </c>
      <c r="AA73">
        <v>0</v>
      </c>
      <c r="AB73">
        <v>0</v>
      </c>
      <c r="AC73">
        <v>1.29</v>
      </c>
      <c r="AD73">
        <v>0</v>
      </c>
      <c r="AE73">
        <v>0</v>
      </c>
      <c r="AF73">
        <v>0</v>
      </c>
      <c r="AG73">
        <v>1</v>
      </c>
      <c r="AH73">
        <v>1.29</v>
      </c>
      <c r="AI73">
        <v>3</v>
      </c>
      <c r="AJ73">
        <v>1.29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1.29</v>
      </c>
      <c r="AQ73">
        <v>0</v>
      </c>
      <c r="AR73">
        <v>0</v>
      </c>
      <c r="AS73">
        <v>1</v>
      </c>
      <c r="AT73">
        <v>1.29</v>
      </c>
      <c r="AU73">
        <v>0</v>
      </c>
      <c r="AV73">
        <v>0</v>
      </c>
      <c r="AW73">
        <v>1.2899999618530269</v>
      </c>
      <c r="AX73">
        <v>0</v>
      </c>
      <c r="AY73">
        <v>0</v>
      </c>
      <c r="AZ73">
        <v>0.99000000953674316</v>
      </c>
      <c r="BA73">
        <v>0.30000001192092901</v>
      </c>
      <c r="BB73">
        <v>0</v>
      </c>
      <c r="BC73">
        <v>0.99000000953674316</v>
      </c>
      <c r="BD73">
        <v>0.30000001192092901</v>
      </c>
      <c r="BE73">
        <v>0.76744185509242435</v>
      </c>
      <c r="BF73">
        <v>0.23255814490757559</v>
      </c>
      <c r="BG73">
        <v>150</v>
      </c>
      <c r="BH73">
        <v>0</v>
      </c>
      <c r="BI73">
        <v>0.99000000953674316</v>
      </c>
      <c r="BJ73">
        <v>0.30000001192092901</v>
      </c>
      <c r="BK73">
        <v>0</v>
      </c>
      <c r="BL73">
        <v>0</v>
      </c>
      <c r="BM73">
        <v>0</v>
      </c>
      <c r="BP73">
        <v>0</v>
      </c>
      <c r="BQ73">
        <v>0</v>
      </c>
      <c r="BT73">
        <v>0</v>
      </c>
      <c r="BU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x14ac:dyDescent="0.25">
      <c r="A74">
        <v>73</v>
      </c>
      <c r="B74" t="s">
        <v>398</v>
      </c>
      <c r="C74" t="s">
        <v>399</v>
      </c>
      <c r="D74" t="s">
        <v>400</v>
      </c>
      <c r="E74" t="s">
        <v>401</v>
      </c>
      <c r="F74" t="s">
        <v>100</v>
      </c>
      <c r="G74">
        <v>1</v>
      </c>
      <c r="H74">
        <v>1</v>
      </c>
      <c r="I74">
        <v>775</v>
      </c>
      <c r="J74">
        <v>0</v>
      </c>
      <c r="K74">
        <v>1</v>
      </c>
      <c r="L74">
        <v>2824.3</v>
      </c>
      <c r="M74">
        <v>1429.3</v>
      </c>
      <c r="N74">
        <v>4911</v>
      </c>
      <c r="O74">
        <v>113.6</v>
      </c>
      <c r="P74">
        <v>3048.1</v>
      </c>
      <c r="Q74">
        <v>0</v>
      </c>
      <c r="R74">
        <v>0</v>
      </c>
      <c r="S74">
        <v>0</v>
      </c>
      <c r="T74">
        <v>0</v>
      </c>
      <c r="U74">
        <v>0</v>
      </c>
      <c r="V74">
        <v>0.89</v>
      </c>
      <c r="W74">
        <v>3.5</v>
      </c>
      <c r="X74">
        <v>0.89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0.89</v>
      </c>
      <c r="AE74">
        <v>0</v>
      </c>
      <c r="AF74">
        <v>0</v>
      </c>
      <c r="AG74">
        <v>1</v>
      </c>
      <c r="AH74">
        <v>0.89</v>
      </c>
      <c r="AI74">
        <v>3.5</v>
      </c>
      <c r="AJ74">
        <v>0.8899999999999999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0.69</v>
      </c>
      <c r="AQ74">
        <v>0.2</v>
      </c>
      <c r="AR74">
        <v>0</v>
      </c>
      <c r="AS74">
        <v>0.7752808988764045</v>
      </c>
      <c r="AT74">
        <v>0.89</v>
      </c>
      <c r="AU74">
        <v>0</v>
      </c>
      <c r="AV74">
        <v>0</v>
      </c>
      <c r="AW74">
        <v>0.88999998569488525</v>
      </c>
      <c r="AX74">
        <v>0</v>
      </c>
      <c r="AY74">
        <v>0</v>
      </c>
      <c r="AZ74">
        <v>0.38999998569488531</v>
      </c>
      <c r="BA74">
        <v>0.40000000596046448</v>
      </c>
      <c r="BB74">
        <v>0.10000000149011611</v>
      </c>
      <c r="BC74">
        <v>0.38999998569488531</v>
      </c>
      <c r="BD74">
        <v>0.5000000074505806</v>
      </c>
      <c r="BE74">
        <v>0.43820223449276119</v>
      </c>
      <c r="BF74">
        <v>0.56179776550723881</v>
      </c>
      <c r="BG74">
        <v>150</v>
      </c>
      <c r="BH74">
        <v>0</v>
      </c>
      <c r="BI74">
        <v>0.38999998569488531</v>
      </c>
      <c r="BJ74">
        <v>0.40000000596046448</v>
      </c>
      <c r="BK74">
        <v>0.10000000149011611</v>
      </c>
      <c r="BL74">
        <v>1</v>
      </c>
      <c r="BM74">
        <v>1</v>
      </c>
      <c r="BN74">
        <v>2023</v>
      </c>
      <c r="BO74">
        <v>1</v>
      </c>
      <c r="BP74">
        <v>1</v>
      </c>
      <c r="BQ74">
        <v>1</v>
      </c>
      <c r="BR74">
        <v>2023</v>
      </c>
      <c r="BS74">
        <v>2</v>
      </c>
      <c r="BT74">
        <v>1</v>
      </c>
      <c r="BU74">
        <v>1</v>
      </c>
      <c r="BV74">
        <v>2023</v>
      </c>
      <c r="BW74">
        <v>3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25">
      <c r="A75">
        <v>74</v>
      </c>
      <c r="B75" t="s">
        <v>402</v>
      </c>
      <c r="C75" t="s">
        <v>403</v>
      </c>
      <c r="D75" t="s">
        <v>404</v>
      </c>
      <c r="E75" t="s">
        <v>405</v>
      </c>
      <c r="F75" t="s">
        <v>100</v>
      </c>
      <c r="G75">
        <v>2</v>
      </c>
      <c r="H75">
        <v>1</v>
      </c>
      <c r="I75">
        <v>1503</v>
      </c>
      <c r="J75">
        <v>0</v>
      </c>
      <c r="K75">
        <v>0</v>
      </c>
      <c r="L75">
        <v>6491.8</v>
      </c>
      <c r="M75">
        <v>5365.4</v>
      </c>
      <c r="N75">
        <v>7507</v>
      </c>
      <c r="O75">
        <v>1638.9</v>
      </c>
      <c r="P75">
        <v>6173.5</v>
      </c>
      <c r="Q75">
        <v>0</v>
      </c>
      <c r="R75">
        <v>0</v>
      </c>
      <c r="S75">
        <v>0</v>
      </c>
      <c r="T75">
        <v>0</v>
      </c>
      <c r="U75">
        <v>0</v>
      </c>
      <c r="V75">
        <v>2.95</v>
      </c>
      <c r="W75">
        <v>3</v>
      </c>
      <c r="X75">
        <v>1.6</v>
      </c>
      <c r="Y75">
        <v>0</v>
      </c>
      <c r="Z75">
        <v>0</v>
      </c>
      <c r="AA75">
        <v>0</v>
      </c>
      <c r="AB75">
        <v>1.35</v>
      </c>
      <c r="AC75">
        <v>1.5</v>
      </c>
      <c r="AD75">
        <v>0</v>
      </c>
      <c r="AE75">
        <v>0</v>
      </c>
      <c r="AF75">
        <v>1.45</v>
      </c>
      <c r="AG75">
        <v>0.50847457627118642</v>
      </c>
      <c r="AH75">
        <v>2.95</v>
      </c>
      <c r="AI75">
        <v>3</v>
      </c>
      <c r="AJ75">
        <v>1.5</v>
      </c>
      <c r="AK75">
        <v>0</v>
      </c>
      <c r="AL75">
        <v>0</v>
      </c>
      <c r="AM75">
        <v>0.7</v>
      </c>
      <c r="AN75">
        <v>0.75</v>
      </c>
      <c r="AO75">
        <v>0</v>
      </c>
      <c r="AP75">
        <v>1.5</v>
      </c>
      <c r="AQ75">
        <v>0</v>
      </c>
      <c r="AR75">
        <v>1.45</v>
      </c>
      <c r="AS75">
        <v>0.50847457627118653</v>
      </c>
      <c r="AT75">
        <v>2.95</v>
      </c>
      <c r="AU75">
        <v>0</v>
      </c>
      <c r="AV75">
        <v>0</v>
      </c>
      <c r="AW75">
        <v>1.5</v>
      </c>
      <c r="AX75">
        <v>0</v>
      </c>
      <c r="AY75">
        <v>0</v>
      </c>
      <c r="AZ75">
        <v>1.5</v>
      </c>
      <c r="BA75">
        <v>0</v>
      </c>
      <c r="BB75">
        <v>0</v>
      </c>
      <c r="BC75">
        <v>1.5</v>
      </c>
      <c r="BD75">
        <v>0</v>
      </c>
      <c r="BE75">
        <v>1</v>
      </c>
      <c r="BF75">
        <v>0</v>
      </c>
      <c r="BG75">
        <v>150</v>
      </c>
      <c r="BH75">
        <v>0</v>
      </c>
      <c r="BI75">
        <v>1.5</v>
      </c>
      <c r="BJ75">
        <v>0</v>
      </c>
      <c r="BK75">
        <v>0</v>
      </c>
      <c r="BL75">
        <v>1</v>
      </c>
      <c r="BM75">
        <v>1</v>
      </c>
      <c r="BN75">
        <v>2023</v>
      </c>
      <c r="BO75">
        <v>1</v>
      </c>
      <c r="BP75">
        <v>1</v>
      </c>
      <c r="BQ75">
        <v>1</v>
      </c>
      <c r="BR75">
        <v>2023</v>
      </c>
      <c r="BS75">
        <v>2</v>
      </c>
      <c r="BT75">
        <v>1</v>
      </c>
      <c r="BU75">
        <v>1</v>
      </c>
      <c r="BV75">
        <v>2023</v>
      </c>
      <c r="BW75">
        <v>3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1:96" x14ac:dyDescent="0.25">
      <c r="A76">
        <v>75</v>
      </c>
      <c r="B76" t="s">
        <v>406</v>
      </c>
      <c r="C76" t="s">
        <v>407</v>
      </c>
      <c r="D76" t="s">
        <v>408</v>
      </c>
      <c r="E76" t="s">
        <v>409</v>
      </c>
      <c r="F76" t="s">
        <v>363</v>
      </c>
      <c r="G76">
        <v>2</v>
      </c>
      <c r="H76">
        <v>1</v>
      </c>
      <c r="I76">
        <v>1172</v>
      </c>
      <c r="J76">
        <v>0</v>
      </c>
      <c r="K76">
        <v>0</v>
      </c>
      <c r="L76">
        <v>1245.2</v>
      </c>
      <c r="M76">
        <v>609.9</v>
      </c>
      <c r="N76">
        <v>2464.1</v>
      </c>
      <c r="O76">
        <v>629.9</v>
      </c>
      <c r="P76">
        <v>29077.200000000001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0.56999999999999995</v>
      </c>
      <c r="W76">
        <v>3</v>
      </c>
      <c r="X76">
        <v>0</v>
      </c>
      <c r="Y76">
        <v>0</v>
      </c>
      <c r="Z76">
        <v>0.1</v>
      </c>
      <c r="AA76">
        <v>0.47</v>
      </c>
      <c r="AB76">
        <v>0</v>
      </c>
      <c r="AC76">
        <v>0</v>
      </c>
      <c r="AD76">
        <v>0.1</v>
      </c>
      <c r="AE76">
        <v>0</v>
      </c>
      <c r="AF76">
        <v>0.47</v>
      </c>
      <c r="AG76">
        <v>0.17543859649122809</v>
      </c>
      <c r="AH76">
        <v>0.56999999999999995</v>
      </c>
      <c r="AI76">
        <v>3</v>
      </c>
      <c r="AJ76">
        <v>0</v>
      </c>
      <c r="AK76">
        <v>0</v>
      </c>
      <c r="AL76">
        <v>0.1</v>
      </c>
      <c r="AM76">
        <v>0.47</v>
      </c>
      <c r="AN76">
        <v>0</v>
      </c>
      <c r="AO76">
        <v>0</v>
      </c>
      <c r="AP76">
        <v>0.1</v>
      </c>
      <c r="AQ76">
        <v>0</v>
      </c>
      <c r="AR76">
        <v>0.47</v>
      </c>
      <c r="AS76">
        <v>0.17543859649122809</v>
      </c>
      <c r="AT76">
        <v>0.56999999999999995</v>
      </c>
      <c r="AU76">
        <v>0.37000000476837158</v>
      </c>
      <c r="AV76">
        <v>0.20000000298023221</v>
      </c>
      <c r="AW76">
        <v>0</v>
      </c>
      <c r="AX76">
        <v>0</v>
      </c>
      <c r="AY76">
        <v>0.56999999284744263</v>
      </c>
      <c r="AZ76">
        <v>0</v>
      </c>
      <c r="BA76">
        <v>0</v>
      </c>
      <c r="BB76">
        <v>0</v>
      </c>
      <c r="BC76">
        <v>0.56999999284744263</v>
      </c>
      <c r="BD76">
        <v>0</v>
      </c>
      <c r="BE76">
        <v>1</v>
      </c>
      <c r="BF76">
        <v>0</v>
      </c>
      <c r="BG76">
        <v>150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3</v>
      </c>
      <c r="BN76">
        <v>2023</v>
      </c>
      <c r="BO76">
        <v>1</v>
      </c>
      <c r="BP76">
        <v>1</v>
      </c>
      <c r="BQ76">
        <v>4</v>
      </c>
      <c r="BR76">
        <v>2024</v>
      </c>
      <c r="BS76">
        <v>1</v>
      </c>
      <c r="BT76">
        <v>1</v>
      </c>
      <c r="BU76">
        <v>5</v>
      </c>
      <c r="BV76">
        <v>2025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1:96" x14ac:dyDescent="0.25">
      <c r="A77">
        <v>76</v>
      </c>
      <c r="B77" t="s">
        <v>410</v>
      </c>
      <c r="C77" t="s">
        <v>411</v>
      </c>
      <c r="D77" t="s">
        <v>412</v>
      </c>
      <c r="E77" t="s">
        <v>413</v>
      </c>
      <c r="F77" t="s">
        <v>105</v>
      </c>
      <c r="G77">
        <v>1</v>
      </c>
      <c r="H77">
        <v>1</v>
      </c>
      <c r="I77">
        <v>313</v>
      </c>
      <c r="J77">
        <v>0</v>
      </c>
      <c r="K77">
        <v>0</v>
      </c>
      <c r="L77">
        <v>1860.7</v>
      </c>
      <c r="M77">
        <v>2224.4</v>
      </c>
      <c r="N77">
        <v>7617.1</v>
      </c>
      <c r="O77">
        <v>1155.9000000000001</v>
      </c>
      <c r="P77">
        <v>8996.6</v>
      </c>
      <c r="Q77">
        <v>0</v>
      </c>
      <c r="R77">
        <v>0</v>
      </c>
      <c r="S77">
        <v>0</v>
      </c>
      <c r="T77">
        <v>0</v>
      </c>
      <c r="U77">
        <v>0</v>
      </c>
      <c r="V77">
        <v>1.1599999999999999</v>
      </c>
      <c r="W77">
        <v>3</v>
      </c>
      <c r="X77">
        <v>1.1000000000000001</v>
      </c>
      <c r="Y77">
        <v>0</v>
      </c>
      <c r="Z77">
        <v>0</v>
      </c>
      <c r="AA77">
        <v>0</v>
      </c>
      <c r="AB77">
        <v>0.06</v>
      </c>
      <c r="AC77">
        <v>0</v>
      </c>
      <c r="AD77">
        <v>0.9</v>
      </c>
      <c r="AE77">
        <v>0.2</v>
      </c>
      <c r="AF77">
        <v>0.06</v>
      </c>
      <c r="AG77">
        <v>0.77586206896551713</v>
      </c>
      <c r="AH77">
        <v>1.1599999999999999</v>
      </c>
      <c r="AI77">
        <v>3</v>
      </c>
      <c r="AJ77">
        <v>0.99999999999999989</v>
      </c>
      <c r="AK77">
        <v>0</v>
      </c>
      <c r="AL77">
        <v>0</v>
      </c>
      <c r="AM77">
        <v>0</v>
      </c>
      <c r="AN77">
        <v>0.16</v>
      </c>
      <c r="AO77">
        <v>0</v>
      </c>
      <c r="AP77">
        <v>0.79999999999999993</v>
      </c>
      <c r="AQ77">
        <v>0.2</v>
      </c>
      <c r="AR77">
        <v>0.16</v>
      </c>
      <c r="AS77">
        <v>0.68965517241379304</v>
      </c>
      <c r="AT77">
        <v>1.1599999999999999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0.80000001192092896</v>
      </c>
      <c r="BA77">
        <v>0.20000000298023221</v>
      </c>
      <c r="BB77">
        <v>0</v>
      </c>
      <c r="BC77">
        <v>0.80000001192092896</v>
      </c>
      <c r="BD77">
        <v>0.20000000298023221</v>
      </c>
      <c r="BE77">
        <v>0.8</v>
      </c>
      <c r="BF77">
        <v>0.2</v>
      </c>
      <c r="BG77">
        <v>150</v>
      </c>
      <c r="BH77">
        <v>0</v>
      </c>
      <c r="BI77">
        <v>0.80000001192092896</v>
      </c>
      <c r="BJ77">
        <v>0.20000000298023221</v>
      </c>
      <c r="BK77">
        <v>0</v>
      </c>
      <c r="BL77">
        <v>1</v>
      </c>
      <c r="BM77">
        <v>3</v>
      </c>
      <c r="BN77">
        <v>2023</v>
      </c>
      <c r="BO77">
        <v>1</v>
      </c>
      <c r="BP77">
        <v>1</v>
      </c>
      <c r="BQ77">
        <v>3</v>
      </c>
      <c r="BR77">
        <v>2023</v>
      </c>
      <c r="BS77">
        <v>2</v>
      </c>
      <c r="BT77">
        <v>1</v>
      </c>
      <c r="BU77">
        <v>3</v>
      </c>
      <c r="BV77">
        <v>2023</v>
      </c>
      <c r="BW77">
        <v>3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1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1:96" x14ac:dyDescent="0.25">
      <c r="A78">
        <v>77</v>
      </c>
      <c r="B78" t="s">
        <v>414</v>
      </c>
      <c r="C78" t="s">
        <v>415</v>
      </c>
      <c r="D78" t="s">
        <v>416</v>
      </c>
      <c r="E78" t="s">
        <v>417</v>
      </c>
      <c r="F78" t="s">
        <v>105</v>
      </c>
      <c r="G78">
        <v>2</v>
      </c>
      <c r="H78">
        <v>1</v>
      </c>
      <c r="I78">
        <v>827</v>
      </c>
      <c r="J78">
        <v>0</v>
      </c>
      <c r="K78">
        <v>1</v>
      </c>
      <c r="L78">
        <v>2082.5</v>
      </c>
      <c r="M78">
        <v>1257.4000000000001</v>
      </c>
      <c r="N78">
        <v>7886</v>
      </c>
      <c r="O78">
        <v>568.79999999999995</v>
      </c>
      <c r="P78">
        <v>9265.5</v>
      </c>
      <c r="Q78">
        <v>0</v>
      </c>
      <c r="R78">
        <v>0</v>
      </c>
      <c r="S78">
        <v>0</v>
      </c>
      <c r="T78">
        <v>0</v>
      </c>
      <c r="U78">
        <v>0</v>
      </c>
      <c r="V78">
        <v>0.52</v>
      </c>
      <c r="W78">
        <v>3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0.52</v>
      </c>
      <c r="AD78">
        <v>0</v>
      </c>
      <c r="AE78">
        <v>0</v>
      </c>
      <c r="AF78">
        <v>0</v>
      </c>
      <c r="AG78">
        <v>1</v>
      </c>
      <c r="AH78">
        <v>0.52</v>
      </c>
      <c r="AI78">
        <v>3</v>
      </c>
      <c r="AJ78">
        <v>0.52</v>
      </c>
      <c r="AK78">
        <v>0</v>
      </c>
      <c r="AL78">
        <v>0</v>
      </c>
      <c r="AM78">
        <v>0</v>
      </c>
      <c r="AN78">
        <v>0</v>
      </c>
      <c r="AO78">
        <v>0.52</v>
      </c>
      <c r="AP78">
        <v>0</v>
      </c>
      <c r="AQ78">
        <v>0</v>
      </c>
      <c r="AR78">
        <v>0</v>
      </c>
      <c r="AS78">
        <v>1</v>
      </c>
      <c r="AT78">
        <v>0.52</v>
      </c>
      <c r="AU78">
        <v>0</v>
      </c>
      <c r="AV78">
        <v>0</v>
      </c>
      <c r="AW78">
        <v>0.51999998092651367</v>
      </c>
      <c r="AX78">
        <v>0</v>
      </c>
      <c r="AY78">
        <v>0.41999998688697809</v>
      </c>
      <c r="AZ78">
        <v>0.10000000149011611</v>
      </c>
      <c r="BA78">
        <v>0</v>
      </c>
      <c r="BB78">
        <v>0</v>
      </c>
      <c r="BC78">
        <v>0.51999998837709427</v>
      </c>
      <c r="BD78">
        <v>0</v>
      </c>
      <c r="BE78">
        <v>1</v>
      </c>
      <c r="BF78">
        <v>0</v>
      </c>
      <c r="BG78">
        <v>150</v>
      </c>
      <c r="BH78">
        <v>0.41999998688697809</v>
      </c>
      <c r="BI78">
        <v>0.10000000149011611</v>
      </c>
      <c r="BJ78">
        <v>0</v>
      </c>
      <c r="BK78">
        <v>0</v>
      </c>
      <c r="BL78">
        <v>0</v>
      </c>
      <c r="BM78">
        <v>0</v>
      </c>
      <c r="BP78">
        <v>0</v>
      </c>
      <c r="BQ78">
        <v>0</v>
      </c>
      <c r="BT78">
        <v>0</v>
      </c>
      <c r="BU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1:96" x14ac:dyDescent="0.25">
      <c r="A79">
        <v>78</v>
      </c>
      <c r="B79" t="s">
        <v>418</v>
      </c>
      <c r="C79" t="s">
        <v>419</v>
      </c>
      <c r="D79" t="s">
        <v>420</v>
      </c>
      <c r="E79" t="s">
        <v>421</v>
      </c>
      <c r="F79" t="s">
        <v>315</v>
      </c>
      <c r="G79">
        <v>1</v>
      </c>
      <c r="H79">
        <v>1</v>
      </c>
      <c r="I79">
        <v>771</v>
      </c>
      <c r="J79">
        <v>0</v>
      </c>
      <c r="K79">
        <v>0</v>
      </c>
      <c r="L79">
        <v>2087.4</v>
      </c>
      <c r="M79">
        <v>657.1</v>
      </c>
      <c r="N79">
        <v>3045.9</v>
      </c>
      <c r="O79">
        <v>341.5</v>
      </c>
      <c r="P79">
        <v>29659</v>
      </c>
      <c r="Q79">
        <v>0</v>
      </c>
      <c r="R79">
        <v>0</v>
      </c>
      <c r="S79">
        <v>0</v>
      </c>
      <c r="T79">
        <v>0</v>
      </c>
      <c r="U79">
        <v>0</v>
      </c>
      <c r="V79">
        <v>0.24</v>
      </c>
      <c r="W79">
        <v>3.5</v>
      </c>
      <c r="X79">
        <v>0.24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0.24</v>
      </c>
      <c r="AG79">
        <v>0</v>
      </c>
      <c r="AH79">
        <v>0.24</v>
      </c>
      <c r="AI79">
        <v>3.5</v>
      </c>
      <c r="AJ79">
        <v>0.24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0.24</v>
      </c>
      <c r="AS79">
        <v>0</v>
      </c>
      <c r="AT79">
        <v>0.24</v>
      </c>
      <c r="AU79">
        <v>0</v>
      </c>
      <c r="AV79">
        <v>0</v>
      </c>
      <c r="AW79">
        <v>0.239999994635582</v>
      </c>
      <c r="AX79">
        <v>0</v>
      </c>
      <c r="AY79">
        <v>0</v>
      </c>
      <c r="AZ79">
        <v>0</v>
      </c>
      <c r="BA79">
        <v>0</v>
      </c>
      <c r="BB79">
        <v>0.239999994635582</v>
      </c>
      <c r="BC79">
        <v>0</v>
      </c>
      <c r="BD79">
        <v>0.239999994635582</v>
      </c>
      <c r="BE79">
        <v>0</v>
      </c>
      <c r="BF79">
        <v>1</v>
      </c>
      <c r="BG79">
        <v>150</v>
      </c>
      <c r="BH79">
        <v>0</v>
      </c>
      <c r="BI79">
        <v>0</v>
      </c>
      <c r="BJ79">
        <v>0</v>
      </c>
      <c r="BK79">
        <v>0.239999994635582</v>
      </c>
      <c r="BL79">
        <v>0</v>
      </c>
      <c r="BM79">
        <v>0</v>
      </c>
      <c r="BP79">
        <v>0</v>
      </c>
      <c r="BQ79">
        <v>0</v>
      </c>
      <c r="BT79">
        <v>0</v>
      </c>
      <c r="BU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1</v>
      </c>
      <c r="CR79">
        <v>0</v>
      </c>
    </row>
    <row r="80" spans="1:96" x14ac:dyDescent="0.25">
      <c r="A80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100</v>
      </c>
      <c r="G80">
        <v>1</v>
      </c>
      <c r="H80">
        <v>1</v>
      </c>
      <c r="I80">
        <v>630</v>
      </c>
      <c r="J80">
        <v>0</v>
      </c>
      <c r="K80">
        <v>0</v>
      </c>
      <c r="L80">
        <v>2508.6999999999998</v>
      </c>
      <c r="M80">
        <v>2658.7</v>
      </c>
      <c r="N80">
        <v>2185.1999999999998</v>
      </c>
      <c r="O80">
        <v>1236.8</v>
      </c>
      <c r="P80">
        <v>2363.6999999999998</v>
      </c>
      <c r="Q80">
        <v>0</v>
      </c>
      <c r="R80">
        <v>0</v>
      </c>
      <c r="S80">
        <v>0</v>
      </c>
      <c r="T80">
        <v>0</v>
      </c>
      <c r="U80">
        <v>0</v>
      </c>
      <c r="V80">
        <v>0.7</v>
      </c>
      <c r="W80">
        <v>3.5</v>
      </c>
      <c r="X80">
        <v>0</v>
      </c>
      <c r="Y80">
        <v>0</v>
      </c>
      <c r="Z80">
        <v>0</v>
      </c>
      <c r="AA80">
        <v>0.7</v>
      </c>
      <c r="AB80">
        <v>0</v>
      </c>
      <c r="AC80">
        <v>0</v>
      </c>
      <c r="AD80">
        <v>0</v>
      </c>
      <c r="AE80">
        <v>0</v>
      </c>
      <c r="AF80">
        <v>0.7</v>
      </c>
      <c r="AG80">
        <v>0</v>
      </c>
      <c r="AH80">
        <v>0.7</v>
      </c>
      <c r="AI80">
        <v>3.5</v>
      </c>
      <c r="AJ80">
        <v>0.7</v>
      </c>
      <c r="AK80">
        <v>0</v>
      </c>
      <c r="AL80">
        <v>0</v>
      </c>
      <c r="AM80">
        <v>0</v>
      </c>
      <c r="AN80">
        <v>0</v>
      </c>
      <c r="AO80">
        <v>0.7</v>
      </c>
      <c r="AP80">
        <v>0</v>
      </c>
      <c r="AQ80">
        <v>0</v>
      </c>
      <c r="AR80">
        <v>0</v>
      </c>
      <c r="AS80">
        <v>1</v>
      </c>
      <c r="AT80">
        <v>0.7</v>
      </c>
      <c r="AU80">
        <v>0</v>
      </c>
      <c r="AV80">
        <v>0</v>
      </c>
      <c r="AW80">
        <v>0.69999998807907104</v>
      </c>
      <c r="AX80">
        <v>0</v>
      </c>
      <c r="AY80">
        <v>0.69999998807907104</v>
      </c>
      <c r="AZ80">
        <v>0</v>
      </c>
      <c r="BA80">
        <v>0</v>
      </c>
      <c r="BB80">
        <v>0</v>
      </c>
      <c r="BC80">
        <v>0.69999998807907104</v>
      </c>
      <c r="BD80">
        <v>0</v>
      </c>
      <c r="BE80">
        <v>1</v>
      </c>
      <c r="BF80">
        <v>0</v>
      </c>
      <c r="BG80">
        <v>150</v>
      </c>
      <c r="BH80">
        <v>0.69999998807907104</v>
      </c>
      <c r="BI80">
        <v>0</v>
      </c>
      <c r="BJ80">
        <v>0</v>
      </c>
      <c r="BK80">
        <v>0</v>
      </c>
      <c r="BL80">
        <v>0</v>
      </c>
      <c r="BM80">
        <v>0</v>
      </c>
      <c r="BP80">
        <v>1</v>
      </c>
      <c r="BQ80">
        <v>1</v>
      </c>
      <c r="BR80">
        <v>2024</v>
      </c>
      <c r="BS80">
        <v>1</v>
      </c>
      <c r="BT80">
        <v>1</v>
      </c>
      <c r="BU80">
        <v>1</v>
      </c>
      <c r="BV80">
        <v>2024</v>
      </c>
      <c r="BW80">
        <v>2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1:96" x14ac:dyDescent="0.25">
      <c r="A81">
        <v>80</v>
      </c>
      <c r="B81" t="s">
        <v>426</v>
      </c>
      <c r="C81" t="s">
        <v>427</v>
      </c>
      <c r="D81" t="s">
        <v>428</v>
      </c>
      <c r="E81" t="s">
        <v>429</v>
      </c>
      <c r="F81" t="s">
        <v>132</v>
      </c>
      <c r="G81">
        <v>2</v>
      </c>
      <c r="H81">
        <v>1</v>
      </c>
      <c r="I81">
        <v>1110</v>
      </c>
      <c r="J81">
        <v>0</v>
      </c>
      <c r="K81">
        <v>0</v>
      </c>
      <c r="L81">
        <v>8342.9</v>
      </c>
      <c r="M81">
        <v>2875.1</v>
      </c>
      <c r="N81">
        <v>16421.599999999999</v>
      </c>
      <c r="O81">
        <v>404.8</v>
      </c>
      <c r="P81">
        <v>14820.3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3</v>
      </c>
      <c r="X81">
        <v>5</v>
      </c>
      <c r="Y81">
        <v>0</v>
      </c>
      <c r="Z81">
        <v>0</v>
      </c>
      <c r="AA81">
        <v>0</v>
      </c>
      <c r="AB81">
        <v>0</v>
      </c>
      <c r="AC81">
        <v>5</v>
      </c>
      <c r="AD81">
        <v>0</v>
      </c>
      <c r="AE81">
        <v>0</v>
      </c>
      <c r="AF81">
        <v>0</v>
      </c>
      <c r="AG81">
        <v>1</v>
      </c>
      <c r="AH81">
        <v>5</v>
      </c>
      <c r="AI81">
        <v>3</v>
      </c>
      <c r="AJ81">
        <v>4.9999999999999982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4.9999999999999982</v>
      </c>
      <c r="AQ81">
        <v>0</v>
      </c>
      <c r="AR81">
        <v>0</v>
      </c>
      <c r="AS81">
        <v>1</v>
      </c>
      <c r="AT81">
        <v>5</v>
      </c>
      <c r="AU81">
        <v>0</v>
      </c>
      <c r="AV81">
        <v>0</v>
      </c>
      <c r="AW81">
        <v>5</v>
      </c>
      <c r="AX81">
        <v>0</v>
      </c>
      <c r="AY81">
        <v>0</v>
      </c>
      <c r="AZ81">
        <v>3.7999999523162842</v>
      </c>
      <c r="BA81">
        <v>1.1000000238418579</v>
      </c>
      <c r="BB81">
        <v>0.10000000149011611</v>
      </c>
      <c r="BC81">
        <v>3.7999999523162842</v>
      </c>
      <c r="BD81">
        <v>1.200000025331974</v>
      </c>
      <c r="BE81">
        <v>0.75999999386072159</v>
      </c>
      <c r="BF81">
        <v>0.24000000613927841</v>
      </c>
      <c r="BG81">
        <v>150</v>
      </c>
      <c r="BH81">
        <v>0</v>
      </c>
      <c r="BI81">
        <v>3.7999999523162842</v>
      </c>
      <c r="BJ81">
        <v>1.1000000238418579</v>
      </c>
      <c r="BK81">
        <v>0.10000000149011611</v>
      </c>
      <c r="BL81">
        <v>1</v>
      </c>
      <c r="BM81">
        <v>1</v>
      </c>
      <c r="BN81">
        <v>2023</v>
      </c>
      <c r="BO81">
        <v>1</v>
      </c>
      <c r="BP81">
        <v>1</v>
      </c>
      <c r="BQ81">
        <v>2</v>
      </c>
      <c r="BR81">
        <v>2024</v>
      </c>
      <c r="BS81">
        <v>1</v>
      </c>
      <c r="BT81">
        <v>1</v>
      </c>
      <c r="BU81">
        <v>3</v>
      </c>
      <c r="BV81">
        <v>2025</v>
      </c>
      <c r="BW81">
        <v>1</v>
      </c>
      <c r="BX81">
        <v>0</v>
      </c>
      <c r="BY81">
        <v>0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25">
      <c r="A82">
        <v>81</v>
      </c>
      <c r="B82" t="s">
        <v>430</v>
      </c>
      <c r="C82" t="s">
        <v>431</v>
      </c>
      <c r="D82" t="s">
        <v>432</v>
      </c>
      <c r="E82" t="s">
        <v>433</v>
      </c>
      <c r="F82" t="s">
        <v>105</v>
      </c>
      <c r="G82">
        <v>3</v>
      </c>
      <c r="H82">
        <v>1</v>
      </c>
      <c r="I82">
        <v>1775</v>
      </c>
      <c r="J82">
        <v>0</v>
      </c>
      <c r="K82">
        <v>0</v>
      </c>
      <c r="L82">
        <v>4802.3999999999996</v>
      </c>
      <c r="M82">
        <v>2469.6</v>
      </c>
      <c r="N82">
        <v>6511.4</v>
      </c>
      <c r="O82">
        <v>1016.5</v>
      </c>
      <c r="P82">
        <v>6676</v>
      </c>
      <c r="Q82">
        <v>0</v>
      </c>
      <c r="R82">
        <v>0</v>
      </c>
      <c r="S82">
        <v>0</v>
      </c>
      <c r="T82">
        <v>0</v>
      </c>
      <c r="U82">
        <v>0</v>
      </c>
      <c r="V82">
        <v>0.62</v>
      </c>
      <c r="W82">
        <v>3</v>
      </c>
      <c r="X82">
        <v>0.62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0.62</v>
      </c>
      <c r="AG82">
        <v>0</v>
      </c>
      <c r="AH82">
        <v>0.62</v>
      </c>
      <c r="AI82">
        <v>3</v>
      </c>
      <c r="AJ82">
        <v>0</v>
      </c>
      <c r="AK82">
        <v>0</v>
      </c>
      <c r="AL82">
        <v>0</v>
      </c>
      <c r="AM82">
        <v>0.62</v>
      </c>
      <c r="AN82">
        <v>0</v>
      </c>
      <c r="AO82">
        <v>0</v>
      </c>
      <c r="AP82">
        <v>0</v>
      </c>
      <c r="AQ82">
        <v>0</v>
      </c>
      <c r="AR82">
        <v>0.62</v>
      </c>
      <c r="AS82">
        <v>0</v>
      </c>
      <c r="AT82">
        <v>0.62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150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P82">
        <v>0</v>
      </c>
      <c r="BQ82">
        <v>0</v>
      </c>
      <c r="BT82">
        <v>0</v>
      </c>
      <c r="BU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1:96" x14ac:dyDescent="0.25">
      <c r="A83">
        <v>82</v>
      </c>
      <c r="B83" t="s">
        <v>434</v>
      </c>
      <c r="C83" t="s">
        <v>435</v>
      </c>
      <c r="D83" t="s">
        <v>436</v>
      </c>
      <c r="E83" t="s">
        <v>437</v>
      </c>
      <c r="F83" t="s">
        <v>100</v>
      </c>
      <c r="G83">
        <v>1</v>
      </c>
      <c r="H83">
        <v>1</v>
      </c>
      <c r="I83">
        <v>576</v>
      </c>
      <c r="J83">
        <v>0</v>
      </c>
      <c r="K83">
        <v>1</v>
      </c>
      <c r="L83">
        <v>2541.1</v>
      </c>
      <c r="M83">
        <v>2421.3000000000002</v>
      </c>
      <c r="N83">
        <v>2900.2</v>
      </c>
      <c r="O83">
        <v>285.2</v>
      </c>
      <c r="P83">
        <v>2396.1999999999998</v>
      </c>
      <c r="Q83">
        <v>0</v>
      </c>
      <c r="R83">
        <v>0</v>
      </c>
      <c r="S83">
        <v>0</v>
      </c>
      <c r="T83">
        <v>0</v>
      </c>
      <c r="U83">
        <v>0</v>
      </c>
      <c r="V83">
        <v>0.12</v>
      </c>
      <c r="W83">
        <v>3</v>
      </c>
      <c r="X83">
        <v>0.12</v>
      </c>
      <c r="Y83">
        <v>0</v>
      </c>
      <c r="Z83">
        <v>0</v>
      </c>
      <c r="AA83">
        <v>0</v>
      </c>
      <c r="AB83">
        <v>0</v>
      </c>
      <c r="AC83">
        <v>0.12</v>
      </c>
      <c r="AD83">
        <v>0</v>
      </c>
      <c r="AE83">
        <v>0</v>
      </c>
      <c r="AF83">
        <v>0</v>
      </c>
      <c r="AG83">
        <v>1</v>
      </c>
      <c r="AH83">
        <v>0.12</v>
      </c>
      <c r="AI83">
        <v>3</v>
      </c>
      <c r="AJ83">
        <v>0.12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0.12</v>
      </c>
      <c r="AQ83">
        <v>0</v>
      </c>
      <c r="AR83">
        <v>0</v>
      </c>
      <c r="AS83">
        <v>1</v>
      </c>
      <c r="AT83">
        <v>0.12</v>
      </c>
      <c r="AU83">
        <v>0</v>
      </c>
      <c r="AV83">
        <v>0</v>
      </c>
      <c r="AW83">
        <v>0.119999997317791</v>
      </c>
      <c r="AX83">
        <v>0</v>
      </c>
      <c r="AY83">
        <v>0</v>
      </c>
      <c r="AZ83">
        <v>0.10000000149011611</v>
      </c>
      <c r="BA83">
        <v>1.9999999552965161E-2</v>
      </c>
      <c r="BB83">
        <v>0</v>
      </c>
      <c r="BC83">
        <v>0.10000000149011611</v>
      </c>
      <c r="BD83">
        <v>1.9999999552965161E-2</v>
      </c>
      <c r="BE83">
        <v>0.83333333850734759</v>
      </c>
      <c r="BF83">
        <v>0.16666666149265241</v>
      </c>
      <c r="BG83">
        <v>150</v>
      </c>
      <c r="BH83">
        <v>0</v>
      </c>
      <c r="BI83">
        <v>0.10000000149011611</v>
      </c>
      <c r="BJ83">
        <v>1.9999999552965161E-2</v>
      </c>
      <c r="BK83">
        <v>0</v>
      </c>
      <c r="BL83">
        <v>0</v>
      </c>
      <c r="BM83">
        <v>0</v>
      </c>
      <c r="BP83">
        <v>0</v>
      </c>
      <c r="BQ83">
        <v>0</v>
      </c>
      <c r="BT83">
        <v>0</v>
      </c>
      <c r="BU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25">
      <c r="A84">
        <v>83</v>
      </c>
      <c r="B84" t="s">
        <v>438</v>
      </c>
      <c r="C84" t="s">
        <v>439</v>
      </c>
      <c r="D84" t="s">
        <v>440</v>
      </c>
      <c r="E84" t="s">
        <v>413</v>
      </c>
      <c r="F84" t="s">
        <v>105</v>
      </c>
      <c r="G84">
        <v>1</v>
      </c>
      <c r="H84">
        <v>1</v>
      </c>
      <c r="I84">
        <v>313</v>
      </c>
      <c r="J84">
        <v>0</v>
      </c>
      <c r="K84">
        <v>0</v>
      </c>
      <c r="L84">
        <v>2110.9</v>
      </c>
      <c r="M84">
        <v>1506.2</v>
      </c>
      <c r="N84">
        <v>7867.3</v>
      </c>
      <c r="O84">
        <v>817.5</v>
      </c>
      <c r="P84">
        <v>9246.7999999999993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0.71</v>
      </c>
      <c r="W84">
        <v>3</v>
      </c>
      <c r="X84">
        <v>0.71</v>
      </c>
      <c r="Y84">
        <v>0</v>
      </c>
      <c r="Z84">
        <v>0</v>
      </c>
      <c r="AA84">
        <v>0</v>
      </c>
      <c r="AB84">
        <v>0</v>
      </c>
      <c r="AC84">
        <v>0.71</v>
      </c>
      <c r="AD84">
        <v>0</v>
      </c>
      <c r="AE84">
        <v>0</v>
      </c>
      <c r="AF84">
        <v>0</v>
      </c>
      <c r="AG84">
        <v>1</v>
      </c>
      <c r="AH84">
        <v>0.71</v>
      </c>
      <c r="AI84">
        <v>3</v>
      </c>
      <c r="AJ84">
        <v>0.71</v>
      </c>
      <c r="AK84">
        <v>0</v>
      </c>
      <c r="AL84">
        <v>0</v>
      </c>
      <c r="AM84">
        <v>0</v>
      </c>
      <c r="AN84">
        <v>0</v>
      </c>
      <c r="AO84">
        <v>0.71</v>
      </c>
      <c r="AP84">
        <v>0</v>
      </c>
      <c r="AQ84">
        <v>0</v>
      </c>
      <c r="AR84">
        <v>0</v>
      </c>
      <c r="AS84">
        <v>1</v>
      </c>
      <c r="AT84">
        <v>0.71</v>
      </c>
      <c r="AU84">
        <v>0</v>
      </c>
      <c r="AV84">
        <v>0</v>
      </c>
      <c r="AW84">
        <v>0.70999997854232788</v>
      </c>
      <c r="AX84">
        <v>0</v>
      </c>
      <c r="AY84">
        <v>0.61000001430511475</v>
      </c>
      <c r="AZ84">
        <v>0.10000000149011611</v>
      </c>
      <c r="BA84">
        <v>0</v>
      </c>
      <c r="BB84">
        <v>0</v>
      </c>
      <c r="BC84">
        <v>0.71000001579523087</v>
      </c>
      <c r="BD84">
        <v>0</v>
      </c>
      <c r="BE84">
        <v>1</v>
      </c>
      <c r="BF84">
        <v>0</v>
      </c>
      <c r="BG84">
        <v>150</v>
      </c>
      <c r="BH84">
        <v>0.61000001430511475</v>
      </c>
      <c r="BI84">
        <v>0.10000000149011611</v>
      </c>
      <c r="BJ84">
        <v>0</v>
      </c>
      <c r="BK84">
        <v>0</v>
      </c>
      <c r="BL84">
        <v>0</v>
      </c>
      <c r="BM84">
        <v>0</v>
      </c>
      <c r="BP84">
        <v>0</v>
      </c>
      <c r="BQ84">
        <v>0</v>
      </c>
      <c r="BT84">
        <v>0</v>
      </c>
      <c r="BU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spans="1:96" x14ac:dyDescent="0.25">
      <c r="A85">
        <v>84</v>
      </c>
      <c r="B85" t="s">
        <v>441</v>
      </c>
      <c r="C85" t="s">
        <v>442</v>
      </c>
      <c r="D85" t="s">
        <v>443</v>
      </c>
      <c r="E85" t="s">
        <v>444</v>
      </c>
      <c r="F85" t="s">
        <v>363</v>
      </c>
      <c r="G85">
        <v>1</v>
      </c>
      <c r="H85">
        <v>1</v>
      </c>
      <c r="I85">
        <v>870</v>
      </c>
      <c r="J85">
        <v>1</v>
      </c>
      <c r="K85">
        <v>0</v>
      </c>
      <c r="L85">
        <v>2175.6999999999998</v>
      </c>
      <c r="M85">
        <v>1937.1</v>
      </c>
      <c r="N85">
        <v>3394.6</v>
      </c>
      <c r="O85">
        <v>0</v>
      </c>
      <c r="P85">
        <v>30007.7</v>
      </c>
      <c r="Q85">
        <v>0</v>
      </c>
      <c r="R85">
        <v>0</v>
      </c>
      <c r="S85">
        <v>0</v>
      </c>
      <c r="T85">
        <v>0</v>
      </c>
      <c r="U85">
        <v>0</v>
      </c>
      <c r="V85">
        <v>0.35</v>
      </c>
      <c r="W85">
        <v>3</v>
      </c>
      <c r="X85">
        <v>0.35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0.2</v>
      </c>
      <c r="AE85">
        <v>0.15</v>
      </c>
      <c r="AF85">
        <v>0</v>
      </c>
      <c r="AG85">
        <v>0.57142857142857151</v>
      </c>
      <c r="AH85">
        <v>0.35</v>
      </c>
      <c r="AI85">
        <v>3</v>
      </c>
      <c r="AJ85">
        <v>0.35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0.2</v>
      </c>
      <c r="AR85">
        <v>0.15</v>
      </c>
      <c r="AS85">
        <v>0</v>
      </c>
      <c r="AT85">
        <v>0.35</v>
      </c>
      <c r="AU85">
        <v>0</v>
      </c>
      <c r="AV85">
        <v>0</v>
      </c>
      <c r="AW85">
        <v>0.34999999403953552</v>
      </c>
      <c r="AX85">
        <v>0</v>
      </c>
      <c r="AY85">
        <v>0</v>
      </c>
      <c r="AZ85">
        <v>0.15000000596046451</v>
      </c>
      <c r="BA85">
        <v>0.10000000149011611</v>
      </c>
      <c r="BB85">
        <v>0.10000000149011611</v>
      </c>
      <c r="BC85">
        <v>0.15000000596046451</v>
      </c>
      <c r="BD85">
        <v>0.20000000298023221</v>
      </c>
      <c r="BE85">
        <v>0.42857143465353498</v>
      </c>
      <c r="BF85">
        <v>0.57142856534646502</v>
      </c>
      <c r="BG85">
        <v>150</v>
      </c>
      <c r="BH85">
        <v>0</v>
      </c>
      <c r="BI85">
        <v>0.15000000596046451</v>
      </c>
      <c r="BJ85">
        <v>0.10000000149011611</v>
      </c>
      <c r="BK85">
        <v>0.10000000149011611</v>
      </c>
      <c r="BL85">
        <v>0</v>
      </c>
      <c r="BM85">
        <v>0</v>
      </c>
      <c r="BP85">
        <v>0</v>
      </c>
      <c r="BQ85">
        <v>0</v>
      </c>
      <c r="BT85">
        <v>0</v>
      </c>
      <c r="BU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</row>
    <row r="86" spans="1:96" x14ac:dyDescent="0.25">
      <c r="A86">
        <v>85</v>
      </c>
      <c r="B86" t="s">
        <v>445</v>
      </c>
      <c r="C86" t="s">
        <v>446</v>
      </c>
      <c r="D86" t="s">
        <v>447</v>
      </c>
      <c r="E86" t="s">
        <v>448</v>
      </c>
      <c r="F86" t="s">
        <v>315</v>
      </c>
      <c r="G86">
        <v>1</v>
      </c>
      <c r="H86">
        <v>1</v>
      </c>
      <c r="I86">
        <v>706</v>
      </c>
      <c r="J86">
        <v>0</v>
      </c>
      <c r="K86">
        <v>0</v>
      </c>
      <c r="L86">
        <v>1239.3</v>
      </c>
      <c r="M86">
        <v>413.9</v>
      </c>
      <c r="N86">
        <v>2322</v>
      </c>
      <c r="O86">
        <v>75.5</v>
      </c>
      <c r="P86">
        <v>28935.1</v>
      </c>
      <c r="Q86">
        <v>0</v>
      </c>
      <c r="R86">
        <v>0</v>
      </c>
      <c r="S86">
        <v>0</v>
      </c>
      <c r="T86">
        <v>0</v>
      </c>
      <c r="U86">
        <v>0</v>
      </c>
      <c r="V86">
        <v>0.32</v>
      </c>
      <c r="W86">
        <v>3</v>
      </c>
      <c r="X86">
        <v>0.32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0.32</v>
      </c>
      <c r="AF86">
        <v>0</v>
      </c>
      <c r="AG86">
        <v>0</v>
      </c>
      <c r="AH86">
        <v>0.32</v>
      </c>
      <c r="AI86">
        <v>3</v>
      </c>
      <c r="AJ86">
        <v>0.32000000000000012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0.32000000000000012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0.31999999284744263</v>
      </c>
      <c r="AX86">
        <v>0</v>
      </c>
      <c r="AY86">
        <v>0.31999999284744263</v>
      </c>
      <c r="AZ86">
        <v>0</v>
      </c>
      <c r="BA86">
        <v>0</v>
      </c>
      <c r="BB86">
        <v>0</v>
      </c>
      <c r="BC86">
        <v>0.31999999284744263</v>
      </c>
      <c r="BD86">
        <v>0</v>
      </c>
      <c r="BE86">
        <v>1</v>
      </c>
      <c r="BF86">
        <v>0</v>
      </c>
      <c r="BG86">
        <v>150</v>
      </c>
      <c r="BH86">
        <v>0.31999999284744263</v>
      </c>
      <c r="BI86">
        <v>0</v>
      </c>
      <c r="BJ86">
        <v>0</v>
      </c>
      <c r="BK86">
        <v>0</v>
      </c>
      <c r="BL86">
        <v>0</v>
      </c>
      <c r="BM86">
        <v>0</v>
      </c>
      <c r="BP86">
        <v>0</v>
      </c>
      <c r="BQ86">
        <v>0</v>
      </c>
      <c r="BT86">
        <v>0</v>
      </c>
      <c r="BU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spans="1:96" x14ac:dyDescent="0.25">
      <c r="A87">
        <v>86</v>
      </c>
      <c r="B87" t="s">
        <v>449</v>
      </c>
      <c r="C87" t="s">
        <v>450</v>
      </c>
      <c r="D87" t="s">
        <v>451</v>
      </c>
      <c r="E87" t="s">
        <v>452</v>
      </c>
      <c r="F87" t="s">
        <v>363</v>
      </c>
      <c r="G87">
        <v>1</v>
      </c>
      <c r="H87">
        <v>1</v>
      </c>
      <c r="I87">
        <v>489</v>
      </c>
      <c r="J87">
        <v>1</v>
      </c>
      <c r="K87">
        <v>0</v>
      </c>
      <c r="L87">
        <v>609.29999999999995</v>
      </c>
      <c r="M87">
        <v>370.6</v>
      </c>
      <c r="N87">
        <v>1828.1</v>
      </c>
      <c r="O87">
        <v>75</v>
      </c>
      <c r="P87">
        <v>28441.3</v>
      </c>
      <c r="Q87">
        <v>0</v>
      </c>
      <c r="R87">
        <v>0</v>
      </c>
      <c r="S87">
        <v>0</v>
      </c>
      <c r="T87">
        <v>0</v>
      </c>
      <c r="U87">
        <v>0</v>
      </c>
      <c r="V87">
        <v>0.17</v>
      </c>
      <c r="W87">
        <v>3</v>
      </c>
      <c r="X87">
        <v>0.17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0.17</v>
      </c>
      <c r="AG87">
        <v>0</v>
      </c>
      <c r="AH87">
        <v>0.17</v>
      </c>
      <c r="AI87">
        <v>3</v>
      </c>
      <c r="AJ87">
        <v>0.17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0.17</v>
      </c>
      <c r="AS87">
        <v>0</v>
      </c>
      <c r="AT87">
        <v>0.17</v>
      </c>
      <c r="AU87">
        <v>0</v>
      </c>
      <c r="AV87">
        <v>0</v>
      </c>
      <c r="AW87">
        <v>0.17000000178813929</v>
      </c>
      <c r="AX87">
        <v>0</v>
      </c>
      <c r="AY87">
        <v>0.17000000178813929</v>
      </c>
      <c r="AZ87">
        <v>0</v>
      </c>
      <c r="BA87">
        <v>0</v>
      </c>
      <c r="BB87">
        <v>0</v>
      </c>
      <c r="BC87">
        <v>0.17000000178813929</v>
      </c>
      <c r="BD87">
        <v>0</v>
      </c>
      <c r="BE87">
        <v>1</v>
      </c>
      <c r="BF87">
        <v>0</v>
      </c>
      <c r="BG87">
        <v>150</v>
      </c>
      <c r="BH87">
        <v>0.17000000178813929</v>
      </c>
      <c r="BI87">
        <v>0</v>
      </c>
      <c r="BJ87">
        <v>0</v>
      </c>
      <c r="BK87">
        <v>0</v>
      </c>
      <c r="BL87">
        <v>0</v>
      </c>
      <c r="BM87">
        <v>0</v>
      </c>
      <c r="BP87">
        <v>0</v>
      </c>
      <c r="BQ87">
        <v>0</v>
      </c>
      <c r="BT87">
        <v>1</v>
      </c>
      <c r="BU87">
        <v>1</v>
      </c>
      <c r="BV87">
        <v>2025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spans="1:96" x14ac:dyDescent="0.25">
      <c r="A88">
        <v>87</v>
      </c>
      <c r="B88" t="s">
        <v>453</v>
      </c>
      <c r="C88" t="s">
        <v>454</v>
      </c>
      <c r="D88" t="s">
        <v>455</v>
      </c>
      <c r="E88" t="s">
        <v>456</v>
      </c>
      <c r="F88" t="s">
        <v>363</v>
      </c>
      <c r="G88">
        <v>1</v>
      </c>
      <c r="H88">
        <v>1</v>
      </c>
      <c r="I88">
        <v>670</v>
      </c>
      <c r="J88">
        <v>0</v>
      </c>
      <c r="K88">
        <v>0</v>
      </c>
      <c r="L88">
        <v>9408.8282999999992</v>
      </c>
      <c r="M88">
        <v>9355</v>
      </c>
      <c r="N88">
        <v>14749.7</v>
      </c>
      <c r="O88">
        <v>139.69999999999999</v>
      </c>
      <c r="P88">
        <v>41472.5</v>
      </c>
      <c r="Q88">
        <v>0</v>
      </c>
      <c r="R88">
        <v>0</v>
      </c>
      <c r="S88">
        <v>0</v>
      </c>
      <c r="T88">
        <v>0</v>
      </c>
      <c r="U88">
        <v>0</v>
      </c>
      <c r="V88">
        <v>0.56999999999999995</v>
      </c>
      <c r="W88">
        <v>3</v>
      </c>
      <c r="X88">
        <v>0</v>
      </c>
      <c r="Y88">
        <v>0</v>
      </c>
      <c r="Z88">
        <v>0.56999999999999995</v>
      </c>
      <c r="AA88">
        <v>0</v>
      </c>
      <c r="AB88">
        <v>0</v>
      </c>
      <c r="AC88">
        <v>0</v>
      </c>
      <c r="AD88">
        <v>0</v>
      </c>
      <c r="AE88">
        <v>0.56999999999999995</v>
      </c>
      <c r="AF88">
        <v>0</v>
      </c>
      <c r="AG88">
        <v>0</v>
      </c>
      <c r="AH88">
        <v>0.56999999999999995</v>
      </c>
      <c r="AI88">
        <v>3</v>
      </c>
      <c r="AJ88">
        <v>0</v>
      </c>
      <c r="AK88">
        <v>0</v>
      </c>
      <c r="AL88">
        <v>0.57000000000000006</v>
      </c>
      <c r="AM88">
        <v>0</v>
      </c>
      <c r="AN88">
        <v>0</v>
      </c>
      <c r="AO88">
        <v>0</v>
      </c>
      <c r="AP88">
        <v>0.17</v>
      </c>
      <c r="AQ88">
        <v>0.2</v>
      </c>
      <c r="AR88">
        <v>0.2</v>
      </c>
      <c r="AS88">
        <v>0.2982456140350877</v>
      </c>
      <c r="AT88">
        <v>0.56999999999999995</v>
      </c>
      <c r="AU88">
        <v>0.56999999284744263</v>
      </c>
      <c r="AV88">
        <v>0</v>
      </c>
      <c r="AW88">
        <v>0</v>
      </c>
      <c r="AX88">
        <v>0</v>
      </c>
      <c r="AY88">
        <v>0</v>
      </c>
      <c r="AZ88">
        <v>0.27000001072883612</v>
      </c>
      <c r="BA88">
        <v>0.10000000149011611</v>
      </c>
      <c r="BB88">
        <v>0.20000000298023221</v>
      </c>
      <c r="BC88">
        <v>0.27000001072883612</v>
      </c>
      <c r="BD88">
        <v>0.30000000447034841</v>
      </c>
      <c r="BE88">
        <v>0.47368421671793393</v>
      </c>
      <c r="BF88">
        <v>0.52631578328206619</v>
      </c>
      <c r="BG88">
        <v>150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P88">
        <v>0</v>
      </c>
      <c r="BQ88">
        <v>0</v>
      </c>
      <c r="BT88">
        <v>0</v>
      </c>
      <c r="BU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</row>
    <row r="89" spans="1:96" x14ac:dyDescent="0.25">
      <c r="A89">
        <v>88</v>
      </c>
      <c r="B89" t="s">
        <v>457</v>
      </c>
      <c r="C89" t="s">
        <v>458</v>
      </c>
      <c r="D89" t="s">
        <v>459</v>
      </c>
      <c r="E89" t="s">
        <v>460</v>
      </c>
      <c r="F89" t="s">
        <v>105</v>
      </c>
      <c r="G89">
        <v>2</v>
      </c>
      <c r="H89">
        <v>1</v>
      </c>
      <c r="I89">
        <v>903</v>
      </c>
      <c r="J89">
        <v>0</v>
      </c>
      <c r="K89">
        <v>0</v>
      </c>
      <c r="L89">
        <v>2999</v>
      </c>
      <c r="M89">
        <v>3569.4</v>
      </c>
      <c r="N89">
        <v>8755.4</v>
      </c>
      <c r="O89">
        <v>786</v>
      </c>
      <c r="P89">
        <v>9035.9</v>
      </c>
      <c r="Q89">
        <v>0</v>
      </c>
      <c r="R89">
        <v>0</v>
      </c>
      <c r="S89">
        <v>0</v>
      </c>
      <c r="T89">
        <v>0</v>
      </c>
      <c r="U89">
        <v>0</v>
      </c>
      <c r="V89">
        <v>2.12</v>
      </c>
      <c r="W89">
        <v>3.5</v>
      </c>
      <c r="X89">
        <v>1.6</v>
      </c>
      <c r="Y89">
        <v>0</v>
      </c>
      <c r="Z89">
        <v>0</v>
      </c>
      <c r="AA89">
        <v>0.52</v>
      </c>
      <c r="AB89">
        <v>0</v>
      </c>
      <c r="AC89">
        <v>0</v>
      </c>
      <c r="AD89">
        <v>0.4</v>
      </c>
      <c r="AE89">
        <v>0.6</v>
      </c>
      <c r="AF89">
        <v>1.1200000000000001</v>
      </c>
      <c r="AG89">
        <v>0.18867924528301891</v>
      </c>
      <c r="AH89">
        <v>2.12</v>
      </c>
      <c r="AI89">
        <v>3.5</v>
      </c>
      <c r="AJ89">
        <v>1.6</v>
      </c>
      <c r="AK89">
        <v>0</v>
      </c>
      <c r="AL89">
        <v>0</v>
      </c>
      <c r="AM89">
        <v>0.52</v>
      </c>
      <c r="AN89">
        <v>0</v>
      </c>
      <c r="AO89">
        <v>0</v>
      </c>
      <c r="AP89">
        <v>0</v>
      </c>
      <c r="AQ89">
        <v>0.6</v>
      </c>
      <c r="AR89">
        <v>1.52</v>
      </c>
      <c r="AS89">
        <v>0</v>
      </c>
      <c r="AT89">
        <v>2.12</v>
      </c>
      <c r="AU89">
        <v>0</v>
      </c>
      <c r="AV89">
        <v>0</v>
      </c>
      <c r="AW89">
        <v>1.6000000238418579</v>
      </c>
      <c r="AX89">
        <v>0</v>
      </c>
      <c r="AY89">
        <v>0</v>
      </c>
      <c r="AZ89">
        <v>0.10000000149011611</v>
      </c>
      <c r="BA89">
        <v>0.30000001192092901</v>
      </c>
      <c r="BB89">
        <v>1.200000047683716</v>
      </c>
      <c r="BC89">
        <v>0.10000000149011611</v>
      </c>
      <c r="BD89">
        <v>1.500000059604645</v>
      </c>
      <c r="BE89">
        <v>6.2499998544808533E-2</v>
      </c>
      <c r="BF89">
        <v>0.93750000145519141</v>
      </c>
      <c r="BG89">
        <v>150</v>
      </c>
      <c r="BH89">
        <v>0</v>
      </c>
      <c r="BI89">
        <v>0.10000000149011611</v>
      </c>
      <c r="BJ89">
        <v>0.30000001192092901</v>
      </c>
      <c r="BK89">
        <v>1.200000047683716</v>
      </c>
      <c r="BL89">
        <v>1</v>
      </c>
      <c r="BM89">
        <v>3</v>
      </c>
      <c r="BN89">
        <v>2023</v>
      </c>
      <c r="BO89">
        <v>1</v>
      </c>
      <c r="BP89">
        <v>1</v>
      </c>
      <c r="BQ89">
        <v>3</v>
      </c>
      <c r="BR89">
        <v>2023</v>
      </c>
      <c r="BS89">
        <v>2</v>
      </c>
      <c r="BT89">
        <v>1</v>
      </c>
      <c r="BU89">
        <v>3</v>
      </c>
      <c r="BV89">
        <v>2023</v>
      </c>
      <c r="BW89">
        <v>3</v>
      </c>
      <c r="BX89">
        <v>1</v>
      </c>
      <c r="BY89">
        <v>1</v>
      </c>
      <c r="BZ89">
        <v>1</v>
      </c>
      <c r="CA89">
        <v>0</v>
      </c>
      <c r="CB89">
        <v>0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1</v>
      </c>
    </row>
    <row r="90" spans="1:96" x14ac:dyDescent="0.25">
      <c r="A90">
        <v>89</v>
      </c>
      <c r="B90" t="s">
        <v>461</v>
      </c>
      <c r="C90" t="s">
        <v>462</v>
      </c>
      <c r="D90" t="s">
        <v>463</v>
      </c>
      <c r="E90" t="s">
        <v>464</v>
      </c>
      <c r="F90" t="s">
        <v>105</v>
      </c>
      <c r="G90">
        <v>2</v>
      </c>
      <c r="H90">
        <v>1</v>
      </c>
      <c r="I90">
        <v>1354</v>
      </c>
      <c r="J90">
        <v>0</v>
      </c>
      <c r="K90">
        <v>0</v>
      </c>
      <c r="L90">
        <v>2693.7</v>
      </c>
      <c r="M90">
        <v>1953.7</v>
      </c>
      <c r="N90">
        <v>5995.5</v>
      </c>
      <c r="O90">
        <v>1377.9</v>
      </c>
      <c r="P90">
        <v>6160.2</v>
      </c>
      <c r="Q90">
        <v>0</v>
      </c>
      <c r="R90">
        <v>0</v>
      </c>
      <c r="S90">
        <v>0</v>
      </c>
      <c r="T90">
        <v>0</v>
      </c>
      <c r="U90">
        <v>0</v>
      </c>
      <c r="V90">
        <v>1.91</v>
      </c>
      <c r="W90">
        <v>3</v>
      </c>
      <c r="X90">
        <v>1.91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0.4</v>
      </c>
      <c r="AF90">
        <v>1.51</v>
      </c>
      <c r="AG90">
        <v>0</v>
      </c>
      <c r="AH90">
        <v>1.91</v>
      </c>
      <c r="AI90">
        <v>3</v>
      </c>
      <c r="AJ90">
        <v>1.910000000000001</v>
      </c>
      <c r="AK90">
        <v>0</v>
      </c>
      <c r="AL90">
        <v>0</v>
      </c>
      <c r="AM90">
        <v>0</v>
      </c>
      <c r="AN90">
        <v>0</v>
      </c>
      <c r="AO90">
        <v>1.910000000000001</v>
      </c>
      <c r="AP90">
        <v>0</v>
      </c>
      <c r="AQ90">
        <v>0</v>
      </c>
      <c r="AR90">
        <v>0</v>
      </c>
      <c r="AS90">
        <v>1</v>
      </c>
      <c r="AT90">
        <v>1.91</v>
      </c>
      <c r="AU90">
        <v>0</v>
      </c>
      <c r="AV90">
        <v>0</v>
      </c>
      <c r="AW90">
        <v>1.9099999666213989</v>
      </c>
      <c r="AX90">
        <v>0</v>
      </c>
      <c r="AY90">
        <v>1.809999942779541</v>
      </c>
      <c r="AZ90">
        <v>0.10000000149011611</v>
      </c>
      <c r="BA90">
        <v>0</v>
      </c>
      <c r="BB90">
        <v>0</v>
      </c>
      <c r="BC90">
        <v>1.9099999442696569</v>
      </c>
      <c r="BD90">
        <v>0</v>
      </c>
      <c r="BE90">
        <v>1</v>
      </c>
      <c r="BF90">
        <v>0</v>
      </c>
      <c r="BG90">
        <v>150</v>
      </c>
      <c r="BH90">
        <v>1.809999942779541</v>
      </c>
      <c r="BI90">
        <v>0.10000000149011611</v>
      </c>
      <c r="BJ90">
        <v>0</v>
      </c>
      <c r="BK90">
        <v>0</v>
      </c>
      <c r="BL90">
        <v>1</v>
      </c>
      <c r="BM90">
        <v>3</v>
      </c>
      <c r="BN90">
        <v>2023</v>
      </c>
      <c r="BO90">
        <v>1</v>
      </c>
      <c r="BP90">
        <v>1</v>
      </c>
      <c r="BQ90">
        <v>4</v>
      </c>
      <c r="BR90">
        <v>2024</v>
      </c>
      <c r="BS90">
        <v>1</v>
      </c>
      <c r="BT90">
        <v>1</v>
      </c>
      <c r="BU90">
        <v>4</v>
      </c>
      <c r="BV90">
        <v>2024</v>
      </c>
      <c r="BW90">
        <v>2</v>
      </c>
      <c r="BX90">
        <v>1</v>
      </c>
      <c r="BY90">
        <v>1</v>
      </c>
      <c r="BZ90">
        <v>1</v>
      </c>
      <c r="CA90">
        <v>1</v>
      </c>
      <c r="CB90">
        <v>0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0</v>
      </c>
      <c r="CO90">
        <v>1</v>
      </c>
      <c r="CP90">
        <v>0</v>
      </c>
      <c r="CQ90">
        <v>0</v>
      </c>
      <c r="CR90">
        <v>0</v>
      </c>
    </row>
    <row r="91" spans="1:96" x14ac:dyDescent="0.25">
      <c r="A91">
        <v>90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  <c r="G91">
        <v>3</v>
      </c>
      <c r="H91">
        <v>2</v>
      </c>
      <c r="I91">
        <v>810</v>
      </c>
      <c r="J91">
        <v>0</v>
      </c>
      <c r="K91">
        <v>1</v>
      </c>
      <c r="L91">
        <v>18029.7</v>
      </c>
      <c r="M91">
        <v>13987</v>
      </c>
      <c r="N91">
        <v>20240.099999999999</v>
      </c>
      <c r="O91">
        <v>409.1</v>
      </c>
      <c r="P91">
        <v>20142.5</v>
      </c>
      <c r="Q91">
        <v>0</v>
      </c>
      <c r="R91">
        <v>0</v>
      </c>
      <c r="S91">
        <v>0</v>
      </c>
      <c r="T91">
        <v>0</v>
      </c>
      <c r="U91">
        <v>0</v>
      </c>
      <c r="V91">
        <v>7.78</v>
      </c>
      <c r="W91">
        <v>3</v>
      </c>
      <c r="X91">
        <v>5.88</v>
      </c>
      <c r="Y91">
        <v>0</v>
      </c>
      <c r="Z91">
        <v>0</v>
      </c>
      <c r="AA91">
        <v>1.9</v>
      </c>
      <c r="AB91">
        <v>0</v>
      </c>
      <c r="AC91">
        <v>0</v>
      </c>
      <c r="AD91">
        <v>4.78</v>
      </c>
      <c r="AE91">
        <v>1.1000000000000001</v>
      </c>
      <c r="AF91">
        <v>1.9</v>
      </c>
      <c r="AG91">
        <v>0.61439588688946012</v>
      </c>
      <c r="AH91">
        <v>7.78</v>
      </c>
      <c r="AI91">
        <v>3</v>
      </c>
      <c r="AJ91">
        <v>5.8799999999999946</v>
      </c>
      <c r="AK91">
        <v>0</v>
      </c>
      <c r="AL91">
        <v>0</v>
      </c>
      <c r="AM91">
        <v>0</v>
      </c>
      <c r="AN91">
        <v>1.900000000000001</v>
      </c>
      <c r="AO91">
        <v>0</v>
      </c>
      <c r="AP91">
        <v>4.58</v>
      </c>
      <c r="AQ91">
        <v>1.3</v>
      </c>
      <c r="AR91">
        <v>1.900000000000001</v>
      </c>
      <c r="AS91">
        <v>0.58868894601542421</v>
      </c>
      <c r="AT91">
        <v>7.78</v>
      </c>
      <c r="AU91">
        <v>0</v>
      </c>
      <c r="AV91">
        <v>0</v>
      </c>
      <c r="AW91">
        <v>5.880000114440918</v>
      </c>
      <c r="AX91">
        <v>0</v>
      </c>
      <c r="AY91">
        <v>0</v>
      </c>
      <c r="AZ91">
        <v>4.179999828338623</v>
      </c>
      <c r="BA91">
        <v>0.89999997615814209</v>
      </c>
      <c r="BB91">
        <v>0.80000001192092896</v>
      </c>
      <c r="BC91">
        <v>4.179999828338623</v>
      </c>
      <c r="BD91">
        <v>1.699999988079071</v>
      </c>
      <c r="BE91">
        <v>0.71088434674224676</v>
      </c>
      <c r="BF91">
        <v>0.28911565325775329</v>
      </c>
      <c r="BG91">
        <v>150</v>
      </c>
      <c r="BH91">
        <v>0</v>
      </c>
      <c r="BI91">
        <v>4.179999828338623</v>
      </c>
      <c r="BJ91">
        <v>0.89999997615814209</v>
      </c>
      <c r="BK91">
        <v>0.80000001192092896</v>
      </c>
      <c r="BL91">
        <v>0</v>
      </c>
      <c r="BM91">
        <v>0</v>
      </c>
      <c r="BP91">
        <v>1</v>
      </c>
      <c r="BQ91">
        <v>1</v>
      </c>
      <c r="BR91">
        <v>2024</v>
      </c>
      <c r="BS91">
        <v>1</v>
      </c>
      <c r="BT91">
        <v>1</v>
      </c>
      <c r="BU91">
        <v>1</v>
      </c>
      <c r="BV91">
        <v>2024</v>
      </c>
      <c r="BW91">
        <v>2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1</v>
      </c>
    </row>
    <row r="92" spans="1:96" x14ac:dyDescent="0.2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132</v>
      </c>
      <c r="G92">
        <v>1</v>
      </c>
      <c r="H92">
        <v>1</v>
      </c>
      <c r="I92">
        <v>166</v>
      </c>
      <c r="J92">
        <v>0</v>
      </c>
      <c r="K92">
        <v>0</v>
      </c>
      <c r="L92">
        <v>23529</v>
      </c>
      <c r="M92">
        <v>19486.3</v>
      </c>
      <c r="N92">
        <v>25739.4</v>
      </c>
      <c r="O92">
        <v>2928.3</v>
      </c>
      <c r="P92">
        <v>25641.8</v>
      </c>
      <c r="Q92">
        <v>0</v>
      </c>
      <c r="R92">
        <v>0</v>
      </c>
      <c r="S92">
        <v>0</v>
      </c>
      <c r="T92">
        <v>0</v>
      </c>
      <c r="U92">
        <v>0</v>
      </c>
      <c r="V92">
        <v>0.97</v>
      </c>
      <c r="W92">
        <v>1.5</v>
      </c>
      <c r="X92">
        <v>0</v>
      </c>
      <c r="Y92">
        <v>0</v>
      </c>
      <c r="Z92">
        <v>0.97</v>
      </c>
      <c r="AA92">
        <v>0</v>
      </c>
      <c r="AB92">
        <v>0</v>
      </c>
      <c r="AC92">
        <v>0.3</v>
      </c>
      <c r="AD92">
        <v>0</v>
      </c>
      <c r="AE92">
        <v>0</v>
      </c>
      <c r="AF92">
        <v>0.67</v>
      </c>
      <c r="AG92">
        <v>0.30927835051546387</v>
      </c>
      <c r="AH92">
        <v>0.97</v>
      </c>
      <c r="AI92">
        <v>1.5</v>
      </c>
      <c r="AJ92">
        <v>0</v>
      </c>
      <c r="AK92">
        <v>0</v>
      </c>
      <c r="AL92">
        <v>0.97</v>
      </c>
      <c r="AM92">
        <v>0</v>
      </c>
      <c r="AN92">
        <v>0</v>
      </c>
      <c r="AO92">
        <v>0.3</v>
      </c>
      <c r="AP92">
        <v>0</v>
      </c>
      <c r="AQ92">
        <v>0</v>
      </c>
      <c r="AR92">
        <v>0.66999999999999993</v>
      </c>
      <c r="AS92">
        <v>0.30927835051546398</v>
      </c>
      <c r="AT92">
        <v>0.97</v>
      </c>
      <c r="AU92">
        <v>0.87000000476837158</v>
      </c>
      <c r="AV92">
        <v>0.10000000149011611</v>
      </c>
      <c r="AW92">
        <v>0</v>
      </c>
      <c r="AX92">
        <v>0</v>
      </c>
      <c r="AY92">
        <v>0</v>
      </c>
      <c r="AZ92">
        <v>0.10000000149011611</v>
      </c>
      <c r="BA92">
        <v>0.30000001192092901</v>
      </c>
      <c r="BB92">
        <v>0.56999999284744263</v>
      </c>
      <c r="BC92">
        <v>0.10000000149011611</v>
      </c>
      <c r="BD92">
        <v>0.87000000476837158</v>
      </c>
      <c r="BE92">
        <v>0.10309278437619709</v>
      </c>
      <c r="BF92">
        <v>0.89690721562380293</v>
      </c>
      <c r="BG92">
        <v>150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2023</v>
      </c>
      <c r="BO92">
        <v>1</v>
      </c>
      <c r="BP92">
        <v>1</v>
      </c>
      <c r="BQ92">
        <v>1</v>
      </c>
      <c r="BR92">
        <v>2023</v>
      </c>
      <c r="BS92">
        <v>2</v>
      </c>
      <c r="BT92">
        <v>1</v>
      </c>
      <c r="BU92">
        <v>1</v>
      </c>
      <c r="BV92">
        <v>2023</v>
      </c>
      <c r="BW92">
        <v>3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spans="1:96" x14ac:dyDescent="0.25">
      <c r="A93">
        <v>92</v>
      </c>
      <c r="B93" t="s">
        <v>474</v>
      </c>
      <c r="C93" t="s">
        <v>475</v>
      </c>
      <c r="D93" t="s">
        <v>476</v>
      </c>
      <c r="E93" t="s">
        <v>477</v>
      </c>
      <c r="F93" t="s">
        <v>132</v>
      </c>
      <c r="G93">
        <v>2</v>
      </c>
      <c r="H93">
        <v>1</v>
      </c>
      <c r="I93">
        <v>622</v>
      </c>
      <c r="J93">
        <v>0</v>
      </c>
      <c r="K93">
        <v>0</v>
      </c>
      <c r="L93">
        <v>20707.8</v>
      </c>
      <c r="M93">
        <v>16665</v>
      </c>
      <c r="N93">
        <v>22918.2</v>
      </c>
      <c r="O93">
        <v>1957.6</v>
      </c>
      <c r="P93">
        <v>22820.5</v>
      </c>
      <c r="Q93">
        <v>0</v>
      </c>
      <c r="R93">
        <v>0</v>
      </c>
      <c r="S93">
        <v>0</v>
      </c>
      <c r="T93">
        <v>0</v>
      </c>
      <c r="U93">
        <v>0</v>
      </c>
      <c r="V93">
        <v>4.1900000000000004</v>
      </c>
      <c r="W93">
        <v>3</v>
      </c>
      <c r="X93">
        <v>4.1900000000000004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2.99</v>
      </c>
      <c r="AE93">
        <v>1.2</v>
      </c>
      <c r="AF93">
        <v>0</v>
      </c>
      <c r="AG93">
        <v>0.71360381861575173</v>
      </c>
      <c r="AH93">
        <v>4.1900000000000004</v>
      </c>
      <c r="AI93">
        <v>3</v>
      </c>
      <c r="AJ93">
        <v>4.1900000000000013</v>
      </c>
      <c r="AK93">
        <v>0</v>
      </c>
      <c r="AL93">
        <v>0</v>
      </c>
      <c r="AM93">
        <v>0</v>
      </c>
      <c r="AN93">
        <v>0</v>
      </c>
      <c r="AO93">
        <v>1.9900000000000011</v>
      </c>
      <c r="AP93">
        <v>2.2000000000000011</v>
      </c>
      <c r="AQ93">
        <v>0</v>
      </c>
      <c r="AR93">
        <v>0</v>
      </c>
      <c r="AS93">
        <v>1</v>
      </c>
      <c r="AT93">
        <v>4.1900000000000004</v>
      </c>
      <c r="AU93">
        <v>0</v>
      </c>
      <c r="AV93">
        <v>0</v>
      </c>
      <c r="AW93">
        <v>4.190000057220459</v>
      </c>
      <c r="AX93">
        <v>0</v>
      </c>
      <c r="AY93">
        <v>0.69999998807907104</v>
      </c>
      <c r="AZ93">
        <v>2.4900000095367432</v>
      </c>
      <c r="BA93">
        <v>1</v>
      </c>
      <c r="BB93">
        <v>0</v>
      </c>
      <c r="BC93">
        <v>3.1899999976158142</v>
      </c>
      <c r="BD93">
        <v>1</v>
      </c>
      <c r="BE93">
        <v>0.76133651537732261</v>
      </c>
      <c r="BF93">
        <v>0.23866348462267731</v>
      </c>
      <c r="BG93">
        <v>150</v>
      </c>
      <c r="BH93">
        <v>0.69999998807907104</v>
      </c>
      <c r="BI93">
        <v>2.4900000095367432</v>
      </c>
      <c r="BJ93">
        <v>1</v>
      </c>
      <c r="BK93">
        <v>0</v>
      </c>
      <c r="BL93">
        <v>0</v>
      </c>
      <c r="BM93">
        <v>0</v>
      </c>
      <c r="BP93">
        <v>1</v>
      </c>
      <c r="BQ93">
        <v>1</v>
      </c>
      <c r="BR93">
        <v>2024</v>
      </c>
      <c r="BS93">
        <v>1</v>
      </c>
      <c r="BT93">
        <v>1</v>
      </c>
      <c r="BU93">
        <v>1</v>
      </c>
      <c r="BV93">
        <v>2024</v>
      </c>
      <c r="BW93">
        <v>2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</row>
    <row r="94" spans="1:96" x14ac:dyDescent="0.25">
      <c r="A94">
        <v>93</v>
      </c>
      <c r="B94" t="s">
        <v>238</v>
      </c>
      <c r="C94" t="s">
        <v>478</v>
      </c>
      <c r="D94" t="s">
        <v>479</v>
      </c>
      <c r="E94" t="s">
        <v>480</v>
      </c>
      <c r="F94" t="s">
        <v>132</v>
      </c>
      <c r="G94">
        <v>1</v>
      </c>
      <c r="H94">
        <v>1</v>
      </c>
      <c r="I94">
        <v>251</v>
      </c>
      <c r="J94">
        <v>0</v>
      </c>
      <c r="K94">
        <v>0</v>
      </c>
      <c r="L94">
        <v>17179.099999999999</v>
      </c>
      <c r="M94">
        <v>13136.4</v>
      </c>
      <c r="N94">
        <v>19389.5</v>
      </c>
      <c r="O94">
        <v>558.29999999999995</v>
      </c>
      <c r="P94">
        <v>19291.8</v>
      </c>
      <c r="Q94">
        <v>0</v>
      </c>
      <c r="R94">
        <v>0</v>
      </c>
      <c r="S94">
        <v>0</v>
      </c>
      <c r="T94">
        <v>0</v>
      </c>
      <c r="U94">
        <v>0</v>
      </c>
      <c r="V94">
        <v>0.3</v>
      </c>
      <c r="W94">
        <v>3</v>
      </c>
      <c r="X94">
        <v>0</v>
      </c>
      <c r="Y94">
        <v>0</v>
      </c>
      <c r="Z94">
        <v>0.2</v>
      </c>
      <c r="AA94">
        <v>0.1</v>
      </c>
      <c r="AB94">
        <v>0</v>
      </c>
      <c r="AC94">
        <v>0</v>
      </c>
      <c r="AD94">
        <v>0</v>
      </c>
      <c r="AE94">
        <v>0.2</v>
      </c>
      <c r="AF94">
        <v>0.1</v>
      </c>
      <c r="AG94">
        <v>0</v>
      </c>
      <c r="AH94">
        <v>0.3</v>
      </c>
      <c r="AI94">
        <v>3</v>
      </c>
      <c r="AJ94">
        <v>0</v>
      </c>
      <c r="AK94">
        <v>0</v>
      </c>
      <c r="AL94">
        <v>0.1</v>
      </c>
      <c r="AM94">
        <v>0.2</v>
      </c>
      <c r="AN94">
        <v>0</v>
      </c>
      <c r="AO94">
        <v>0</v>
      </c>
      <c r="AP94">
        <v>0</v>
      </c>
      <c r="AQ94">
        <v>0.1</v>
      </c>
      <c r="AR94">
        <v>0.2</v>
      </c>
      <c r="AS94">
        <v>0</v>
      </c>
      <c r="AT94">
        <v>0.3</v>
      </c>
      <c r="AU94">
        <v>0.20000000298023221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0.20000000298023221</v>
      </c>
      <c r="BB94">
        <v>0</v>
      </c>
      <c r="BC94">
        <v>0</v>
      </c>
      <c r="BD94">
        <v>0.20000000298023221</v>
      </c>
      <c r="BE94">
        <v>0</v>
      </c>
      <c r="BF94">
        <v>1</v>
      </c>
      <c r="BG94">
        <v>150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P94">
        <v>0</v>
      </c>
      <c r="BQ94">
        <v>0</v>
      </c>
      <c r="BT94">
        <v>0</v>
      </c>
      <c r="BU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25">
      <c r="A95">
        <v>94</v>
      </c>
      <c r="B95" t="s">
        <v>481</v>
      </c>
      <c r="C95" t="s">
        <v>482</v>
      </c>
      <c r="D95" t="s">
        <v>483</v>
      </c>
      <c r="E95" t="s">
        <v>484</v>
      </c>
      <c r="F95" t="s">
        <v>176</v>
      </c>
      <c r="G95">
        <v>2</v>
      </c>
      <c r="H95">
        <v>1</v>
      </c>
      <c r="I95">
        <v>1505</v>
      </c>
      <c r="J95">
        <v>0</v>
      </c>
      <c r="K95">
        <v>0</v>
      </c>
      <c r="L95">
        <v>2537.1999999999998</v>
      </c>
      <c r="M95">
        <v>2687.3</v>
      </c>
      <c r="N95">
        <v>910.5</v>
      </c>
      <c r="O95">
        <v>858.4</v>
      </c>
      <c r="P95">
        <v>2582.3000000000002</v>
      </c>
      <c r="Q95">
        <v>0</v>
      </c>
      <c r="R95">
        <v>0</v>
      </c>
      <c r="S95">
        <v>0</v>
      </c>
      <c r="T95">
        <v>0</v>
      </c>
      <c r="U95">
        <v>0</v>
      </c>
      <c r="V95">
        <v>0.9</v>
      </c>
      <c r="W95">
        <v>3</v>
      </c>
      <c r="X95">
        <v>0.9</v>
      </c>
      <c r="Y95">
        <v>0</v>
      </c>
      <c r="Z95">
        <v>0</v>
      </c>
      <c r="AA95">
        <v>0</v>
      </c>
      <c r="AB95">
        <v>0</v>
      </c>
      <c r="AC95">
        <v>0.5</v>
      </c>
      <c r="AD95">
        <v>0.4</v>
      </c>
      <c r="AE95">
        <v>0</v>
      </c>
      <c r="AF95">
        <v>0</v>
      </c>
      <c r="AG95">
        <v>1</v>
      </c>
      <c r="AH95">
        <v>0.9</v>
      </c>
      <c r="AI95">
        <v>3</v>
      </c>
      <c r="AJ95">
        <v>0.89999999999999991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0.7</v>
      </c>
      <c r="AQ95">
        <v>0.2</v>
      </c>
      <c r="AR95">
        <v>0</v>
      </c>
      <c r="AS95">
        <v>0.77777777777777779</v>
      </c>
      <c r="AT95">
        <v>0.9</v>
      </c>
      <c r="AU95">
        <v>0</v>
      </c>
      <c r="AV95">
        <v>0</v>
      </c>
      <c r="AW95">
        <v>0.89999997615814209</v>
      </c>
      <c r="AX95">
        <v>0</v>
      </c>
      <c r="AY95">
        <v>0</v>
      </c>
      <c r="AZ95">
        <v>0.80000001192092896</v>
      </c>
      <c r="BA95">
        <v>0.10000000149011611</v>
      </c>
      <c r="BB95">
        <v>0</v>
      </c>
      <c r="BC95">
        <v>0.80000001192092896</v>
      </c>
      <c r="BD95">
        <v>0.10000000149011611</v>
      </c>
      <c r="BE95">
        <v>0.88888888888888884</v>
      </c>
      <c r="BF95">
        <v>0.1111111111111111</v>
      </c>
      <c r="BG95">
        <v>150</v>
      </c>
      <c r="BH95">
        <v>0</v>
      </c>
      <c r="BI95">
        <v>0.80000001192092896</v>
      </c>
      <c r="BJ95">
        <v>0.10000000149011611</v>
      </c>
      <c r="BK95">
        <v>0</v>
      </c>
      <c r="BL95">
        <v>1</v>
      </c>
      <c r="BM95">
        <v>1</v>
      </c>
      <c r="BN95">
        <v>2023</v>
      </c>
      <c r="BO95">
        <v>1</v>
      </c>
      <c r="BP95">
        <v>1</v>
      </c>
      <c r="BQ95">
        <v>2</v>
      </c>
      <c r="BR95">
        <v>2024</v>
      </c>
      <c r="BS95">
        <v>1</v>
      </c>
      <c r="BT95">
        <v>1</v>
      </c>
      <c r="BU95">
        <v>3</v>
      </c>
      <c r="BV95">
        <v>2025</v>
      </c>
      <c r="BW95">
        <v>1</v>
      </c>
      <c r="BX95">
        <v>0</v>
      </c>
      <c r="BY95">
        <v>0</v>
      </c>
      <c r="BZ95">
        <v>1</v>
      </c>
      <c r="CA95">
        <v>1</v>
      </c>
      <c r="CB95">
        <v>1</v>
      </c>
      <c r="CC95">
        <v>0</v>
      </c>
      <c r="CD95">
        <v>0</v>
      </c>
      <c r="CE95">
        <v>1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1</v>
      </c>
    </row>
    <row r="96" spans="1:96" x14ac:dyDescent="0.25">
      <c r="A96">
        <v>95</v>
      </c>
      <c r="B96" t="s">
        <v>485</v>
      </c>
      <c r="C96" t="s">
        <v>486</v>
      </c>
      <c r="D96" t="s">
        <v>487</v>
      </c>
      <c r="E96" t="s">
        <v>488</v>
      </c>
      <c r="F96" t="s">
        <v>489</v>
      </c>
      <c r="G96">
        <v>2</v>
      </c>
      <c r="H96">
        <v>2</v>
      </c>
      <c r="I96">
        <v>1298</v>
      </c>
      <c r="J96">
        <v>0</v>
      </c>
      <c r="K96">
        <v>0</v>
      </c>
      <c r="L96">
        <v>2325.9</v>
      </c>
      <c r="M96">
        <v>2475.9</v>
      </c>
      <c r="N96">
        <v>1443.4</v>
      </c>
      <c r="O96">
        <v>1418.4</v>
      </c>
      <c r="P96">
        <v>2371</v>
      </c>
      <c r="Q96">
        <v>0</v>
      </c>
      <c r="R96">
        <v>0</v>
      </c>
      <c r="S96">
        <v>0</v>
      </c>
      <c r="T96">
        <v>0</v>
      </c>
      <c r="U96">
        <v>0</v>
      </c>
      <c r="V96">
        <v>1.43</v>
      </c>
      <c r="W96">
        <v>3</v>
      </c>
      <c r="X96">
        <v>1.43</v>
      </c>
      <c r="Y96">
        <v>0</v>
      </c>
      <c r="Z96">
        <v>0</v>
      </c>
      <c r="AA96">
        <v>0</v>
      </c>
      <c r="AB96">
        <v>0</v>
      </c>
      <c r="AC96">
        <v>1.43</v>
      </c>
      <c r="AD96">
        <v>0</v>
      </c>
      <c r="AE96">
        <v>0</v>
      </c>
      <c r="AF96">
        <v>0</v>
      </c>
      <c r="AG96">
        <v>1</v>
      </c>
      <c r="AH96">
        <v>1.43</v>
      </c>
      <c r="AI96">
        <v>3</v>
      </c>
      <c r="AJ96">
        <v>1.43</v>
      </c>
      <c r="AK96">
        <v>0</v>
      </c>
      <c r="AL96">
        <v>0</v>
      </c>
      <c r="AM96">
        <v>0</v>
      </c>
      <c r="AN96">
        <v>0</v>
      </c>
      <c r="AO96">
        <v>1.23</v>
      </c>
      <c r="AP96">
        <v>0.2</v>
      </c>
      <c r="AQ96">
        <v>0</v>
      </c>
      <c r="AR96">
        <v>0</v>
      </c>
      <c r="AS96">
        <v>1</v>
      </c>
      <c r="AT96">
        <v>1.43</v>
      </c>
      <c r="AU96">
        <v>0</v>
      </c>
      <c r="AV96">
        <v>0</v>
      </c>
      <c r="AW96">
        <v>1.429999947547913</v>
      </c>
      <c r="AX96">
        <v>0</v>
      </c>
      <c r="AY96">
        <v>0.93000000715255737</v>
      </c>
      <c r="AZ96">
        <v>0.5</v>
      </c>
      <c r="BA96">
        <v>0</v>
      </c>
      <c r="BB96">
        <v>0</v>
      </c>
      <c r="BC96">
        <v>1.4300000071525569</v>
      </c>
      <c r="BD96">
        <v>0</v>
      </c>
      <c r="BE96">
        <v>1</v>
      </c>
      <c r="BF96">
        <v>0</v>
      </c>
      <c r="BG96">
        <v>150</v>
      </c>
      <c r="BH96">
        <v>0.93000000715255737</v>
      </c>
      <c r="BI96">
        <v>0.5</v>
      </c>
      <c r="BJ96">
        <v>0</v>
      </c>
      <c r="BK96">
        <v>0</v>
      </c>
      <c r="BL96">
        <v>0</v>
      </c>
      <c r="BM96">
        <v>0</v>
      </c>
      <c r="BP96">
        <v>0</v>
      </c>
      <c r="BQ96">
        <v>0</v>
      </c>
      <c r="BT96">
        <v>1</v>
      </c>
      <c r="BU96">
        <v>1</v>
      </c>
      <c r="BV96">
        <v>2025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25">
      <c r="A97">
        <v>96</v>
      </c>
      <c r="B97" t="s">
        <v>490</v>
      </c>
      <c r="C97" t="s">
        <v>491</v>
      </c>
      <c r="D97" t="s">
        <v>492</v>
      </c>
      <c r="E97" t="s">
        <v>493</v>
      </c>
      <c r="F97" t="s">
        <v>494</v>
      </c>
      <c r="G97">
        <v>3</v>
      </c>
      <c r="H97">
        <v>3</v>
      </c>
      <c r="I97">
        <v>2554</v>
      </c>
      <c r="J97">
        <v>0</v>
      </c>
      <c r="K97">
        <v>0</v>
      </c>
      <c r="L97">
        <v>2409.4</v>
      </c>
      <c r="M97">
        <v>2559.5</v>
      </c>
      <c r="N97">
        <v>1239.3</v>
      </c>
      <c r="O97">
        <v>370.5</v>
      </c>
      <c r="P97">
        <v>2727.8</v>
      </c>
      <c r="Q97">
        <v>0</v>
      </c>
      <c r="R97">
        <v>0</v>
      </c>
      <c r="S97">
        <v>0</v>
      </c>
      <c r="T97">
        <v>0</v>
      </c>
      <c r="U97">
        <v>0</v>
      </c>
      <c r="V97">
        <v>1.17</v>
      </c>
      <c r="W97">
        <v>3.5</v>
      </c>
      <c r="X97">
        <v>1.17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1.17</v>
      </c>
      <c r="AF97">
        <v>0</v>
      </c>
      <c r="AG97">
        <v>0</v>
      </c>
      <c r="AH97">
        <v>1.17</v>
      </c>
      <c r="AI97">
        <v>3.5</v>
      </c>
      <c r="AJ97">
        <v>1.17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</v>
      </c>
      <c r="AQ97">
        <v>0.97</v>
      </c>
      <c r="AR97">
        <v>0</v>
      </c>
      <c r="AS97">
        <v>0.170940170940171</v>
      </c>
      <c r="AT97">
        <v>1.17</v>
      </c>
      <c r="AU97">
        <v>0</v>
      </c>
      <c r="AV97">
        <v>0</v>
      </c>
      <c r="AW97">
        <v>1.169999957084656</v>
      </c>
      <c r="AX97">
        <v>0</v>
      </c>
      <c r="AY97">
        <v>0</v>
      </c>
      <c r="AZ97">
        <v>0.5</v>
      </c>
      <c r="BA97">
        <v>0.67000001668930054</v>
      </c>
      <c r="BB97">
        <v>0</v>
      </c>
      <c r="BC97">
        <v>0.5</v>
      </c>
      <c r="BD97">
        <v>0.67000001668930054</v>
      </c>
      <c r="BE97">
        <v>0.42735042125454742</v>
      </c>
      <c r="BF97">
        <v>0.57264957874545264</v>
      </c>
      <c r="BG97">
        <v>150</v>
      </c>
      <c r="BH97">
        <v>0</v>
      </c>
      <c r="BI97">
        <v>0.5</v>
      </c>
      <c r="BJ97">
        <v>0.67000001668930054</v>
      </c>
      <c r="BK97">
        <v>0</v>
      </c>
      <c r="BL97">
        <v>1</v>
      </c>
      <c r="BM97">
        <v>1</v>
      </c>
      <c r="BN97">
        <v>2023</v>
      </c>
      <c r="BO97">
        <v>1</v>
      </c>
      <c r="BP97">
        <v>1</v>
      </c>
      <c r="BQ97">
        <v>2</v>
      </c>
      <c r="BR97">
        <v>2024</v>
      </c>
      <c r="BS97">
        <v>1</v>
      </c>
      <c r="BT97">
        <v>1</v>
      </c>
      <c r="BU97">
        <v>2</v>
      </c>
      <c r="BV97">
        <v>2024</v>
      </c>
      <c r="BW97">
        <v>2</v>
      </c>
      <c r="BX97">
        <v>0</v>
      </c>
      <c r="BY97">
        <v>0</v>
      </c>
      <c r="BZ97">
        <v>1</v>
      </c>
      <c r="CA97">
        <v>1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1</v>
      </c>
    </row>
    <row r="98" spans="1:96" x14ac:dyDescent="0.25">
      <c r="A98">
        <v>97</v>
      </c>
      <c r="B98" t="s">
        <v>495</v>
      </c>
      <c r="C98" t="s">
        <v>496</v>
      </c>
      <c r="D98" t="s">
        <v>497</v>
      </c>
      <c r="E98" t="s">
        <v>498</v>
      </c>
      <c r="F98" t="s">
        <v>176</v>
      </c>
      <c r="G98">
        <v>2</v>
      </c>
      <c r="H98">
        <v>1</v>
      </c>
      <c r="I98">
        <v>1245</v>
      </c>
      <c r="J98">
        <v>0</v>
      </c>
      <c r="K98">
        <v>1</v>
      </c>
      <c r="L98">
        <v>2781.2</v>
      </c>
      <c r="M98">
        <v>2931.3</v>
      </c>
      <c r="N98">
        <v>1637.8</v>
      </c>
      <c r="O98">
        <v>705.9</v>
      </c>
      <c r="P98">
        <v>3099.5</v>
      </c>
      <c r="Q98">
        <v>0</v>
      </c>
      <c r="R98">
        <v>0</v>
      </c>
      <c r="S98">
        <v>0</v>
      </c>
      <c r="T98">
        <v>0</v>
      </c>
      <c r="U98">
        <v>0</v>
      </c>
      <c r="V98">
        <v>0.78</v>
      </c>
      <c r="W98">
        <v>3.5</v>
      </c>
      <c r="X98">
        <v>0</v>
      </c>
      <c r="Y98">
        <v>0</v>
      </c>
      <c r="Z98">
        <v>0</v>
      </c>
      <c r="AA98">
        <v>0.78</v>
      </c>
      <c r="AB98">
        <v>0</v>
      </c>
      <c r="AC98">
        <v>0</v>
      </c>
      <c r="AD98">
        <v>0</v>
      </c>
      <c r="AE98">
        <v>0</v>
      </c>
      <c r="AF98">
        <v>0.78</v>
      </c>
      <c r="AG98">
        <v>0</v>
      </c>
      <c r="AH98">
        <v>0.78</v>
      </c>
      <c r="AI98">
        <v>3.5</v>
      </c>
      <c r="AJ98">
        <v>0.77999999999999992</v>
      </c>
      <c r="AK98">
        <v>0</v>
      </c>
      <c r="AL98">
        <v>0</v>
      </c>
      <c r="AM98">
        <v>0</v>
      </c>
      <c r="AN98">
        <v>0</v>
      </c>
      <c r="AO98">
        <v>0.77999999999999992</v>
      </c>
      <c r="AP98">
        <v>0</v>
      </c>
      <c r="AQ98">
        <v>0</v>
      </c>
      <c r="AR98">
        <v>0</v>
      </c>
      <c r="AS98">
        <v>1</v>
      </c>
      <c r="AT98">
        <v>0.78</v>
      </c>
      <c r="AU98">
        <v>0</v>
      </c>
      <c r="AV98">
        <v>0</v>
      </c>
      <c r="AW98">
        <v>0.77999997138977051</v>
      </c>
      <c r="AX98">
        <v>0</v>
      </c>
      <c r="AY98">
        <v>0.77999997138977051</v>
      </c>
      <c r="AZ98">
        <v>0</v>
      </c>
      <c r="BA98">
        <v>0</v>
      </c>
      <c r="BB98">
        <v>0</v>
      </c>
      <c r="BC98">
        <v>0.77999997138977051</v>
      </c>
      <c r="BD98">
        <v>0</v>
      </c>
      <c r="BE98">
        <v>1</v>
      </c>
      <c r="BF98">
        <v>0</v>
      </c>
      <c r="BG98">
        <v>150</v>
      </c>
      <c r="BH98">
        <v>0.77999997138977051</v>
      </c>
      <c r="BI98">
        <v>0</v>
      </c>
      <c r="BJ98">
        <v>0</v>
      </c>
      <c r="BK98">
        <v>0</v>
      </c>
      <c r="BL98">
        <v>0</v>
      </c>
      <c r="BM98">
        <v>0</v>
      </c>
      <c r="BP98">
        <v>1</v>
      </c>
      <c r="BQ98">
        <v>1</v>
      </c>
      <c r="BR98">
        <v>2024</v>
      </c>
      <c r="BS98">
        <v>1</v>
      </c>
      <c r="BT98">
        <v>1</v>
      </c>
      <c r="BU98">
        <v>1</v>
      </c>
      <c r="BV98">
        <v>2024</v>
      </c>
      <c r="BW98">
        <v>2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spans="1:96" x14ac:dyDescent="0.25">
      <c r="A99">
        <v>98</v>
      </c>
      <c r="B99" t="s">
        <v>499</v>
      </c>
      <c r="C99" t="s">
        <v>500</v>
      </c>
      <c r="D99" t="s">
        <v>501</v>
      </c>
      <c r="E99" t="s">
        <v>502</v>
      </c>
      <c r="F99" t="s">
        <v>503</v>
      </c>
      <c r="G99">
        <v>4</v>
      </c>
      <c r="H99">
        <v>2</v>
      </c>
      <c r="I99">
        <v>2916</v>
      </c>
      <c r="J99">
        <v>0</v>
      </c>
      <c r="K99">
        <v>1</v>
      </c>
      <c r="L99">
        <v>2573.5</v>
      </c>
      <c r="M99">
        <v>2569.4</v>
      </c>
      <c r="N99">
        <v>3230</v>
      </c>
      <c r="O99">
        <v>535.6</v>
      </c>
      <c r="P99">
        <v>4628.6000000000004</v>
      </c>
      <c r="Q99">
        <v>0</v>
      </c>
      <c r="R99">
        <v>0</v>
      </c>
      <c r="S99">
        <v>0</v>
      </c>
      <c r="T99">
        <v>0</v>
      </c>
      <c r="U99">
        <v>0</v>
      </c>
      <c r="V99">
        <v>4.9400000000000004</v>
      </c>
      <c r="W99">
        <v>3.5</v>
      </c>
      <c r="X99">
        <v>4.9400000000000004</v>
      </c>
      <c r="Y99">
        <v>0</v>
      </c>
      <c r="Z99">
        <v>0</v>
      </c>
      <c r="AA99">
        <v>0</v>
      </c>
      <c r="AB99">
        <v>0</v>
      </c>
      <c r="AC99">
        <v>4.9400000000000004</v>
      </c>
      <c r="AD99">
        <v>0</v>
      </c>
      <c r="AE99">
        <v>0</v>
      </c>
      <c r="AF99">
        <v>0</v>
      </c>
      <c r="AG99">
        <v>1</v>
      </c>
      <c r="AH99">
        <v>4.9400000000000004</v>
      </c>
      <c r="AI99">
        <v>5</v>
      </c>
      <c r="AJ99">
        <v>4.9399999999999986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3.5400000000000018</v>
      </c>
      <c r="AQ99">
        <v>1.4</v>
      </c>
      <c r="AR99">
        <v>0</v>
      </c>
      <c r="AS99">
        <v>0.71659919028340091</v>
      </c>
      <c r="AT99">
        <v>4.9400000000000004</v>
      </c>
      <c r="AU99">
        <v>0</v>
      </c>
      <c r="AV99">
        <v>0</v>
      </c>
      <c r="AW99">
        <v>4.940000057220459</v>
      </c>
      <c r="AX99">
        <v>0</v>
      </c>
      <c r="AY99">
        <v>0.14000000059604639</v>
      </c>
      <c r="AZ99">
        <v>1.8999999761581421</v>
      </c>
      <c r="BA99">
        <v>2.5999999046325679</v>
      </c>
      <c r="BB99">
        <v>0.30000001192092901</v>
      </c>
      <c r="BC99">
        <v>2.039999976754189</v>
      </c>
      <c r="BD99">
        <v>2.8999999165534969</v>
      </c>
      <c r="BE99">
        <v>0.41295546980027598</v>
      </c>
      <c r="BF99">
        <v>0.58704453019972402</v>
      </c>
      <c r="BG99">
        <v>150</v>
      </c>
      <c r="BH99">
        <v>0.14000000059604639</v>
      </c>
      <c r="BI99">
        <v>1.8999999761581421</v>
      </c>
      <c r="BJ99">
        <v>2.5999999046325679</v>
      </c>
      <c r="BK99">
        <v>0.30000001192092901</v>
      </c>
      <c r="BL99">
        <v>1</v>
      </c>
      <c r="BM99">
        <v>1</v>
      </c>
      <c r="BN99">
        <v>2023</v>
      </c>
      <c r="BO99">
        <v>1</v>
      </c>
      <c r="BP99">
        <v>1</v>
      </c>
      <c r="BQ99">
        <v>1</v>
      </c>
      <c r="BR99">
        <v>2023</v>
      </c>
      <c r="BS99">
        <v>2</v>
      </c>
      <c r="BT99">
        <v>1</v>
      </c>
      <c r="BU99">
        <v>1</v>
      </c>
      <c r="BV99">
        <v>2023</v>
      </c>
      <c r="BW99">
        <v>3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25">
      <c r="A100">
        <v>99</v>
      </c>
      <c r="B100" t="s">
        <v>504</v>
      </c>
      <c r="C100" t="s">
        <v>505</v>
      </c>
      <c r="D100" t="s">
        <v>506</v>
      </c>
      <c r="E100" t="s">
        <v>507</v>
      </c>
      <c r="F100" t="s">
        <v>363</v>
      </c>
      <c r="G100">
        <v>2</v>
      </c>
      <c r="H100">
        <v>1</v>
      </c>
      <c r="I100">
        <v>1435</v>
      </c>
      <c r="J100">
        <v>1</v>
      </c>
      <c r="K100">
        <v>0</v>
      </c>
      <c r="L100">
        <v>9408.7999999999993</v>
      </c>
      <c r="M100">
        <v>11892.5</v>
      </c>
      <c r="N100">
        <v>17293.2</v>
      </c>
      <c r="O100">
        <v>87.8</v>
      </c>
      <c r="P100">
        <v>43906.3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4.0999999999999996</v>
      </c>
      <c r="W100">
        <v>3</v>
      </c>
      <c r="X100">
        <v>0</v>
      </c>
      <c r="Y100">
        <v>0</v>
      </c>
      <c r="Z100">
        <v>2.4</v>
      </c>
      <c r="AA100">
        <v>0</v>
      </c>
      <c r="AB100">
        <v>1.7</v>
      </c>
      <c r="AC100">
        <v>0.4</v>
      </c>
      <c r="AD100">
        <v>0</v>
      </c>
      <c r="AE100">
        <v>2</v>
      </c>
      <c r="AF100">
        <v>1.7</v>
      </c>
      <c r="AG100">
        <v>9.7560975609756115E-2</v>
      </c>
      <c r="AH100">
        <v>4.0999999999999996</v>
      </c>
      <c r="AI100">
        <v>3</v>
      </c>
      <c r="AJ100">
        <v>0</v>
      </c>
      <c r="AK100">
        <v>0</v>
      </c>
      <c r="AL100">
        <v>2.4000000000000008</v>
      </c>
      <c r="AM100">
        <v>0</v>
      </c>
      <c r="AN100">
        <v>1.7</v>
      </c>
      <c r="AO100">
        <v>0</v>
      </c>
      <c r="AP100">
        <v>0.4</v>
      </c>
      <c r="AQ100">
        <v>2</v>
      </c>
      <c r="AR100">
        <v>1.7</v>
      </c>
      <c r="AS100">
        <v>9.7560975609756087E-2</v>
      </c>
      <c r="AT100">
        <v>4.0999999999999996</v>
      </c>
      <c r="AU100">
        <v>2.4000000953674321</v>
      </c>
      <c r="AV100">
        <v>0</v>
      </c>
      <c r="AW100">
        <v>0</v>
      </c>
      <c r="AX100">
        <v>0</v>
      </c>
      <c r="AY100">
        <v>0</v>
      </c>
      <c r="AZ100">
        <v>0.10000000149011611</v>
      </c>
      <c r="BA100">
        <v>1.3999999761581421</v>
      </c>
      <c r="BB100">
        <v>0.89999997615814209</v>
      </c>
      <c r="BC100">
        <v>0.10000000149011611</v>
      </c>
      <c r="BD100">
        <v>2.2999999523162842</v>
      </c>
      <c r="BE100">
        <v>4.1666668089520631E-2</v>
      </c>
      <c r="BF100">
        <v>0.95833333191047942</v>
      </c>
      <c r="BG100">
        <v>150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2</v>
      </c>
      <c r="BN100">
        <v>2023</v>
      </c>
      <c r="BO100">
        <v>1</v>
      </c>
      <c r="BP100">
        <v>1</v>
      </c>
      <c r="BQ100">
        <v>2</v>
      </c>
      <c r="BR100">
        <v>2023</v>
      </c>
      <c r="BS100">
        <v>2</v>
      </c>
      <c r="BT100">
        <v>1</v>
      </c>
      <c r="BU100">
        <v>2</v>
      </c>
      <c r="BV100">
        <v>2023</v>
      </c>
      <c r="BW100">
        <v>3</v>
      </c>
      <c r="BX100">
        <v>1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spans="1:96" x14ac:dyDescent="0.25">
      <c r="A101">
        <v>100</v>
      </c>
      <c r="B101" t="s">
        <v>508</v>
      </c>
      <c r="C101" t="s">
        <v>509</v>
      </c>
      <c r="D101" t="s">
        <v>510</v>
      </c>
      <c r="E101" t="s">
        <v>511</v>
      </c>
      <c r="F101" t="s">
        <v>315</v>
      </c>
      <c r="G101">
        <v>1</v>
      </c>
      <c r="H101">
        <v>1</v>
      </c>
      <c r="I101">
        <v>741</v>
      </c>
      <c r="J101">
        <v>0</v>
      </c>
      <c r="K101">
        <v>0</v>
      </c>
      <c r="L101">
        <v>2252</v>
      </c>
      <c r="M101">
        <v>901.6</v>
      </c>
      <c r="N101">
        <v>3290.5</v>
      </c>
      <c r="O101">
        <v>0</v>
      </c>
      <c r="P101">
        <v>29903.599999999999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0.21</v>
      </c>
      <c r="W101">
        <v>3</v>
      </c>
      <c r="X101">
        <v>0.21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0.21</v>
      </c>
      <c r="AE101">
        <v>0</v>
      </c>
      <c r="AF101">
        <v>0</v>
      </c>
      <c r="AG101">
        <v>1</v>
      </c>
      <c r="AH101">
        <v>0.21</v>
      </c>
      <c r="AI101">
        <v>3</v>
      </c>
      <c r="AJ101">
        <v>0.21</v>
      </c>
      <c r="AK101">
        <v>0</v>
      </c>
      <c r="AL101">
        <v>0</v>
      </c>
      <c r="AM101">
        <v>0</v>
      </c>
      <c r="AN101">
        <v>0</v>
      </c>
      <c r="AO101">
        <v>0.21</v>
      </c>
      <c r="AP101">
        <v>0</v>
      </c>
      <c r="AQ101">
        <v>0</v>
      </c>
      <c r="AR101">
        <v>0</v>
      </c>
      <c r="AS101">
        <v>1</v>
      </c>
      <c r="AT101">
        <v>0.21</v>
      </c>
      <c r="AU101">
        <v>0</v>
      </c>
      <c r="AV101">
        <v>0</v>
      </c>
      <c r="AW101">
        <v>0.2099999934434891</v>
      </c>
      <c r="AX101">
        <v>0</v>
      </c>
      <c r="AY101">
        <v>0</v>
      </c>
      <c r="AZ101">
        <v>0</v>
      </c>
      <c r="BA101">
        <v>0.2099999934434891</v>
      </c>
      <c r="BB101">
        <v>0</v>
      </c>
      <c r="BC101">
        <v>0</v>
      </c>
      <c r="BD101">
        <v>0.2099999934434891</v>
      </c>
      <c r="BE101">
        <v>0</v>
      </c>
      <c r="BF101">
        <v>1</v>
      </c>
      <c r="BG101">
        <v>150</v>
      </c>
      <c r="BH101">
        <v>0</v>
      </c>
      <c r="BI101">
        <v>0</v>
      </c>
      <c r="BJ101">
        <v>0.2099999934434891</v>
      </c>
      <c r="BK101">
        <v>0</v>
      </c>
      <c r="BL101">
        <v>0</v>
      </c>
      <c r="BM101">
        <v>0</v>
      </c>
      <c r="BP101">
        <v>0</v>
      </c>
      <c r="BQ101">
        <v>0</v>
      </c>
      <c r="BT101">
        <v>0</v>
      </c>
      <c r="BU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spans="1:96" x14ac:dyDescent="0.25">
      <c r="A102">
        <v>101</v>
      </c>
      <c r="B102" t="s">
        <v>512</v>
      </c>
      <c r="C102" t="s">
        <v>513</v>
      </c>
      <c r="D102" t="s">
        <v>514</v>
      </c>
      <c r="E102" t="s">
        <v>515</v>
      </c>
      <c r="F102" t="s">
        <v>310</v>
      </c>
      <c r="G102">
        <v>2</v>
      </c>
      <c r="H102">
        <v>1</v>
      </c>
      <c r="I102">
        <v>501</v>
      </c>
      <c r="J102">
        <v>0</v>
      </c>
      <c r="K102">
        <v>0</v>
      </c>
      <c r="L102">
        <v>38688.800000000003</v>
      </c>
      <c r="M102">
        <v>4781.2</v>
      </c>
      <c r="N102">
        <v>40899.199999999997</v>
      </c>
      <c r="O102">
        <v>918.1</v>
      </c>
      <c r="P102">
        <v>40801.599999999999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2.7</v>
      </c>
      <c r="W102">
        <v>2</v>
      </c>
      <c r="X102">
        <v>0</v>
      </c>
      <c r="Y102">
        <v>0</v>
      </c>
      <c r="Z102">
        <v>2.2999999999999998</v>
      </c>
      <c r="AA102">
        <v>0</v>
      </c>
      <c r="AB102">
        <v>0.4</v>
      </c>
      <c r="AC102">
        <v>0.2</v>
      </c>
      <c r="AD102">
        <v>1.4</v>
      </c>
      <c r="AE102">
        <v>0</v>
      </c>
      <c r="AF102">
        <v>1.1000000000000001</v>
      </c>
      <c r="AG102">
        <v>0.59259259259259256</v>
      </c>
      <c r="AH102">
        <v>2.7</v>
      </c>
      <c r="AI102">
        <v>2</v>
      </c>
      <c r="AJ102">
        <v>0</v>
      </c>
      <c r="AK102">
        <v>0</v>
      </c>
      <c r="AL102">
        <v>2.3000000000000012</v>
      </c>
      <c r="AM102">
        <v>0.4</v>
      </c>
      <c r="AN102">
        <v>0</v>
      </c>
      <c r="AO102">
        <v>0</v>
      </c>
      <c r="AP102">
        <v>1.6</v>
      </c>
      <c r="AQ102">
        <v>0</v>
      </c>
      <c r="AR102">
        <v>1.1000000000000001</v>
      </c>
      <c r="AS102">
        <v>0.59259259259259267</v>
      </c>
      <c r="AT102">
        <v>2.7</v>
      </c>
      <c r="AU102">
        <v>2.5</v>
      </c>
      <c r="AV102">
        <v>0</v>
      </c>
      <c r="AW102">
        <v>0</v>
      </c>
      <c r="AX102">
        <v>0</v>
      </c>
      <c r="AY102">
        <v>0</v>
      </c>
      <c r="AZ102">
        <v>2.0999999046325679</v>
      </c>
      <c r="BA102">
        <v>0.20000000298023221</v>
      </c>
      <c r="BB102">
        <v>0.20000000298023221</v>
      </c>
      <c r="BC102">
        <v>2.0999999046325679</v>
      </c>
      <c r="BD102">
        <v>0.40000000596046448</v>
      </c>
      <c r="BE102">
        <v>0.83999999189376806</v>
      </c>
      <c r="BF102">
        <v>0.16000000810623199</v>
      </c>
      <c r="BG102">
        <v>150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2022</v>
      </c>
      <c r="BO102">
        <v>2</v>
      </c>
      <c r="BP102">
        <v>1</v>
      </c>
      <c r="BQ102">
        <v>2</v>
      </c>
      <c r="BR102">
        <v>2024</v>
      </c>
      <c r="BS102">
        <v>1</v>
      </c>
      <c r="BT102">
        <v>1</v>
      </c>
      <c r="BU102">
        <v>2</v>
      </c>
      <c r="BV102">
        <v>2024</v>
      </c>
      <c r="BW102">
        <v>2</v>
      </c>
      <c r="BX102">
        <v>0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1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96" x14ac:dyDescent="0.25">
      <c r="A103">
        <v>102</v>
      </c>
      <c r="B103" t="s">
        <v>516</v>
      </c>
      <c r="C103" t="s">
        <v>517</v>
      </c>
      <c r="D103" t="s">
        <v>518</v>
      </c>
      <c r="E103" t="s">
        <v>519</v>
      </c>
      <c r="F103" t="s">
        <v>310</v>
      </c>
      <c r="G103">
        <v>1</v>
      </c>
      <c r="H103">
        <v>1</v>
      </c>
      <c r="I103">
        <v>235</v>
      </c>
      <c r="J103">
        <v>0</v>
      </c>
      <c r="K103">
        <v>0</v>
      </c>
      <c r="L103">
        <v>41201.5</v>
      </c>
      <c r="M103">
        <v>7293.9</v>
      </c>
      <c r="N103">
        <v>43411.9</v>
      </c>
      <c r="O103">
        <v>1185.3</v>
      </c>
      <c r="P103">
        <v>43314.3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5.25</v>
      </c>
      <c r="W103">
        <v>2</v>
      </c>
      <c r="X103">
        <v>0</v>
      </c>
      <c r="Y103">
        <v>0</v>
      </c>
      <c r="Z103">
        <v>5.25</v>
      </c>
      <c r="AA103">
        <v>0</v>
      </c>
      <c r="AB103">
        <v>0</v>
      </c>
      <c r="AC103">
        <v>0</v>
      </c>
      <c r="AD103">
        <v>0.6</v>
      </c>
      <c r="AE103">
        <v>1.4</v>
      </c>
      <c r="AF103">
        <v>3.25</v>
      </c>
      <c r="AG103">
        <v>0.1142857142857143</v>
      </c>
      <c r="AH103">
        <v>5.25</v>
      </c>
      <c r="AI103">
        <v>2</v>
      </c>
      <c r="AJ103">
        <v>0</v>
      </c>
      <c r="AK103">
        <v>0</v>
      </c>
      <c r="AL103">
        <v>5.2499999999999973</v>
      </c>
      <c r="AM103">
        <v>0</v>
      </c>
      <c r="AN103">
        <v>0</v>
      </c>
      <c r="AO103">
        <v>0.99999999999999989</v>
      </c>
      <c r="AP103">
        <v>1.9500000000000011</v>
      </c>
      <c r="AQ103">
        <v>1.6</v>
      </c>
      <c r="AR103">
        <v>0.7</v>
      </c>
      <c r="AS103">
        <v>0.56190476190476191</v>
      </c>
      <c r="AT103">
        <v>5.25</v>
      </c>
      <c r="AU103">
        <v>5.25</v>
      </c>
      <c r="AV103">
        <v>0</v>
      </c>
      <c r="AW103">
        <v>0</v>
      </c>
      <c r="AX103">
        <v>0</v>
      </c>
      <c r="AY103">
        <v>1.049999952316284</v>
      </c>
      <c r="AZ103">
        <v>1.799999952316284</v>
      </c>
      <c r="BA103">
        <v>1.700000047683716</v>
      </c>
      <c r="BB103">
        <v>0.69999998807907104</v>
      </c>
      <c r="BC103">
        <v>2.8499999046325679</v>
      </c>
      <c r="BD103">
        <v>2.4000000357627869</v>
      </c>
      <c r="BE103">
        <v>0.542857130855119</v>
      </c>
      <c r="BF103">
        <v>0.457142869144881</v>
      </c>
      <c r="BG103">
        <v>150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3</v>
      </c>
      <c r="BN103">
        <v>2023</v>
      </c>
      <c r="BO103">
        <v>1</v>
      </c>
      <c r="BP103">
        <v>1</v>
      </c>
      <c r="BQ103">
        <v>3</v>
      </c>
      <c r="BR103">
        <v>2023</v>
      </c>
      <c r="BS103">
        <v>2</v>
      </c>
      <c r="BT103">
        <v>1</v>
      </c>
      <c r="BU103">
        <v>3</v>
      </c>
      <c r="BV103">
        <v>2023</v>
      </c>
      <c r="BW103">
        <v>3</v>
      </c>
      <c r="BX103">
        <v>1</v>
      </c>
      <c r="BY103">
        <v>1</v>
      </c>
      <c r="BZ103">
        <v>1</v>
      </c>
      <c r="CA103">
        <v>0</v>
      </c>
      <c r="CB103">
        <v>0</v>
      </c>
      <c r="CC103">
        <v>1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</row>
    <row r="104" spans="1:96" x14ac:dyDescent="0.25">
      <c r="A104">
        <v>103</v>
      </c>
      <c r="B104" t="s">
        <v>520</v>
      </c>
      <c r="C104" t="s">
        <v>521</v>
      </c>
      <c r="D104" t="s">
        <v>522</v>
      </c>
      <c r="E104" t="s">
        <v>523</v>
      </c>
      <c r="F104" t="s">
        <v>176</v>
      </c>
      <c r="G104">
        <v>2</v>
      </c>
      <c r="H104">
        <v>1</v>
      </c>
      <c r="I104">
        <v>424</v>
      </c>
      <c r="J104">
        <v>0</v>
      </c>
      <c r="K104">
        <v>1</v>
      </c>
      <c r="L104">
        <v>3313.7</v>
      </c>
      <c r="M104">
        <v>1973.7</v>
      </c>
      <c r="N104">
        <v>6467.9</v>
      </c>
      <c r="O104">
        <v>0</v>
      </c>
      <c r="P104">
        <v>8139.8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0.64</v>
      </c>
      <c r="W104">
        <v>3</v>
      </c>
      <c r="X104">
        <v>0.64</v>
      </c>
      <c r="Y104">
        <v>0</v>
      </c>
      <c r="Z104">
        <v>0</v>
      </c>
      <c r="AA104">
        <v>0</v>
      </c>
      <c r="AB104">
        <v>0</v>
      </c>
      <c r="AC104">
        <v>0.64</v>
      </c>
      <c r="AD104">
        <v>0</v>
      </c>
      <c r="AE104">
        <v>0</v>
      </c>
      <c r="AF104">
        <v>0</v>
      </c>
      <c r="AG104">
        <v>1</v>
      </c>
      <c r="AH104">
        <v>0.64</v>
      </c>
      <c r="AI104">
        <v>3</v>
      </c>
      <c r="AJ104">
        <v>0.64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0.64</v>
      </c>
      <c r="AQ104">
        <v>0</v>
      </c>
      <c r="AR104">
        <v>0</v>
      </c>
      <c r="AS104">
        <v>1</v>
      </c>
      <c r="AT104">
        <v>0.64</v>
      </c>
      <c r="AU104">
        <v>0</v>
      </c>
      <c r="AV104">
        <v>0</v>
      </c>
      <c r="AW104">
        <v>0.63999998569488525</v>
      </c>
      <c r="AX104">
        <v>0</v>
      </c>
      <c r="AY104">
        <v>0.20000000298023221</v>
      </c>
      <c r="AZ104">
        <v>0.43999999761581421</v>
      </c>
      <c r="BA104">
        <v>0</v>
      </c>
      <c r="BB104">
        <v>0</v>
      </c>
      <c r="BC104">
        <v>0.64000000059604645</v>
      </c>
      <c r="BD104">
        <v>0</v>
      </c>
      <c r="BE104">
        <v>1</v>
      </c>
      <c r="BF104">
        <v>0</v>
      </c>
      <c r="BG104">
        <v>150</v>
      </c>
      <c r="BH104">
        <v>0.20000000298023221</v>
      </c>
      <c r="BI104">
        <v>0.43999999761581421</v>
      </c>
      <c r="BJ104">
        <v>0</v>
      </c>
      <c r="BK104">
        <v>0</v>
      </c>
      <c r="BL104">
        <v>1</v>
      </c>
      <c r="BM104">
        <v>1</v>
      </c>
      <c r="BN104">
        <v>2021</v>
      </c>
      <c r="BO104">
        <v>3</v>
      </c>
      <c r="BP104">
        <v>1</v>
      </c>
      <c r="BQ104">
        <v>1</v>
      </c>
      <c r="BR104">
        <v>2021</v>
      </c>
      <c r="BS104">
        <v>4</v>
      </c>
      <c r="BT104">
        <v>1</v>
      </c>
      <c r="BU104">
        <v>1</v>
      </c>
      <c r="BV104">
        <v>2021</v>
      </c>
      <c r="BW104">
        <v>5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spans="1:96" x14ac:dyDescent="0.25">
      <c r="A105">
        <v>104</v>
      </c>
      <c r="B105" t="s">
        <v>524</v>
      </c>
      <c r="C105" t="s">
        <v>525</v>
      </c>
      <c r="D105" t="s">
        <v>526</v>
      </c>
      <c r="E105" t="s">
        <v>527</v>
      </c>
      <c r="F105" t="s">
        <v>176</v>
      </c>
      <c r="G105">
        <v>3</v>
      </c>
      <c r="H105">
        <v>1</v>
      </c>
      <c r="I105">
        <v>1055</v>
      </c>
      <c r="J105">
        <v>0</v>
      </c>
      <c r="K105">
        <v>1</v>
      </c>
      <c r="L105">
        <v>3751.3</v>
      </c>
      <c r="M105">
        <v>3431.5</v>
      </c>
      <c r="N105">
        <v>7925.7</v>
      </c>
      <c r="O105">
        <v>1826.6</v>
      </c>
      <c r="P105">
        <v>9597.5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2.66</v>
      </c>
      <c r="W105">
        <v>3</v>
      </c>
      <c r="X105">
        <v>0.8</v>
      </c>
      <c r="Y105">
        <v>0</v>
      </c>
      <c r="Z105">
        <v>0</v>
      </c>
      <c r="AA105">
        <v>1.86</v>
      </c>
      <c r="AB105">
        <v>0</v>
      </c>
      <c r="AC105">
        <v>0</v>
      </c>
      <c r="AD105">
        <v>0.8</v>
      </c>
      <c r="AE105">
        <v>0</v>
      </c>
      <c r="AF105">
        <v>1.86</v>
      </c>
      <c r="AG105">
        <v>0.3007518796992481</v>
      </c>
      <c r="AH105">
        <v>2.66</v>
      </c>
      <c r="AI105">
        <v>3</v>
      </c>
      <c r="AJ105">
        <v>0.79999999999999993</v>
      </c>
      <c r="AK105">
        <v>0</v>
      </c>
      <c r="AL105">
        <v>0</v>
      </c>
      <c r="AM105">
        <v>1.860000000000001</v>
      </c>
      <c r="AN105">
        <v>0</v>
      </c>
      <c r="AO105">
        <v>0</v>
      </c>
      <c r="AP105">
        <v>0.4</v>
      </c>
      <c r="AQ105">
        <v>0.3</v>
      </c>
      <c r="AR105">
        <v>1.9600000000000011</v>
      </c>
      <c r="AS105">
        <v>0.150375939849624</v>
      </c>
      <c r="AT105">
        <v>2.66</v>
      </c>
      <c r="AU105">
        <v>0</v>
      </c>
      <c r="AV105">
        <v>0</v>
      </c>
      <c r="AW105">
        <v>0.80000001192092896</v>
      </c>
      <c r="AX105">
        <v>0</v>
      </c>
      <c r="AY105">
        <v>0</v>
      </c>
      <c r="AZ105">
        <v>0.40000000596046448</v>
      </c>
      <c r="BA105">
        <v>0.30000001192092901</v>
      </c>
      <c r="BB105">
        <v>0.10000000149011611</v>
      </c>
      <c r="BC105">
        <v>0.40000000596046448</v>
      </c>
      <c r="BD105">
        <v>0.40000001341104507</v>
      </c>
      <c r="BE105">
        <v>0.49999999534338718</v>
      </c>
      <c r="BF105">
        <v>0.50000000465661276</v>
      </c>
      <c r="BG105">
        <v>150</v>
      </c>
      <c r="BH105">
        <v>0</v>
      </c>
      <c r="BI105">
        <v>0.40000000596046448</v>
      </c>
      <c r="BJ105">
        <v>0.30000001192092901</v>
      </c>
      <c r="BK105">
        <v>0.10000000149011611</v>
      </c>
      <c r="BL105">
        <v>0</v>
      </c>
      <c r="BM105">
        <v>0</v>
      </c>
      <c r="BP105">
        <v>1</v>
      </c>
      <c r="BQ105">
        <v>1</v>
      </c>
      <c r="BR105">
        <v>2024</v>
      </c>
      <c r="BS105">
        <v>1</v>
      </c>
      <c r="BT105">
        <v>1</v>
      </c>
      <c r="BU105">
        <v>1</v>
      </c>
      <c r="BV105">
        <v>2024</v>
      </c>
      <c r="BW105">
        <v>2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spans="1:96" x14ac:dyDescent="0.25">
      <c r="A106">
        <v>105</v>
      </c>
      <c r="B106" t="s">
        <v>528</v>
      </c>
      <c r="C106" t="s">
        <v>529</v>
      </c>
      <c r="D106" t="s">
        <v>530</v>
      </c>
      <c r="E106" t="s">
        <v>531</v>
      </c>
      <c r="F106" t="s">
        <v>310</v>
      </c>
      <c r="G106">
        <v>1</v>
      </c>
      <c r="H106">
        <v>1</v>
      </c>
      <c r="I106">
        <v>238</v>
      </c>
      <c r="J106">
        <v>0</v>
      </c>
      <c r="K106">
        <v>0</v>
      </c>
      <c r="L106">
        <v>33381.9</v>
      </c>
      <c r="M106">
        <v>3247.9</v>
      </c>
      <c r="N106">
        <v>35592.300000000003</v>
      </c>
      <c r="O106">
        <v>1965.4</v>
      </c>
      <c r="P106">
        <v>35494.699999999997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7</v>
      </c>
      <c r="W106">
        <v>1.5</v>
      </c>
      <c r="X106">
        <v>0</v>
      </c>
      <c r="Y106">
        <v>0</v>
      </c>
      <c r="Z106">
        <v>7</v>
      </c>
      <c r="AA106">
        <v>0</v>
      </c>
      <c r="AB106">
        <v>0</v>
      </c>
      <c r="AC106">
        <v>0.2</v>
      </c>
      <c r="AD106">
        <v>5.4</v>
      </c>
      <c r="AE106">
        <v>1</v>
      </c>
      <c r="AF106">
        <v>0.4</v>
      </c>
      <c r="AG106">
        <v>0.79999999999999993</v>
      </c>
      <c r="AH106">
        <v>7</v>
      </c>
      <c r="AI106">
        <v>1.5</v>
      </c>
      <c r="AJ106">
        <v>0.3</v>
      </c>
      <c r="AK106">
        <v>0</v>
      </c>
      <c r="AL106">
        <v>6.6999999999999922</v>
      </c>
      <c r="AM106">
        <v>0</v>
      </c>
      <c r="AN106">
        <v>0</v>
      </c>
      <c r="AO106">
        <v>0</v>
      </c>
      <c r="AP106">
        <v>5.3999999999999968</v>
      </c>
      <c r="AQ106">
        <v>1.6</v>
      </c>
      <c r="AR106">
        <v>0</v>
      </c>
      <c r="AS106">
        <v>0.77142857142857124</v>
      </c>
      <c r="AT106">
        <v>7</v>
      </c>
      <c r="AU106">
        <v>7</v>
      </c>
      <c r="AV106">
        <v>0</v>
      </c>
      <c r="AW106">
        <v>0</v>
      </c>
      <c r="AX106">
        <v>0</v>
      </c>
      <c r="AY106">
        <v>0</v>
      </c>
      <c r="AZ106">
        <v>4.6999998092651367</v>
      </c>
      <c r="BA106">
        <v>1.8999999761581421</v>
      </c>
      <c r="BB106">
        <v>0.40000000596046448</v>
      </c>
      <c r="BC106">
        <v>4.6999998092651367</v>
      </c>
      <c r="BD106">
        <v>2.299999982118607</v>
      </c>
      <c r="BE106">
        <v>0.67142856419086439</v>
      </c>
      <c r="BF106">
        <v>0.32857143580913573</v>
      </c>
      <c r="BG106">
        <v>150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P106">
        <v>0</v>
      </c>
      <c r="BQ106">
        <v>0</v>
      </c>
      <c r="BT106">
        <v>0</v>
      </c>
      <c r="BU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</row>
    <row r="107" spans="1:96" x14ac:dyDescent="0.25">
      <c r="A107">
        <v>106</v>
      </c>
      <c r="B107" t="s">
        <v>532</v>
      </c>
      <c r="C107" t="s">
        <v>533</v>
      </c>
      <c r="D107" t="s">
        <v>534</v>
      </c>
      <c r="E107" t="s">
        <v>358</v>
      </c>
      <c r="F107" t="s">
        <v>310</v>
      </c>
      <c r="G107">
        <v>1</v>
      </c>
      <c r="H107">
        <v>1</v>
      </c>
      <c r="I107">
        <v>474</v>
      </c>
      <c r="J107">
        <v>1</v>
      </c>
      <c r="K107">
        <v>0</v>
      </c>
      <c r="L107">
        <v>25538.1</v>
      </c>
      <c r="M107">
        <v>10172.5</v>
      </c>
      <c r="N107">
        <v>27748.5</v>
      </c>
      <c r="O107">
        <v>827.3</v>
      </c>
      <c r="P107">
        <v>27650.9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1.79</v>
      </c>
      <c r="W107">
        <v>3</v>
      </c>
      <c r="X107">
        <v>1.79</v>
      </c>
      <c r="Y107">
        <v>0</v>
      </c>
      <c r="Z107">
        <v>0</v>
      </c>
      <c r="AA107">
        <v>0</v>
      </c>
      <c r="AB107">
        <v>0</v>
      </c>
      <c r="AC107">
        <v>1.79</v>
      </c>
      <c r="AD107">
        <v>0</v>
      </c>
      <c r="AE107">
        <v>0</v>
      </c>
      <c r="AF107">
        <v>0</v>
      </c>
      <c r="AG107">
        <v>1</v>
      </c>
      <c r="AH107">
        <v>1.79</v>
      </c>
      <c r="AI107">
        <v>3</v>
      </c>
      <c r="AJ107">
        <v>1.79</v>
      </c>
      <c r="AK107">
        <v>0</v>
      </c>
      <c r="AL107">
        <v>0</v>
      </c>
      <c r="AM107">
        <v>0</v>
      </c>
      <c r="AN107">
        <v>0</v>
      </c>
      <c r="AO107">
        <v>1.59</v>
      </c>
      <c r="AP107">
        <v>0.2</v>
      </c>
      <c r="AQ107">
        <v>0</v>
      </c>
      <c r="AR107">
        <v>0</v>
      </c>
      <c r="AS107">
        <v>1</v>
      </c>
      <c r="AT107">
        <v>1.79</v>
      </c>
      <c r="AU107">
        <v>0</v>
      </c>
      <c r="AV107">
        <v>0</v>
      </c>
      <c r="AW107">
        <v>1.7899999618530269</v>
      </c>
      <c r="AX107">
        <v>0</v>
      </c>
      <c r="AY107">
        <v>0.88999998569488525</v>
      </c>
      <c r="AZ107">
        <v>0.89999997615814209</v>
      </c>
      <c r="BA107">
        <v>0</v>
      </c>
      <c r="BB107">
        <v>0</v>
      </c>
      <c r="BC107">
        <v>1.7899999618530269</v>
      </c>
      <c r="BD107">
        <v>0</v>
      </c>
      <c r="BE107">
        <v>1</v>
      </c>
      <c r="BF107">
        <v>0</v>
      </c>
      <c r="BG107">
        <v>150</v>
      </c>
      <c r="BH107">
        <v>0.88999998569488525</v>
      </c>
      <c r="BI107">
        <v>0.89999997615814209</v>
      </c>
      <c r="BJ107">
        <v>0</v>
      </c>
      <c r="BK107">
        <v>0</v>
      </c>
      <c r="BL107">
        <v>0</v>
      </c>
      <c r="BM107">
        <v>0</v>
      </c>
      <c r="BP107">
        <v>0</v>
      </c>
      <c r="BQ107">
        <v>0</v>
      </c>
      <c r="BT107">
        <v>0</v>
      </c>
      <c r="BU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</row>
    <row r="108" spans="1:96" x14ac:dyDescent="0.25">
      <c r="A108">
        <v>107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  <c r="G108">
        <v>2</v>
      </c>
      <c r="H108">
        <v>2</v>
      </c>
      <c r="I108">
        <v>1048</v>
      </c>
      <c r="J108">
        <v>0</v>
      </c>
      <c r="K108">
        <v>1</v>
      </c>
      <c r="L108">
        <v>4947.1000000000004</v>
      </c>
      <c r="M108">
        <v>4916.3999999999996</v>
      </c>
      <c r="N108">
        <v>10139.1</v>
      </c>
      <c r="O108">
        <v>2876.1</v>
      </c>
      <c r="P108">
        <v>11810.9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3.69</v>
      </c>
      <c r="W108">
        <v>3.5</v>
      </c>
      <c r="X108">
        <v>2.8</v>
      </c>
      <c r="Y108">
        <v>0</v>
      </c>
      <c r="Z108">
        <v>0</v>
      </c>
      <c r="AA108">
        <v>0.89</v>
      </c>
      <c r="AB108">
        <v>0</v>
      </c>
      <c r="AC108">
        <v>0</v>
      </c>
      <c r="AD108">
        <v>0</v>
      </c>
      <c r="AE108">
        <v>2.8</v>
      </c>
      <c r="AF108">
        <v>0.89</v>
      </c>
      <c r="AG108">
        <v>0</v>
      </c>
      <c r="AH108">
        <v>3.69</v>
      </c>
      <c r="AI108">
        <v>3.5</v>
      </c>
      <c r="AJ108">
        <v>2.8000000000000012</v>
      </c>
      <c r="AK108">
        <v>0</v>
      </c>
      <c r="AL108">
        <v>0</v>
      </c>
      <c r="AM108">
        <v>0.8899999999999999</v>
      </c>
      <c r="AN108">
        <v>0</v>
      </c>
      <c r="AO108">
        <v>0</v>
      </c>
      <c r="AP108">
        <v>0.99999999999999989</v>
      </c>
      <c r="AQ108">
        <v>1.2</v>
      </c>
      <c r="AR108">
        <v>1.49</v>
      </c>
      <c r="AS108">
        <v>0.27100271002710019</v>
      </c>
      <c r="AT108">
        <v>3.69</v>
      </c>
      <c r="AU108">
        <v>0</v>
      </c>
      <c r="AV108">
        <v>0</v>
      </c>
      <c r="AW108">
        <v>2.7000000476837158</v>
      </c>
      <c r="AX108">
        <v>0</v>
      </c>
      <c r="AY108">
        <v>0</v>
      </c>
      <c r="AZ108">
        <v>0.89999997615814209</v>
      </c>
      <c r="BA108">
        <v>1.5</v>
      </c>
      <c r="BB108">
        <v>0.30000001192092901</v>
      </c>
      <c r="BC108">
        <v>0.89999997615814209</v>
      </c>
      <c r="BD108">
        <v>1.800000011920929</v>
      </c>
      <c r="BE108">
        <v>0.3333333259747352</v>
      </c>
      <c r="BF108">
        <v>0.6666666740252648</v>
      </c>
      <c r="BG108">
        <v>150</v>
      </c>
      <c r="BH108">
        <v>0</v>
      </c>
      <c r="BI108">
        <v>0.89999997615814209</v>
      </c>
      <c r="BJ108">
        <v>1.5</v>
      </c>
      <c r="BK108">
        <v>0.30000001192092901</v>
      </c>
      <c r="BL108">
        <v>0</v>
      </c>
      <c r="BM108">
        <v>0</v>
      </c>
      <c r="BP108">
        <v>0</v>
      </c>
      <c r="BQ108">
        <v>0</v>
      </c>
      <c r="BT108">
        <v>0</v>
      </c>
      <c r="BU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spans="1:96" x14ac:dyDescent="0.25">
      <c r="A109">
        <v>108</v>
      </c>
      <c r="B109" t="s">
        <v>540</v>
      </c>
      <c r="C109" t="s">
        <v>541</v>
      </c>
      <c r="D109" t="s">
        <v>542</v>
      </c>
      <c r="E109" t="s">
        <v>421</v>
      </c>
      <c r="F109" t="s">
        <v>315</v>
      </c>
      <c r="G109">
        <v>1</v>
      </c>
      <c r="H109">
        <v>1</v>
      </c>
      <c r="I109">
        <v>771</v>
      </c>
      <c r="J109">
        <v>0</v>
      </c>
      <c r="K109">
        <v>0</v>
      </c>
      <c r="L109">
        <v>1594.2</v>
      </c>
      <c r="M109">
        <v>320.5</v>
      </c>
      <c r="N109">
        <v>2709.3</v>
      </c>
      <c r="O109">
        <v>294.8</v>
      </c>
      <c r="P109">
        <v>29322.400000000001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0.26</v>
      </c>
      <c r="W109">
        <v>3.5</v>
      </c>
      <c r="X109">
        <v>0.26</v>
      </c>
      <c r="Y109">
        <v>0</v>
      </c>
      <c r="Z109">
        <v>0</v>
      </c>
      <c r="AA109">
        <v>0</v>
      </c>
      <c r="AB109">
        <v>0</v>
      </c>
      <c r="AC109">
        <v>0.26</v>
      </c>
      <c r="AD109">
        <v>0</v>
      </c>
      <c r="AE109">
        <v>0</v>
      </c>
      <c r="AF109">
        <v>0</v>
      </c>
      <c r="AG109">
        <v>1</v>
      </c>
      <c r="AH109">
        <v>0.26</v>
      </c>
      <c r="AI109">
        <v>3.5</v>
      </c>
      <c r="AJ109">
        <v>0.26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0.26</v>
      </c>
      <c r="AQ109">
        <v>0</v>
      </c>
      <c r="AR109">
        <v>0</v>
      </c>
      <c r="AS109">
        <v>1</v>
      </c>
      <c r="AT109">
        <v>0.26</v>
      </c>
      <c r="AU109">
        <v>0</v>
      </c>
      <c r="AV109">
        <v>0</v>
      </c>
      <c r="AW109">
        <v>0.25999999046325678</v>
      </c>
      <c r="AX109">
        <v>0</v>
      </c>
      <c r="AY109">
        <v>0</v>
      </c>
      <c r="AZ109">
        <v>0.15999999642372131</v>
      </c>
      <c r="BA109">
        <v>0.10000000149011611</v>
      </c>
      <c r="BB109">
        <v>0</v>
      </c>
      <c r="BC109">
        <v>0.15999999642372131</v>
      </c>
      <c r="BD109">
        <v>0.10000000149011611</v>
      </c>
      <c r="BE109">
        <v>0.61538460656736016</v>
      </c>
      <c r="BF109">
        <v>0.38461539343263978</v>
      </c>
      <c r="BG109">
        <v>150</v>
      </c>
      <c r="BH109">
        <v>0</v>
      </c>
      <c r="BI109">
        <v>0.15999999642372131</v>
      </c>
      <c r="BJ109">
        <v>0.10000000149011611</v>
      </c>
      <c r="BK109">
        <v>0</v>
      </c>
      <c r="BL109">
        <v>0</v>
      </c>
      <c r="BM109">
        <v>0</v>
      </c>
      <c r="BP109">
        <v>0</v>
      </c>
      <c r="BQ109">
        <v>0</v>
      </c>
      <c r="BT109">
        <v>0</v>
      </c>
      <c r="BU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</row>
    <row r="110" spans="1:96" x14ac:dyDescent="0.25">
      <c r="A110">
        <v>109</v>
      </c>
      <c r="B110" t="s">
        <v>543</v>
      </c>
      <c r="C110" t="s">
        <v>544</v>
      </c>
      <c r="D110" t="s">
        <v>545</v>
      </c>
      <c r="E110" t="s">
        <v>546</v>
      </c>
      <c r="F110" t="s">
        <v>100</v>
      </c>
      <c r="G110">
        <v>3</v>
      </c>
      <c r="H110">
        <v>1</v>
      </c>
      <c r="I110">
        <v>1747</v>
      </c>
      <c r="J110">
        <v>0</v>
      </c>
      <c r="K110">
        <v>0</v>
      </c>
      <c r="L110">
        <v>1961.9</v>
      </c>
      <c r="M110">
        <v>2111.9</v>
      </c>
      <c r="N110">
        <v>2320.9</v>
      </c>
      <c r="O110">
        <v>690</v>
      </c>
      <c r="P110">
        <v>1816.9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1.07</v>
      </c>
      <c r="W110">
        <v>3</v>
      </c>
      <c r="X110">
        <v>1.07</v>
      </c>
      <c r="Y110">
        <v>0</v>
      </c>
      <c r="Z110">
        <v>0</v>
      </c>
      <c r="AA110">
        <v>0</v>
      </c>
      <c r="AB110">
        <v>0</v>
      </c>
      <c r="AC110">
        <v>1.07</v>
      </c>
      <c r="AD110">
        <v>0</v>
      </c>
      <c r="AE110">
        <v>0</v>
      </c>
      <c r="AF110">
        <v>0</v>
      </c>
      <c r="AG110">
        <v>1</v>
      </c>
      <c r="AH110">
        <v>1.07</v>
      </c>
      <c r="AI110" t="s">
        <v>547</v>
      </c>
      <c r="AJ110">
        <v>1.07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0.66999999999999993</v>
      </c>
      <c r="AQ110">
        <v>0.4</v>
      </c>
      <c r="AR110">
        <v>0</v>
      </c>
      <c r="AS110">
        <v>0.62616822429906549</v>
      </c>
      <c r="AT110">
        <v>1.07</v>
      </c>
      <c r="AU110">
        <v>0</v>
      </c>
      <c r="AV110">
        <v>0</v>
      </c>
      <c r="AW110">
        <v>1.070000052452087</v>
      </c>
      <c r="AX110">
        <v>0</v>
      </c>
      <c r="AY110">
        <v>0</v>
      </c>
      <c r="AZ110">
        <v>0.67000001668930054</v>
      </c>
      <c r="BA110">
        <v>0.20000000298023221</v>
      </c>
      <c r="BB110">
        <v>0.20000000298023221</v>
      </c>
      <c r="BC110">
        <v>0.67000001668930054</v>
      </c>
      <c r="BD110">
        <v>0.40000000596046448</v>
      </c>
      <c r="BE110">
        <v>0.6261682266418106</v>
      </c>
      <c r="BF110">
        <v>0.3738317733581894</v>
      </c>
      <c r="BG110">
        <v>150</v>
      </c>
      <c r="BH110">
        <v>0</v>
      </c>
      <c r="BI110">
        <v>0.67000001668930054</v>
      </c>
      <c r="BJ110">
        <v>0.20000000298023221</v>
      </c>
      <c r="BK110">
        <v>0.20000000298023221</v>
      </c>
      <c r="BL110">
        <v>1</v>
      </c>
      <c r="BM110">
        <v>1</v>
      </c>
      <c r="BN110">
        <v>2023</v>
      </c>
      <c r="BO110">
        <v>1</v>
      </c>
      <c r="BP110">
        <v>1</v>
      </c>
      <c r="BQ110">
        <v>1</v>
      </c>
      <c r="BR110">
        <v>2023</v>
      </c>
      <c r="BS110">
        <v>2</v>
      </c>
      <c r="BT110">
        <v>1</v>
      </c>
      <c r="BU110">
        <v>2</v>
      </c>
      <c r="BV110">
        <v>2025</v>
      </c>
      <c r="BW110">
        <v>1</v>
      </c>
      <c r="BX110">
        <v>0</v>
      </c>
      <c r="BY110">
        <v>0</v>
      </c>
      <c r="BZ110">
        <v>1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</row>
    <row r="111" spans="1:96" x14ac:dyDescent="0.25">
      <c r="A111">
        <v>110</v>
      </c>
      <c r="B111" t="s">
        <v>548</v>
      </c>
      <c r="C111" t="s">
        <v>549</v>
      </c>
      <c r="D111" t="s">
        <v>550</v>
      </c>
      <c r="E111" t="s">
        <v>551</v>
      </c>
      <c r="F111" t="s">
        <v>127</v>
      </c>
      <c r="G111">
        <v>1</v>
      </c>
      <c r="H111">
        <v>1</v>
      </c>
      <c r="I111">
        <v>551</v>
      </c>
      <c r="J111">
        <v>0</v>
      </c>
      <c r="K111">
        <v>0</v>
      </c>
      <c r="L111">
        <v>3614.8</v>
      </c>
      <c r="M111">
        <v>2775.1</v>
      </c>
      <c r="N111">
        <v>5309.1</v>
      </c>
      <c r="O111">
        <v>942.1</v>
      </c>
      <c r="P111">
        <v>5462.2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1.62</v>
      </c>
      <c r="W111">
        <v>3</v>
      </c>
      <c r="X111">
        <v>1.62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1.62</v>
      </c>
      <c r="AE111">
        <v>0</v>
      </c>
      <c r="AF111">
        <v>0</v>
      </c>
      <c r="AG111">
        <v>1</v>
      </c>
      <c r="AH111">
        <v>1.62</v>
      </c>
      <c r="AI111">
        <v>3</v>
      </c>
      <c r="AJ111">
        <v>1.62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1.62</v>
      </c>
      <c r="AQ111">
        <v>0</v>
      </c>
      <c r="AR111">
        <v>0</v>
      </c>
      <c r="AS111">
        <v>1</v>
      </c>
      <c r="AT111">
        <v>1.62</v>
      </c>
      <c r="AU111">
        <v>0</v>
      </c>
      <c r="AV111">
        <v>0</v>
      </c>
      <c r="AW111">
        <v>1.620000004768372</v>
      </c>
      <c r="AX111">
        <v>0</v>
      </c>
      <c r="AY111">
        <v>0</v>
      </c>
      <c r="AZ111">
        <v>1.5</v>
      </c>
      <c r="BA111">
        <v>0.119999997317791</v>
      </c>
      <c r="BB111">
        <v>0</v>
      </c>
      <c r="BC111">
        <v>1.5</v>
      </c>
      <c r="BD111">
        <v>0.119999997317791</v>
      </c>
      <c r="BE111">
        <v>0.92592592745896718</v>
      </c>
      <c r="BF111">
        <v>7.4074072541032793E-2</v>
      </c>
      <c r="BG111">
        <v>150</v>
      </c>
      <c r="BH111">
        <v>0</v>
      </c>
      <c r="BI111">
        <v>1.5</v>
      </c>
      <c r="BJ111">
        <v>0.119999997317791</v>
      </c>
      <c r="BK111">
        <v>0</v>
      </c>
      <c r="BL111">
        <v>0</v>
      </c>
      <c r="BM111">
        <v>0</v>
      </c>
      <c r="BP111">
        <v>0</v>
      </c>
      <c r="BQ111">
        <v>0</v>
      </c>
      <c r="BT111">
        <v>0</v>
      </c>
      <c r="BU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25">
      <c r="A112">
        <v>111</v>
      </c>
      <c r="B112" t="s">
        <v>552</v>
      </c>
      <c r="C112" t="s">
        <v>553</v>
      </c>
      <c r="D112" t="s">
        <v>554</v>
      </c>
      <c r="E112" t="s">
        <v>555</v>
      </c>
      <c r="F112" t="s">
        <v>105</v>
      </c>
      <c r="G112">
        <v>1</v>
      </c>
      <c r="H112">
        <v>1</v>
      </c>
      <c r="I112">
        <v>729</v>
      </c>
      <c r="J112">
        <v>0</v>
      </c>
      <c r="K112">
        <v>1</v>
      </c>
      <c r="L112">
        <v>373.9</v>
      </c>
      <c r="M112">
        <v>1215.8</v>
      </c>
      <c r="N112">
        <v>6177.5</v>
      </c>
      <c r="O112">
        <v>446.5</v>
      </c>
      <c r="P112">
        <v>7557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0.34</v>
      </c>
      <c r="W112">
        <v>3</v>
      </c>
      <c r="X112">
        <v>0.34</v>
      </c>
      <c r="Y112">
        <v>0</v>
      </c>
      <c r="Z112">
        <v>0</v>
      </c>
      <c r="AA112">
        <v>0</v>
      </c>
      <c r="AB112">
        <v>0</v>
      </c>
      <c r="AC112">
        <v>0.34</v>
      </c>
      <c r="AD112">
        <v>0</v>
      </c>
      <c r="AE112">
        <v>0</v>
      </c>
      <c r="AF112">
        <v>0</v>
      </c>
      <c r="AG112">
        <v>1</v>
      </c>
      <c r="AH112">
        <v>0.34</v>
      </c>
      <c r="AI112">
        <v>3</v>
      </c>
      <c r="AJ112">
        <v>0.34</v>
      </c>
      <c r="AK112">
        <v>0</v>
      </c>
      <c r="AL112">
        <v>0</v>
      </c>
      <c r="AM112">
        <v>0</v>
      </c>
      <c r="AN112">
        <v>0</v>
      </c>
      <c r="AO112">
        <v>0.34</v>
      </c>
      <c r="AP112">
        <v>0</v>
      </c>
      <c r="AQ112">
        <v>0</v>
      </c>
      <c r="AR112">
        <v>0</v>
      </c>
      <c r="AS112">
        <v>1</v>
      </c>
      <c r="AT112">
        <v>0.34</v>
      </c>
      <c r="AU112">
        <v>0</v>
      </c>
      <c r="AV112">
        <v>0</v>
      </c>
      <c r="AW112">
        <v>0.34000000357627869</v>
      </c>
      <c r="AX112">
        <v>0</v>
      </c>
      <c r="AY112">
        <v>0.34000000357627869</v>
      </c>
      <c r="AZ112">
        <v>0</v>
      </c>
      <c r="BA112">
        <v>0</v>
      </c>
      <c r="BB112">
        <v>0</v>
      </c>
      <c r="BC112">
        <v>0.34000000357627869</v>
      </c>
      <c r="BD112">
        <v>0</v>
      </c>
      <c r="BE112">
        <v>1</v>
      </c>
      <c r="BF112">
        <v>0</v>
      </c>
      <c r="BG112">
        <v>150</v>
      </c>
      <c r="BH112">
        <v>0.34000000357627869</v>
      </c>
      <c r="BI112">
        <v>0</v>
      </c>
      <c r="BJ112">
        <v>0</v>
      </c>
      <c r="BK112">
        <v>0</v>
      </c>
      <c r="BL112">
        <v>0</v>
      </c>
      <c r="BM112">
        <v>0</v>
      </c>
      <c r="BP112">
        <v>0</v>
      </c>
      <c r="BQ112">
        <v>0</v>
      </c>
      <c r="BT112">
        <v>0</v>
      </c>
      <c r="BU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25">
      <c r="A113">
        <v>112</v>
      </c>
      <c r="B113" t="s">
        <v>556</v>
      </c>
      <c r="C113" t="s">
        <v>557</v>
      </c>
      <c r="D113" t="s">
        <v>558</v>
      </c>
      <c r="E113" t="s">
        <v>559</v>
      </c>
      <c r="F113" t="s">
        <v>118</v>
      </c>
      <c r="G113">
        <v>3</v>
      </c>
      <c r="H113">
        <v>2</v>
      </c>
      <c r="I113">
        <v>2070</v>
      </c>
      <c r="J113">
        <v>0</v>
      </c>
      <c r="K113">
        <v>0</v>
      </c>
      <c r="L113">
        <v>5873</v>
      </c>
      <c r="M113">
        <v>4693.3999999999996</v>
      </c>
      <c r="N113">
        <v>6888.2</v>
      </c>
      <c r="O113">
        <v>966.9</v>
      </c>
      <c r="P113">
        <v>5554.7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1.69</v>
      </c>
      <c r="W113">
        <v>3</v>
      </c>
      <c r="X113">
        <v>1.39</v>
      </c>
      <c r="Y113">
        <v>0</v>
      </c>
      <c r="Z113">
        <v>0</v>
      </c>
      <c r="AA113">
        <v>0</v>
      </c>
      <c r="AB113">
        <v>0.3</v>
      </c>
      <c r="AC113">
        <v>1.1000000000000001</v>
      </c>
      <c r="AD113">
        <v>0</v>
      </c>
      <c r="AE113">
        <v>0.28999999999999998</v>
      </c>
      <c r="AF113">
        <v>0.3</v>
      </c>
      <c r="AG113">
        <v>0.65088757396449703</v>
      </c>
      <c r="AH113">
        <v>1.69</v>
      </c>
      <c r="AI113">
        <v>3</v>
      </c>
      <c r="AJ113">
        <v>1.39</v>
      </c>
      <c r="AK113">
        <v>0</v>
      </c>
      <c r="AL113">
        <v>0</v>
      </c>
      <c r="AM113">
        <v>0.3</v>
      </c>
      <c r="AN113">
        <v>0</v>
      </c>
      <c r="AO113">
        <v>0.7</v>
      </c>
      <c r="AP113">
        <v>0.4</v>
      </c>
      <c r="AQ113">
        <v>0</v>
      </c>
      <c r="AR113">
        <v>0.59</v>
      </c>
      <c r="AS113">
        <v>0.65088757396449715</v>
      </c>
      <c r="AT113">
        <v>1.69</v>
      </c>
      <c r="AU113">
        <v>0</v>
      </c>
      <c r="AV113">
        <v>0</v>
      </c>
      <c r="AW113">
        <v>1.1000000238418579</v>
      </c>
      <c r="AX113">
        <v>0</v>
      </c>
      <c r="AY113">
        <v>1</v>
      </c>
      <c r="AZ113">
        <v>0</v>
      </c>
      <c r="BA113">
        <v>0.10000000149011611</v>
      </c>
      <c r="BB113">
        <v>0</v>
      </c>
      <c r="BC113">
        <v>1</v>
      </c>
      <c r="BD113">
        <v>0.10000000149011611</v>
      </c>
      <c r="BE113">
        <v>0.90909090785940816</v>
      </c>
      <c r="BF113">
        <v>9.0909092140591827E-2</v>
      </c>
      <c r="BG113">
        <v>150</v>
      </c>
      <c r="BH113">
        <v>1</v>
      </c>
      <c r="BI113">
        <v>0</v>
      </c>
      <c r="BJ113">
        <v>0.10000000149011611</v>
      </c>
      <c r="BK113">
        <v>0</v>
      </c>
      <c r="BL113">
        <v>1</v>
      </c>
      <c r="BM113">
        <v>2</v>
      </c>
      <c r="BN113">
        <v>2023</v>
      </c>
      <c r="BO113">
        <v>1</v>
      </c>
      <c r="BP113">
        <v>1</v>
      </c>
      <c r="BQ113">
        <v>2</v>
      </c>
      <c r="BR113">
        <v>2023</v>
      </c>
      <c r="BS113">
        <v>2</v>
      </c>
      <c r="BT113">
        <v>1</v>
      </c>
      <c r="BU113">
        <v>2</v>
      </c>
      <c r="BV113">
        <v>2023</v>
      </c>
      <c r="BW113">
        <v>3</v>
      </c>
      <c r="BX113">
        <v>1</v>
      </c>
      <c r="BY113">
        <v>0</v>
      </c>
      <c r="BZ113">
        <v>1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25">
      <c r="A114">
        <v>113</v>
      </c>
      <c r="B114" t="s">
        <v>560</v>
      </c>
      <c r="C114" t="s">
        <v>561</v>
      </c>
      <c r="D114" t="s">
        <v>562</v>
      </c>
      <c r="E114" t="s">
        <v>563</v>
      </c>
      <c r="F114" t="s">
        <v>176</v>
      </c>
      <c r="G114">
        <v>1</v>
      </c>
      <c r="H114">
        <v>1</v>
      </c>
      <c r="I114">
        <v>483</v>
      </c>
      <c r="J114">
        <v>0</v>
      </c>
      <c r="K114">
        <v>0</v>
      </c>
      <c r="L114">
        <v>3231.6</v>
      </c>
      <c r="M114">
        <v>3262.3</v>
      </c>
      <c r="N114">
        <v>9659.2000000000007</v>
      </c>
      <c r="O114">
        <v>724.1</v>
      </c>
      <c r="P114">
        <v>11331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</v>
      </c>
      <c r="W114">
        <v>3</v>
      </c>
      <c r="X114">
        <v>0.7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0.2</v>
      </c>
      <c r="AF114">
        <v>0.5</v>
      </c>
      <c r="AG114">
        <v>0</v>
      </c>
      <c r="AH114">
        <v>0.7</v>
      </c>
      <c r="AI114">
        <v>3</v>
      </c>
      <c r="AJ114">
        <v>0.7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0.2</v>
      </c>
      <c r="AR114">
        <v>0.5</v>
      </c>
      <c r="AS114">
        <v>0</v>
      </c>
      <c r="AT114">
        <v>0.7</v>
      </c>
      <c r="AU114">
        <v>0</v>
      </c>
      <c r="AV114">
        <v>0</v>
      </c>
      <c r="AW114">
        <v>0.69999998807907104</v>
      </c>
      <c r="AX114">
        <v>0</v>
      </c>
      <c r="AY114">
        <v>0</v>
      </c>
      <c r="AZ114">
        <v>0</v>
      </c>
      <c r="BA114">
        <v>0.20000000298023221</v>
      </c>
      <c r="BB114">
        <v>0.5</v>
      </c>
      <c r="BC114">
        <v>0</v>
      </c>
      <c r="BD114">
        <v>0.70000000298023224</v>
      </c>
      <c r="BE114">
        <v>0</v>
      </c>
      <c r="BF114">
        <v>1</v>
      </c>
      <c r="BG114">
        <v>150</v>
      </c>
      <c r="BH114">
        <v>0</v>
      </c>
      <c r="BI114">
        <v>0</v>
      </c>
      <c r="BJ114">
        <v>0.20000000298023221</v>
      </c>
      <c r="BK114">
        <v>0.5</v>
      </c>
      <c r="BL114">
        <v>0</v>
      </c>
      <c r="BM114">
        <v>0</v>
      </c>
      <c r="BP114">
        <v>1</v>
      </c>
      <c r="BQ114">
        <v>1</v>
      </c>
      <c r="BR114">
        <v>2024</v>
      </c>
      <c r="BS114">
        <v>1</v>
      </c>
      <c r="BT114">
        <v>1</v>
      </c>
      <c r="BU114">
        <v>1</v>
      </c>
      <c r="BV114">
        <v>2024</v>
      </c>
      <c r="BW114">
        <v>2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25">
      <c r="A115">
        <v>114</v>
      </c>
      <c r="B115" t="s">
        <v>564</v>
      </c>
      <c r="C115" t="s">
        <v>565</v>
      </c>
      <c r="D115" t="s">
        <v>566</v>
      </c>
      <c r="E115" t="s">
        <v>567</v>
      </c>
      <c r="F115" t="s">
        <v>489</v>
      </c>
      <c r="G115">
        <v>2</v>
      </c>
      <c r="H115">
        <v>2</v>
      </c>
      <c r="I115">
        <v>1775</v>
      </c>
      <c r="J115">
        <v>0</v>
      </c>
      <c r="K115">
        <v>1</v>
      </c>
      <c r="L115">
        <v>1696.8</v>
      </c>
      <c r="M115">
        <v>1846.9</v>
      </c>
      <c r="N115">
        <v>121</v>
      </c>
      <c r="O115">
        <v>789.3</v>
      </c>
      <c r="P115">
        <v>1741.9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2.44</v>
      </c>
      <c r="W115">
        <v>8</v>
      </c>
      <c r="X115">
        <v>2.44</v>
      </c>
      <c r="Y115">
        <v>0</v>
      </c>
      <c r="Z115">
        <v>0</v>
      </c>
      <c r="AA115">
        <v>0</v>
      </c>
      <c r="AB115">
        <v>0</v>
      </c>
      <c r="AC115">
        <v>2.44</v>
      </c>
      <c r="AD115">
        <v>0</v>
      </c>
      <c r="AE115">
        <v>0</v>
      </c>
      <c r="AF115">
        <v>0</v>
      </c>
      <c r="AG115">
        <v>1</v>
      </c>
      <c r="AH115">
        <v>2.44</v>
      </c>
      <c r="AI115">
        <v>8</v>
      </c>
      <c r="AJ115">
        <v>2.4400000000000008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2.4400000000000008</v>
      </c>
      <c r="AQ115">
        <v>0</v>
      </c>
      <c r="AR115">
        <v>0</v>
      </c>
      <c r="AS115">
        <v>1</v>
      </c>
      <c r="AT115">
        <v>2.44</v>
      </c>
      <c r="AU115">
        <v>0</v>
      </c>
      <c r="AV115">
        <v>0</v>
      </c>
      <c r="AW115">
        <v>2.440000057220459</v>
      </c>
      <c r="AX115">
        <v>0</v>
      </c>
      <c r="AY115">
        <v>0</v>
      </c>
      <c r="AZ115">
        <v>2.440000057220459</v>
      </c>
      <c r="BA115">
        <v>0</v>
      </c>
      <c r="BB115">
        <v>0</v>
      </c>
      <c r="BC115">
        <v>2.440000057220459</v>
      </c>
      <c r="BD115">
        <v>0</v>
      </c>
      <c r="BE115">
        <v>1</v>
      </c>
      <c r="BF115">
        <v>0</v>
      </c>
      <c r="BG115">
        <v>150</v>
      </c>
      <c r="BH115">
        <v>0</v>
      </c>
      <c r="BI115">
        <v>2.440000057220459</v>
      </c>
      <c r="BJ115">
        <v>0</v>
      </c>
      <c r="BK115">
        <v>0</v>
      </c>
      <c r="BL115">
        <v>0</v>
      </c>
      <c r="BM115">
        <v>0</v>
      </c>
      <c r="BP115">
        <v>0</v>
      </c>
      <c r="BQ115">
        <v>0</v>
      </c>
      <c r="BT115">
        <v>0</v>
      </c>
      <c r="BU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25">
      <c r="A116">
        <v>115</v>
      </c>
      <c r="B116" t="s">
        <v>568</v>
      </c>
      <c r="C116" t="s">
        <v>569</v>
      </c>
      <c r="D116" t="s">
        <v>570</v>
      </c>
      <c r="E116" t="s">
        <v>571</v>
      </c>
      <c r="F116" t="s">
        <v>203</v>
      </c>
      <c r="G116">
        <v>2</v>
      </c>
      <c r="H116">
        <v>2</v>
      </c>
      <c r="I116">
        <v>2100</v>
      </c>
      <c r="J116">
        <v>0</v>
      </c>
      <c r="K116">
        <v>0</v>
      </c>
      <c r="L116">
        <v>37625</v>
      </c>
      <c r="M116">
        <v>16570.900000000001</v>
      </c>
      <c r="N116">
        <v>39835.4</v>
      </c>
      <c r="O116">
        <v>3384.4</v>
      </c>
      <c r="P116">
        <v>39737.800000000003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2.08</v>
      </c>
      <c r="W116">
        <v>1</v>
      </c>
      <c r="X116">
        <v>0</v>
      </c>
      <c r="Y116">
        <v>0</v>
      </c>
      <c r="Z116">
        <v>1.8</v>
      </c>
      <c r="AA116">
        <v>0</v>
      </c>
      <c r="AB116">
        <v>0.28000000000000003</v>
      </c>
      <c r="AC116">
        <v>0</v>
      </c>
      <c r="AD116">
        <v>0</v>
      </c>
      <c r="AE116">
        <v>1.8</v>
      </c>
      <c r="AF116">
        <v>0.28000000000000003</v>
      </c>
      <c r="AG116">
        <v>0</v>
      </c>
      <c r="AH116">
        <v>2.08</v>
      </c>
      <c r="AI116">
        <v>1.5</v>
      </c>
      <c r="AJ116">
        <v>0</v>
      </c>
      <c r="AK116">
        <v>0</v>
      </c>
      <c r="AL116">
        <v>1.8</v>
      </c>
      <c r="AM116">
        <v>0</v>
      </c>
      <c r="AN116">
        <v>0.28000000000000003</v>
      </c>
      <c r="AO116">
        <v>0</v>
      </c>
      <c r="AP116">
        <v>0</v>
      </c>
      <c r="AQ116">
        <v>1.8</v>
      </c>
      <c r="AR116">
        <v>0.28000000000000003</v>
      </c>
      <c r="AS116">
        <v>0</v>
      </c>
      <c r="AT116">
        <v>2.08</v>
      </c>
      <c r="AU116">
        <v>2.0799999237060551</v>
      </c>
      <c r="AV116">
        <v>0</v>
      </c>
      <c r="AW116">
        <v>0</v>
      </c>
      <c r="AX116">
        <v>0</v>
      </c>
      <c r="AY116">
        <v>0</v>
      </c>
      <c r="AZ116">
        <v>1.179999947547913</v>
      </c>
      <c r="BA116">
        <v>0.80000001192092896</v>
      </c>
      <c r="BB116">
        <v>0.10000000149011611</v>
      </c>
      <c r="BC116">
        <v>1.179999947547913</v>
      </c>
      <c r="BD116">
        <v>0.90000001341104507</v>
      </c>
      <c r="BE116">
        <v>0.56730767773855562</v>
      </c>
      <c r="BF116">
        <v>0.43269232226144438</v>
      </c>
      <c r="BG116">
        <v>150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P116">
        <v>0</v>
      </c>
      <c r="BQ116">
        <v>0</v>
      </c>
      <c r="BT116">
        <v>0</v>
      </c>
      <c r="BU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</row>
    <row r="117" spans="1:96" x14ac:dyDescent="0.25">
      <c r="A117">
        <v>116</v>
      </c>
      <c r="B117" t="s">
        <v>572</v>
      </c>
      <c r="C117" t="s">
        <v>573</v>
      </c>
      <c r="D117" t="s">
        <v>574</v>
      </c>
      <c r="E117" t="s">
        <v>575</v>
      </c>
      <c r="F117" t="s">
        <v>310</v>
      </c>
      <c r="G117">
        <v>1</v>
      </c>
      <c r="H117">
        <v>1</v>
      </c>
      <c r="I117">
        <v>266</v>
      </c>
      <c r="J117">
        <v>0</v>
      </c>
      <c r="K117">
        <v>0</v>
      </c>
      <c r="L117">
        <v>35944</v>
      </c>
      <c r="M117">
        <v>14889.9</v>
      </c>
      <c r="N117">
        <v>38154.400000000001</v>
      </c>
      <c r="O117">
        <v>1703.4</v>
      </c>
      <c r="P117">
        <v>38056.699999999997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0.83</v>
      </c>
      <c r="W117">
        <v>1</v>
      </c>
      <c r="X117">
        <v>0</v>
      </c>
      <c r="Y117">
        <v>0</v>
      </c>
      <c r="Z117">
        <v>0.83</v>
      </c>
      <c r="AA117">
        <v>0</v>
      </c>
      <c r="AB117">
        <v>0</v>
      </c>
      <c r="AC117">
        <v>0</v>
      </c>
      <c r="AD117">
        <v>0.2</v>
      </c>
      <c r="AE117">
        <v>0.63</v>
      </c>
      <c r="AF117">
        <v>0</v>
      </c>
      <c r="AG117">
        <v>0.24096385542168669</v>
      </c>
      <c r="AH117">
        <v>0.83</v>
      </c>
      <c r="AI117">
        <v>1.5</v>
      </c>
      <c r="AJ117">
        <v>0</v>
      </c>
      <c r="AK117">
        <v>0</v>
      </c>
      <c r="AL117">
        <v>0.83</v>
      </c>
      <c r="AM117">
        <v>0</v>
      </c>
      <c r="AN117">
        <v>0</v>
      </c>
      <c r="AO117">
        <v>0</v>
      </c>
      <c r="AP117">
        <v>0.2</v>
      </c>
      <c r="AQ117">
        <v>0.63</v>
      </c>
      <c r="AR117">
        <v>0</v>
      </c>
      <c r="AS117">
        <v>0.24096385542168669</v>
      </c>
      <c r="AT117">
        <v>0.83</v>
      </c>
      <c r="AU117">
        <v>0.82999998331069946</v>
      </c>
      <c r="AV117">
        <v>0</v>
      </c>
      <c r="AW117">
        <v>0</v>
      </c>
      <c r="AX117">
        <v>0</v>
      </c>
      <c r="AY117">
        <v>0</v>
      </c>
      <c r="AZ117">
        <v>0.82999998331069946</v>
      </c>
      <c r="BA117">
        <v>0</v>
      </c>
      <c r="BB117">
        <v>0</v>
      </c>
      <c r="BC117">
        <v>0.82999998331069946</v>
      </c>
      <c r="BD117">
        <v>0</v>
      </c>
      <c r="BE117">
        <v>1</v>
      </c>
      <c r="BF117">
        <v>0</v>
      </c>
      <c r="BG117">
        <v>150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P117">
        <v>0</v>
      </c>
      <c r="BQ117">
        <v>0</v>
      </c>
      <c r="BT117">
        <v>0</v>
      </c>
      <c r="BU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25">
      <c r="A118">
        <v>117</v>
      </c>
      <c r="B118" t="s">
        <v>576</v>
      </c>
      <c r="C118" t="s">
        <v>577</v>
      </c>
      <c r="D118" t="s">
        <v>578</v>
      </c>
      <c r="E118" t="s">
        <v>575</v>
      </c>
      <c r="F118" t="s">
        <v>310</v>
      </c>
      <c r="G118">
        <v>1</v>
      </c>
      <c r="H118">
        <v>1</v>
      </c>
      <c r="I118">
        <v>266</v>
      </c>
      <c r="J118">
        <v>0</v>
      </c>
      <c r="K118">
        <v>0</v>
      </c>
      <c r="L118">
        <v>4245.8</v>
      </c>
      <c r="M118">
        <v>1365.4</v>
      </c>
      <c r="N118">
        <v>3635.4</v>
      </c>
      <c r="O118">
        <v>287.10000000000002</v>
      </c>
      <c r="P118">
        <v>5307.2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0.43</v>
      </c>
      <c r="W118">
        <v>3</v>
      </c>
      <c r="X118">
        <v>0</v>
      </c>
      <c r="Y118">
        <v>0</v>
      </c>
      <c r="Z118">
        <v>0</v>
      </c>
      <c r="AA118">
        <v>0.43</v>
      </c>
      <c r="AB118">
        <v>0</v>
      </c>
      <c r="AC118">
        <v>0</v>
      </c>
      <c r="AD118">
        <v>0</v>
      </c>
      <c r="AE118">
        <v>0</v>
      </c>
      <c r="AF118">
        <v>0.43</v>
      </c>
      <c r="AG118">
        <v>0</v>
      </c>
      <c r="AH118">
        <v>0.43</v>
      </c>
      <c r="AI118">
        <v>3</v>
      </c>
      <c r="AJ118">
        <v>0</v>
      </c>
      <c r="AK118">
        <v>0</v>
      </c>
      <c r="AL118">
        <v>0</v>
      </c>
      <c r="AM118">
        <v>0.43</v>
      </c>
      <c r="AN118">
        <v>0</v>
      </c>
      <c r="AO118">
        <v>0</v>
      </c>
      <c r="AP118">
        <v>0</v>
      </c>
      <c r="AQ118">
        <v>0</v>
      </c>
      <c r="AR118">
        <v>0.43</v>
      </c>
      <c r="AS118">
        <v>0</v>
      </c>
      <c r="AT118">
        <v>0.43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150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2022</v>
      </c>
      <c r="BO118">
        <v>2</v>
      </c>
      <c r="BP118">
        <v>1</v>
      </c>
      <c r="BQ118">
        <v>2</v>
      </c>
      <c r="BR118">
        <v>2024</v>
      </c>
      <c r="BS118">
        <v>1</v>
      </c>
      <c r="BT118">
        <v>1</v>
      </c>
      <c r="BU118">
        <v>2</v>
      </c>
      <c r="BV118">
        <v>2024</v>
      </c>
      <c r="BW118">
        <v>2</v>
      </c>
      <c r="BX118">
        <v>0</v>
      </c>
      <c r="BY118">
        <v>1</v>
      </c>
      <c r="BZ118">
        <v>0</v>
      </c>
      <c r="CA118">
        <v>1</v>
      </c>
      <c r="CB118">
        <v>0</v>
      </c>
      <c r="CC118">
        <v>0</v>
      </c>
      <c r="CD118">
        <v>1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25">
      <c r="A119">
        <v>118</v>
      </c>
      <c r="B119" t="s">
        <v>579</v>
      </c>
      <c r="C119" t="s">
        <v>580</v>
      </c>
      <c r="D119" t="s">
        <v>581</v>
      </c>
      <c r="E119" t="s">
        <v>582</v>
      </c>
      <c r="F119" t="s">
        <v>176</v>
      </c>
      <c r="G119">
        <v>1</v>
      </c>
      <c r="H119">
        <v>1</v>
      </c>
      <c r="I119">
        <v>393</v>
      </c>
      <c r="J119">
        <v>0</v>
      </c>
      <c r="K119">
        <v>0</v>
      </c>
      <c r="L119">
        <v>1902.6</v>
      </c>
      <c r="M119">
        <v>2052.6999999999998</v>
      </c>
      <c r="N119">
        <v>1348.7</v>
      </c>
      <c r="O119">
        <v>1070.9000000000001</v>
      </c>
      <c r="P119">
        <v>2220.9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0.41</v>
      </c>
      <c r="W119">
        <v>3.5</v>
      </c>
      <c r="X119">
        <v>0.41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0.41</v>
      </c>
      <c r="AE119">
        <v>0</v>
      </c>
      <c r="AF119">
        <v>0</v>
      </c>
      <c r="AG119">
        <v>1</v>
      </c>
      <c r="AH119">
        <v>0.41</v>
      </c>
      <c r="AI119">
        <v>3.5</v>
      </c>
      <c r="AJ119">
        <v>0.41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0.41</v>
      </c>
      <c r="AQ119">
        <v>0</v>
      </c>
      <c r="AR119">
        <v>0</v>
      </c>
      <c r="AS119">
        <v>1</v>
      </c>
      <c r="AT119">
        <v>0.41</v>
      </c>
      <c r="AU119">
        <v>0</v>
      </c>
      <c r="AV119">
        <v>0</v>
      </c>
      <c r="AW119">
        <v>0.40999999642372131</v>
      </c>
      <c r="AX119">
        <v>0</v>
      </c>
      <c r="AY119">
        <v>0</v>
      </c>
      <c r="AZ119">
        <v>0.40999999642372131</v>
      </c>
      <c r="BA119">
        <v>0</v>
      </c>
      <c r="BB119">
        <v>0</v>
      </c>
      <c r="BC119">
        <v>0.40999999642372131</v>
      </c>
      <c r="BD119">
        <v>0</v>
      </c>
      <c r="BE119">
        <v>1</v>
      </c>
      <c r="BF119">
        <v>0</v>
      </c>
      <c r="BG119">
        <v>150</v>
      </c>
      <c r="BH119">
        <v>0</v>
      </c>
      <c r="BI119">
        <v>0.40999999642372131</v>
      </c>
      <c r="BJ119">
        <v>0</v>
      </c>
      <c r="BK119">
        <v>0</v>
      </c>
      <c r="BL119">
        <v>0</v>
      </c>
      <c r="BM119">
        <v>0</v>
      </c>
      <c r="BP119">
        <v>0</v>
      </c>
      <c r="BQ119">
        <v>0</v>
      </c>
      <c r="BT119">
        <v>0</v>
      </c>
      <c r="BU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25">
      <c r="A120">
        <v>119</v>
      </c>
      <c r="B120" t="s">
        <v>583</v>
      </c>
      <c r="C120" t="s">
        <v>584</v>
      </c>
      <c r="D120" t="s">
        <v>585</v>
      </c>
      <c r="E120" t="s">
        <v>586</v>
      </c>
      <c r="F120" t="s">
        <v>176</v>
      </c>
      <c r="G120">
        <v>1</v>
      </c>
      <c r="H120">
        <v>1</v>
      </c>
      <c r="I120">
        <v>837</v>
      </c>
      <c r="J120">
        <v>0</v>
      </c>
      <c r="K120">
        <v>0</v>
      </c>
      <c r="L120">
        <v>742.3</v>
      </c>
      <c r="M120">
        <v>2005.6</v>
      </c>
      <c r="N120">
        <v>6498.7</v>
      </c>
      <c r="O120">
        <v>37.5</v>
      </c>
      <c r="P120">
        <v>7878.2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</v>
      </c>
      <c r="W120">
        <v>3.5</v>
      </c>
      <c r="X120">
        <v>0.9</v>
      </c>
      <c r="Y120">
        <v>0</v>
      </c>
      <c r="Z120">
        <v>0</v>
      </c>
      <c r="AA120">
        <v>0</v>
      </c>
      <c r="AB120">
        <v>0</v>
      </c>
      <c r="AC120">
        <v>0.9</v>
      </c>
      <c r="AD120">
        <v>0</v>
      </c>
      <c r="AE120">
        <v>0</v>
      </c>
      <c r="AF120">
        <v>0</v>
      </c>
      <c r="AG120">
        <v>1</v>
      </c>
      <c r="AH120">
        <v>0.9</v>
      </c>
      <c r="AI120">
        <v>3.5</v>
      </c>
      <c r="AJ120">
        <v>0.89999999999999991</v>
      </c>
      <c r="AK120">
        <v>0</v>
      </c>
      <c r="AL120">
        <v>0</v>
      </c>
      <c r="AM120">
        <v>0</v>
      </c>
      <c r="AN120">
        <v>0</v>
      </c>
      <c r="AO120">
        <v>0.89999999999999991</v>
      </c>
      <c r="AP120">
        <v>0</v>
      </c>
      <c r="AQ120">
        <v>0</v>
      </c>
      <c r="AR120">
        <v>0</v>
      </c>
      <c r="AS120">
        <v>1</v>
      </c>
      <c r="AT120">
        <v>0.9</v>
      </c>
      <c r="AU120">
        <v>0</v>
      </c>
      <c r="AV120">
        <v>0</v>
      </c>
      <c r="AW120">
        <v>0.89999997615814209</v>
      </c>
      <c r="AX120">
        <v>0</v>
      </c>
      <c r="AY120">
        <v>0</v>
      </c>
      <c r="AZ120">
        <v>0.40000000596046448</v>
      </c>
      <c r="BA120">
        <v>0.5</v>
      </c>
      <c r="BB120">
        <v>0</v>
      </c>
      <c r="BC120">
        <v>0.40000000596046448</v>
      </c>
      <c r="BD120">
        <v>0.5</v>
      </c>
      <c r="BE120">
        <v>0.44444444812374351</v>
      </c>
      <c r="BF120">
        <v>0.55555555187625649</v>
      </c>
      <c r="BG120">
        <v>150</v>
      </c>
      <c r="BH120">
        <v>0</v>
      </c>
      <c r="BI120">
        <v>0.40000000596046448</v>
      </c>
      <c r="BJ120">
        <v>0.5</v>
      </c>
      <c r="BK120">
        <v>0</v>
      </c>
      <c r="BL120">
        <v>0</v>
      </c>
      <c r="BM120">
        <v>0</v>
      </c>
      <c r="BP120">
        <v>0</v>
      </c>
      <c r="BQ120">
        <v>0</v>
      </c>
      <c r="BT120">
        <v>0</v>
      </c>
      <c r="BU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25">
      <c r="A121">
        <v>120</v>
      </c>
      <c r="B121" t="s">
        <v>587</v>
      </c>
      <c r="C121" t="s">
        <v>588</v>
      </c>
      <c r="D121" t="s">
        <v>589</v>
      </c>
      <c r="E121" t="s">
        <v>590</v>
      </c>
      <c r="F121" t="s">
        <v>105</v>
      </c>
      <c r="G121">
        <v>2</v>
      </c>
      <c r="H121">
        <v>1</v>
      </c>
      <c r="I121">
        <v>1042</v>
      </c>
      <c r="J121">
        <v>0</v>
      </c>
      <c r="K121">
        <v>1</v>
      </c>
      <c r="L121">
        <v>2835.6</v>
      </c>
      <c r="M121">
        <v>2319.8000000000002</v>
      </c>
      <c r="N121">
        <v>7322.6</v>
      </c>
      <c r="O121">
        <v>1408</v>
      </c>
      <c r="P121">
        <v>5721.3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4.5</v>
      </c>
      <c r="W121">
        <v>3</v>
      </c>
      <c r="X121">
        <v>4.5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2.8</v>
      </c>
      <c r="AE121">
        <v>1.7</v>
      </c>
      <c r="AF121">
        <v>0</v>
      </c>
      <c r="AG121">
        <v>0.62222222222222223</v>
      </c>
      <c r="AH121">
        <v>4.5</v>
      </c>
      <c r="AI121">
        <v>3</v>
      </c>
      <c r="AJ121">
        <v>4.5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3.4000000000000021</v>
      </c>
      <c r="AQ121">
        <v>0.5</v>
      </c>
      <c r="AR121">
        <v>0.6</v>
      </c>
      <c r="AS121">
        <v>0.75555555555555565</v>
      </c>
      <c r="AT121">
        <v>4.5</v>
      </c>
      <c r="AU121">
        <v>0</v>
      </c>
      <c r="AV121">
        <v>0</v>
      </c>
      <c r="AW121">
        <v>4.5</v>
      </c>
      <c r="AX121">
        <v>0</v>
      </c>
      <c r="AY121">
        <v>0</v>
      </c>
      <c r="AZ121">
        <v>2.4000000953674321</v>
      </c>
      <c r="BA121">
        <v>1.3999999761581421</v>
      </c>
      <c r="BB121">
        <v>0.69999998807907104</v>
      </c>
      <c r="BC121">
        <v>2.4000000953674321</v>
      </c>
      <c r="BD121">
        <v>2.0999999642372131</v>
      </c>
      <c r="BE121">
        <v>0.53333334746184158</v>
      </c>
      <c r="BF121">
        <v>0.46666665253815848</v>
      </c>
      <c r="BG121">
        <v>150</v>
      </c>
      <c r="BH121">
        <v>0</v>
      </c>
      <c r="BI121">
        <v>2.4000000953674321</v>
      </c>
      <c r="BJ121">
        <v>1.3999999761581421</v>
      </c>
      <c r="BK121">
        <v>0.69999998807907104</v>
      </c>
      <c r="BL121">
        <v>0</v>
      </c>
      <c r="BM121">
        <v>0</v>
      </c>
      <c r="BP121">
        <v>0</v>
      </c>
      <c r="BQ121">
        <v>0</v>
      </c>
      <c r="BT121">
        <v>0</v>
      </c>
      <c r="BU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1</v>
      </c>
    </row>
    <row r="122" spans="1:96" x14ac:dyDescent="0.25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127</v>
      </c>
      <c r="G122">
        <v>2</v>
      </c>
      <c r="H122">
        <v>1</v>
      </c>
      <c r="I122">
        <v>952</v>
      </c>
      <c r="J122">
        <v>0</v>
      </c>
      <c r="K122">
        <v>1</v>
      </c>
      <c r="L122">
        <v>5176.3</v>
      </c>
      <c r="M122">
        <v>2782.4</v>
      </c>
      <c r="N122">
        <v>15690</v>
      </c>
      <c r="O122">
        <v>1306.5999999999999</v>
      </c>
      <c r="P122">
        <v>17069.5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5.21</v>
      </c>
      <c r="W122">
        <v>3.5</v>
      </c>
      <c r="X122">
        <v>5.21</v>
      </c>
      <c r="Y122">
        <v>0</v>
      </c>
      <c r="Z122">
        <v>0</v>
      </c>
      <c r="AA122">
        <v>0</v>
      </c>
      <c r="AB122">
        <v>0</v>
      </c>
      <c r="AC122">
        <v>5.21</v>
      </c>
      <c r="AD122">
        <v>0</v>
      </c>
      <c r="AE122">
        <v>0</v>
      </c>
      <c r="AF122">
        <v>0</v>
      </c>
      <c r="AG122">
        <v>1</v>
      </c>
      <c r="AH122">
        <v>5.21</v>
      </c>
      <c r="AI122">
        <v>3.5</v>
      </c>
      <c r="AJ122">
        <v>5.2099999999999973</v>
      </c>
      <c r="AK122">
        <v>0</v>
      </c>
      <c r="AL122">
        <v>0</v>
      </c>
      <c r="AM122">
        <v>0</v>
      </c>
      <c r="AN122">
        <v>0</v>
      </c>
      <c r="AO122">
        <v>5.2099999999999973</v>
      </c>
      <c r="AP122">
        <v>0</v>
      </c>
      <c r="AQ122">
        <v>0</v>
      </c>
      <c r="AR122">
        <v>0</v>
      </c>
      <c r="AS122">
        <v>1</v>
      </c>
      <c r="AT122">
        <v>5.21</v>
      </c>
      <c r="AU122">
        <v>0</v>
      </c>
      <c r="AV122">
        <v>0</v>
      </c>
      <c r="AW122">
        <v>5.2100000381469727</v>
      </c>
      <c r="AX122">
        <v>0</v>
      </c>
      <c r="AY122">
        <v>1.309999942779541</v>
      </c>
      <c r="AZ122">
        <v>3.5999999046325679</v>
      </c>
      <c r="BA122">
        <v>0.30000001192092901</v>
      </c>
      <c r="BB122">
        <v>0</v>
      </c>
      <c r="BC122">
        <v>4.9099998474121094</v>
      </c>
      <c r="BD122">
        <v>0.30000001192092901</v>
      </c>
      <c r="BE122">
        <v>0.94241842226089168</v>
      </c>
      <c r="BF122">
        <v>5.758157773910836E-2</v>
      </c>
      <c r="BG122">
        <v>150</v>
      </c>
      <c r="BH122">
        <v>1.309999942779541</v>
      </c>
      <c r="BI122">
        <v>3.5999999046325679</v>
      </c>
      <c r="BJ122">
        <v>0.30000001192092901</v>
      </c>
      <c r="BK122">
        <v>0</v>
      </c>
      <c r="BL122">
        <v>1</v>
      </c>
      <c r="BM122">
        <v>1</v>
      </c>
      <c r="BN122">
        <v>2023</v>
      </c>
      <c r="BO122">
        <v>1</v>
      </c>
      <c r="BP122">
        <v>1</v>
      </c>
      <c r="BQ122">
        <v>2</v>
      </c>
      <c r="BR122">
        <v>2024</v>
      </c>
      <c r="BS122">
        <v>1</v>
      </c>
      <c r="BT122">
        <v>1</v>
      </c>
      <c r="BU122">
        <v>3</v>
      </c>
      <c r="BV122">
        <v>2025</v>
      </c>
      <c r="BW122">
        <v>1</v>
      </c>
      <c r="BX122">
        <v>0</v>
      </c>
      <c r="BY122">
        <v>0</v>
      </c>
      <c r="BZ122">
        <v>1</v>
      </c>
      <c r="CA122">
        <v>1</v>
      </c>
      <c r="CB122">
        <v>1</v>
      </c>
      <c r="CC122">
        <v>0</v>
      </c>
      <c r="CD122">
        <v>0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25">
      <c r="A123">
        <v>122</v>
      </c>
      <c r="B123" t="s">
        <v>595</v>
      </c>
      <c r="C123" t="s">
        <v>596</v>
      </c>
      <c r="D123" t="s">
        <v>597</v>
      </c>
      <c r="E123" t="s">
        <v>598</v>
      </c>
      <c r="F123" t="s">
        <v>190</v>
      </c>
      <c r="G123">
        <v>5</v>
      </c>
      <c r="H123">
        <v>1</v>
      </c>
      <c r="I123">
        <v>1270</v>
      </c>
      <c r="J123">
        <v>0</v>
      </c>
      <c r="K123">
        <v>1</v>
      </c>
      <c r="L123">
        <v>3242.8</v>
      </c>
      <c r="M123">
        <v>1603.3</v>
      </c>
      <c r="N123">
        <v>13554.9</v>
      </c>
      <c r="O123">
        <v>1216.0999999999999</v>
      </c>
      <c r="P123">
        <v>14934.4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2.72</v>
      </c>
      <c r="W123">
        <v>3</v>
      </c>
      <c r="X123">
        <v>2.72</v>
      </c>
      <c r="Y123">
        <v>0</v>
      </c>
      <c r="Z123">
        <v>0</v>
      </c>
      <c r="AA123">
        <v>0</v>
      </c>
      <c r="AB123">
        <v>0</v>
      </c>
      <c r="AC123">
        <v>2.72</v>
      </c>
      <c r="AD123">
        <v>0</v>
      </c>
      <c r="AE123">
        <v>0</v>
      </c>
      <c r="AF123">
        <v>0</v>
      </c>
      <c r="AG123">
        <v>1</v>
      </c>
      <c r="AH123">
        <v>2.72</v>
      </c>
      <c r="AI123">
        <v>3</v>
      </c>
      <c r="AJ123">
        <v>2.7200000000000011</v>
      </c>
      <c r="AK123">
        <v>0</v>
      </c>
      <c r="AL123">
        <v>0</v>
      </c>
      <c r="AM123">
        <v>0</v>
      </c>
      <c r="AN123">
        <v>0</v>
      </c>
      <c r="AO123">
        <v>2.7200000000000011</v>
      </c>
      <c r="AP123">
        <v>0</v>
      </c>
      <c r="AQ123">
        <v>0</v>
      </c>
      <c r="AR123">
        <v>0</v>
      </c>
      <c r="AS123">
        <v>1</v>
      </c>
      <c r="AT123">
        <v>2.72</v>
      </c>
      <c r="AU123">
        <v>0</v>
      </c>
      <c r="AV123">
        <v>0</v>
      </c>
      <c r="AW123">
        <v>2.720000028610229</v>
      </c>
      <c r="AX123">
        <v>0</v>
      </c>
      <c r="AY123">
        <v>0.69999998807907104</v>
      </c>
      <c r="AZ123">
        <v>2.0199999809265141</v>
      </c>
      <c r="BA123">
        <v>0</v>
      </c>
      <c r="BB123">
        <v>0</v>
      </c>
      <c r="BC123">
        <v>2.7199999690055852</v>
      </c>
      <c r="BD123">
        <v>0</v>
      </c>
      <c r="BE123">
        <v>1</v>
      </c>
      <c r="BF123">
        <v>0</v>
      </c>
      <c r="BG123">
        <v>150</v>
      </c>
      <c r="BH123">
        <v>0.69999998807907104</v>
      </c>
      <c r="BI123">
        <v>2.0199999809265141</v>
      </c>
      <c r="BJ123">
        <v>0</v>
      </c>
      <c r="BK123">
        <v>0</v>
      </c>
      <c r="BL123">
        <v>1</v>
      </c>
      <c r="BM123">
        <v>1</v>
      </c>
      <c r="BN123">
        <v>2021</v>
      </c>
      <c r="BO123">
        <v>3</v>
      </c>
      <c r="BP123">
        <v>1</v>
      </c>
      <c r="BQ123">
        <v>1</v>
      </c>
      <c r="BR123">
        <v>2021</v>
      </c>
      <c r="BS123">
        <v>4</v>
      </c>
      <c r="BT123">
        <v>1</v>
      </c>
      <c r="BU123">
        <v>1</v>
      </c>
      <c r="BV123">
        <v>2021</v>
      </c>
      <c r="BW123">
        <v>5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</row>
    <row r="124" spans="1:96" x14ac:dyDescent="0.25">
      <c r="A124">
        <v>123</v>
      </c>
      <c r="B124" t="s">
        <v>599</v>
      </c>
      <c r="C124" t="s">
        <v>600</v>
      </c>
      <c r="D124" t="s">
        <v>601</v>
      </c>
      <c r="E124" t="s">
        <v>602</v>
      </c>
      <c r="F124" t="s">
        <v>190</v>
      </c>
      <c r="G124">
        <v>2</v>
      </c>
      <c r="H124">
        <v>1</v>
      </c>
      <c r="I124">
        <v>716</v>
      </c>
      <c r="J124">
        <v>0</v>
      </c>
      <c r="K124">
        <v>0</v>
      </c>
      <c r="L124">
        <v>5758</v>
      </c>
      <c r="M124">
        <v>3364.1</v>
      </c>
      <c r="N124">
        <v>16271.6</v>
      </c>
      <c r="O124">
        <v>3221.9</v>
      </c>
      <c r="P124">
        <v>17651.2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5.69</v>
      </c>
      <c r="W124">
        <v>5</v>
      </c>
      <c r="X124">
        <v>0</v>
      </c>
      <c r="Y124">
        <v>0</v>
      </c>
      <c r="Z124">
        <v>0</v>
      </c>
      <c r="AA124">
        <v>5.69</v>
      </c>
      <c r="AB124">
        <v>0</v>
      </c>
      <c r="AC124">
        <v>0</v>
      </c>
      <c r="AD124">
        <v>0</v>
      </c>
      <c r="AE124">
        <v>0</v>
      </c>
      <c r="AF124">
        <v>5.69</v>
      </c>
      <c r="AG124">
        <v>0</v>
      </c>
      <c r="AH124">
        <v>5.69</v>
      </c>
      <c r="AI124">
        <v>5</v>
      </c>
      <c r="AJ124">
        <v>0</v>
      </c>
      <c r="AK124">
        <v>0</v>
      </c>
      <c r="AL124">
        <v>0</v>
      </c>
      <c r="AM124">
        <v>0</v>
      </c>
      <c r="AN124">
        <v>5.6899999999999959</v>
      </c>
      <c r="AO124">
        <v>0</v>
      </c>
      <c r="AP124">
        <v>0</v>
      </c>
      <c r="AQ124">
        <v>0</v>
      </c>
      <c r="AR124">
        <v>5.6899999999999959</v>
      </c>
      <c r="AS124">
        <v>0</v>
      </c>
      <c r="AT124">
        <v>5.69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150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1</v>
      </c>
      <c r="BN124">
        <v>2023</v>
      </c>
      <c r="BO124">
        <v>1</v>
      </c>
      <c r="BP124">
        <v>1</v>
      </c>
      <c r="BQ124">
        <v>1</v>
      </c>
      <c r="BR124">
        <v>2023</v>
      </c>
      <c r="BS124">
        <v>2</v>
      </c>
      <c r="BT124">
        <v>1</v>
      </c>
      <c r="BU124">
        <v>1</v>
      </c>
      <c r="BV124">
        <v>2023</v>
      </c>
      <c r="BW124">
        <v>3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</row>
    <row r="125" spans="1:96" x14ac:dyDescent="0.25">
      <c r="A125">
        <v>124</v>
      </c>
      <c r="B125" t="s">
        <v>603</v>
      </c>
      <c r="C125" t="s">
        <v>604</v>
      </c>
      <c r="D125" t="s">
        <v>605</v>
      </c>
      <c r="E125" t="s">
        <v>606</v>
      </c>
      <c r="F125" t="s">
        <v>190</v>
      </c>
      <c r="G125">
        <v>2</v>
      </c>
      <c r="H125">
        <v>1</v>
      </c>
      <c r="I125">
        <v>570</v>
      </c>
      <c r="J125">
        <v>0</v>
      </c>
      <c r="K125">
        <v>0</v>
      </c>
      <c r="L125">
        <v>6068.8</v>
      </c>
      <c r="M125">
        <v>5264.4</v>
      </c>
      <c r="N125">
        <v>12201.7</v>
      </c>
      <c r="O125">
        <v>1096</v>
      </c>
      <c r="P125">
        <v>13600.3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0.82</v>
      </c>
      <c r="W125">
        <v>3</v>
      </c>
      <c r="X125">
        <v>0</v>
      </c>
      <c r="Y125">
        <v>0</v>
      </c>
      <c r="Z125">
        <v>0.82</v>
      </c>
      <c r="AA125">
        <v>0</v>
      </c>
      <c r="AB125">
        <v>0</v>
      </c>
      <c r="AC125">
        <v>0</v>
      </c>
      <c r="AD125">
        <v>0</v>
      </c>
      <c r="AE125">
        <v>0.62</v>
      </c>
      <c r="AF125">
        <v>0.2</v>
      </c>
      <c r="AG125">
        <v>0</v>
      </c>
      <c r="AH125">
        <v>0.82</v>
      </c>
      <c r="AI125">
        <v>3</v>
      </c>
      <c r="AJ125">
        <v>0</v>
      </c>
      <c r="AK125">
        <v>0</v>
      </c>
      <c r="AL125">
        <v>0.82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0.82</v>
      </c>
      <c r="AS125">
        <v>0</v>
      </c>
      <c r="AT125">
        <v>0.82</v>
      </c>
      <c r="AU125">
        <v>0.81999999284744263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0.81999999284744263</v>
      </c>
      <c r="BC125">
        <v>0</v>
      </c>
      <c r="BD125">
        <v>0.81999999284744263</v>
      </c>
      <c r="BE125">
        <v>0</v>
      </c>
      <c r="BF125">
        <v>1</v>
      </c>
      <c r="BG125">
        <v>150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P125">
        <v>0</v>
      </c>
      <c r="BQ125">
        <v>0</v>
      </c>
      <c r="BT125">
        <v>0</v>
      </c>
      <c r="BU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x14ac:dyDescent="0.25">
      <c r="A126">
        <v>125</v>
      </c>
      <c r="B126" t="s">
        <v>607</v>
      </c>
      <c r="C126" t="s">
        <v>608</v>
      </c>
      <c r="D126" t="s">
        <v>609</v>
      </c>
      <c r="E126" t="s">
        <v>175</v>
      </c>
      <c r="F126" t="s">
        <v>176</v>
      </c>
      <c r="G126">
        <v>2</v>
      </c>
      <c r="H126">
        <v>1</v>
      </c>
      <c r="I126">
        <v>797</v>
      </c>
      <c r="J126">
        <v>0</v>
      </c>
      <c r="K126">
        <v>0</v>
      </c>
      <c r="L126">
        <v>1683.8</v>
      </c>
      <c r="M126">
        <v>112.4</v>
      </c>
      <c r="N126">
        <v>3382.1</v>
      </c>
      <c r="O126">
        <v>85</v>
      </c>
      <c r="P126">
        <v>1519.2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0.21</v>
      </c>
      <c r="W126">
        <v>4</v>
      </c>
      <c r="X126">
        <v>0.21</v>
      </c>
      <c r="Y126">
        <v>0</v>
      </c>
      <c r="Z126">
        <v>0</v>
      </c>
      <c r="AA126">
        <v>0</v>
      </c>
      <c r="AB126">
        <v>0</v>
      </c>
      <c r="AC126">
        <v>0.21</v>
      </c>
      <c r="AD126">
        <v>0</v>
      </c>
      <c r="AE126">
        <v>0</v>
      </c>
      <c r="AF126">
        <v>0</v>
      </c>
      <c r="AG126">
        <v>1</v>
      </c>
      <c r="AH126">
        <v>0.21</v>
      </c>
      <c r="AI126">
        <v>4</v>
      </c>
      <c r="AJ126">
        <v>0.21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0.21</v>
      </c>
      <c r="AQ126">
        <v>0</v>
      </c>
      <c r="AR126">
        <v>0</v>
      </c>
      <c r="AS126">
        <v>1</v>
      </c>
      <c r="AT126">
        <v>0.21</v>
      </c>
      <c r="AU126">
        <v>0</v>
      </c>
      <c r="AV126">
        <v>0</v>
      </c>
      <c r="AW126">
        <v>0.2099999934434891</v>
      </c>
      <c r="AX126">
        <v>0</v>
      </c>
      <c r="AY126">
        <v>0</v>
      </c>
      <c r="AZ126">
        <v>0.2099999934434891</v>
      </c>
      <c r="BA126">
        <v>0</v>
      </c>
      <c r="BB126">
        <v>0</v>
      </c>
      <c r="BC126">
        <v>0.2099999934434891</v>
      </c>
      <c r="BD126">
        <v>0</v>
      </c>
      <c r="BE126">
        <v>1</v>
      </c>
      <c r="BF126">
        <v>0</v>
      </c>
      <c r="BG126">
        <v>150</v>
      </c>
      <c r="BH126">
        <v>0</v>
      </c>
      <c r="BI126">
        <v>0.2099999934434891</v>
      </c>
      <c r="BJ126">
        <v>0</v>
      </c>
      <c r="BK126">
        <v>0</v>
      </c>
      <c r="BL126">
        <v>1</v>
      </c>
      <c r="BM126">
        <v>1</v>
      </c>
      <c r="BN126">
        <v>2023</v>
      </c>
      <c r="BO126">
        <v>1</v>
      </c>
      <c r="BP126">
        <v>1</v>
      </c>
      <c r="BQ126">
        <v>1</v>
      </c>
      <c r="BR126">
        <v>2023</v>
      </c>
      <c r="BS126">
        <v>2</v>
      </c>
      <c r="BT126">
        <v>1</v>
      </c>
      <c r="BU126">
        <v>1</v>
      </c>
      <c r="BV126">
        <v>2023</v>
      </c>
      <c r="BW126">
        <v>3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</row>
    <row r="127" spans="1:96" x14ac:dyDescent="0.25">
      <c r="A127">
        <v>126</v>
      </c>
      <c r="B127" t="s">
        <v>610</v>
      </c>
      <c r="C127" t="s">
        <v>611</v>
      </c>
      <c r="D127" t="s">
        <v>612</v>
      </c>
      <c r="E127" t="s">
        <v>367</v>
      </c>
      <c r="F127" t="s">
        <v>100</v>
      </c>
      <c r="G127">
        <v>1</v>
      </c>
      <c r="H127">
        <v>1</v>
      </c>
      <c r="I127">
        <v>1142</v>
      </c>
      <c r="J127">
        <v>0</v>
      </c>
      <c r="K127">
        <v>0</v>
      </c>
      <c r="L127">
        <v>2008.7</v>
      </c>
      <c r="M127">
        <v>1250.2</v>
      </c>
      <c r="N127">
        <v>3227.5</v>
      </c>
      <c r="O127">
        <v>0</v>
      </c>
      <c r="P127">
        <v>29840.7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0.35</v>
      </c>
      <c r="W127">
        <v>3</v>
      </c>
      <c r="X127">
        <v>0.35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0.35</v>
      </c>
      <c r="AF127">
        <v>0</v>
      </c>
      <c r="AG127">
        <v>0</v>
      </c>
      <c r="AH127">
        <v>0.35</v>
      </c>
      <c r="AI127">
        <v>3</v>
      </c>
      <c r="AJ127">
        <v>0.35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0.15</v>
      </c>
      <c r="AR127">
        <v>0.2</v>
      </c>
      <c r="AS127">
        <v>0</v>
      </c>
      <c r="AT127">
        <v>0.35</v>
      </c>
      <c r="AU127">
        <v>0</v>
      </c>
      <c r="AV127">
        <v>0</v>
      </c>
      <c r="AW127">
        <v>0.34999999403953552</v>
      </c>
      <c r="AX127">
        <v>0</v>
      </c>
      <c r="AY127">
        <v>0</v>
      </c>
      <c r="AZ127">
        <v>0</v>
      </c>
      <c r="BA127">
        <v>0</v>
      </c>
      <c r="BB127">
        <v>0.34999999403953552</v>
      </c>
      <c r="BC127">
        <v>0</v>
      </c>
      <c r="BD127">
        <v>0.34999999403953552</v>
      </c>
      <c r="BE127">
        <v>0</v>
      </c>
      <c r="BF127">
        <v>1</v>
      </c>
      <c r="BG127">
        <v>150</v>
      </c>
      <c r="BH127">
        <v>0</v>
      </c>
      <c r="BI127">
        <v>0</v>
      </c>
      <c r="BJ127">
        <v>0</v>
      </c>
      <c r="BK127">
        <v>0.34999999403953552</v>
      </c>
      <c r="BL127">
        <v>1</v>
      </c>
      <c r="BM127">
        <v>1</v>
      </c>
      <c r="BN127">
        <v>2021</v>
      </c>
      <c r="BO127">
        <v>3</v>
      </c>
      <c r="BP127">
        <v>1</v>
      </c>
      <c r="BQ127">
        <v>1</v>
      </c>
      <c r="BR127">
        <v>2021</v>
      </c>
      <c r="BS127">
        <v>4</v>
      </c>
      <c r="BT127">
        <v>1</v>
      </c>
      <c r="BU127">
        <v>1</v>
      </c>
      <c r="BV127">
        <v>2021</v>
      </c>
      <c r="BW127">
        <v>5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1</v>
      </c>
    </row>
    <row r="128" spans="1:96" x14ac:dyDescent="0.25">
      <c r="A128">
        <v>127</v>
      </c>
      <c r="B128" t="s">
        <v>613</v>
      </c>
      <c r="C128" t="s">
        <v>614</v>
      </c>
      <c r="D128" t="s">
        <v>615</v>
      </c>
      <c r="E128" t="s">
        <v>616</v>
      </c>
      <c r="F128" t="s">
        <v>363</v>
      </c>
      <c r="G128">
        <v>1</v>
      </c>
      <c r="H128">
        <v>1</v>
      </c>
      <c r="I128">
        <v>925</v>
      </c>
      <c r="J128">
        <v>0</v>
      </c>
      <c r="K128">
        <v>0</v>
      </c>
      <c r="L128">
        <v>1881.5</v>
      </c>
      <c r="M128">
        <v>1417.9</v>
      </c>
      <c r="N128">
        <v>3100.4</v>
      </c>
      <c r="O128">
        <v>215</v>
      </c>
      <c r="P128">
        <v>29713.5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0.33</v>
      </c>
      <c r="W128">
        <v>3</v>
      </c>
      <c r="X128">
        <v>0.33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0.33</v>
      </c>
      <c r="AG128">
        <v>0</v>
      </c>
      <c r="AH128">
        <v>0.33</v>
      </c>
      <c r="AI128">
        <v>3</v>
      </c>
      <c r="AJ128">
        <v>0.33000000000000013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0.33000000000000013</v>
      </c>
      <c r="AS128">
        <v>0</v>
      </c>
      <c r="AT128">
        <v>0.33</v>
      </c>
      <c r="AU128">
        <v>0</v>
      </c>
      <c r="AV128">
        <v>0</v>
      </c>
      <c r="AW128">
        <v>0.33000001311302191</v>
      </c>
      <c r="AX128">
        <v>0</v>
      </c>
      <c r="AY128">
        <v>0</v>
      </c>
      <c r="AZ128">
        <v>0</v>
      </c>
      <c r="BA128">
        <v>0</v>
      </c>
      <c r="BB128">
        <v>0.33000001311302191</v>
      </c>
      <c r="BC128">
        <v>0</v>
      </c>
      <c r="BD128">
        <v>0.33000001311302191</v>
      </c>
      <c r="BE128">
        <v>0</v>
      </c>
      <c r="BF128">
        <v>1</v>
      </c>
      <c r="BG128">
        <v>150</v>
      </c>
      <c r="BH128">
        <v>0</v>
      </c>
      <c r="BI128">
        <v>0</v>
      </c>
      <c r="BJ128">
        <v>0</v>
      </c>
      <c r="BK128">
        <v>0.33000001311302191</v>
      </c>
      <c r="BL128">
        <v>0</v>
      </c>
      <c r="BM128">
        <v>0</v>
      </c>
      <c r="BP128">
        <v>0</v>
      </c>
      <c r="BQ128">
        <v>0</v>
      </c>
      <c r="BT128">
        <v>0</v>
      </c>
      <c r="BU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1</v>
      </c>
    </row>
    <row r="129" spans="1:96" x14ac:dyDescent="0.25">
      <c r="A129">
        <v>128</v>
      </c>
      <c r="B129" t="s">
        <v>617</v>
      </c>
      <c r="C129" t="s">
        <v>618</v>
      </c>
      <c r="D129" t="s">
        <v>619</v>
      </c>
      <c r="E129" t="s">
        <v>620</v>
      </c>
      <c r="F129" t="s">
        <v>213</v>
      </c>
      <c r="G129">
        <v>3</v>
      </c>
      <c r="H129">
        <v>2</v>
      </c>
      <c r="I129">
        <v>4379</v>
      </c>
      <c r="J129">
        <v>0</v>
      </c>
      <c r="K129">
        <v>1</v>
      </c>
      <c r="L129">
        <v>1075.3</v>
      </c>
      <c r="M129">
        <v>1905.9</v>
      </c>
      <c r="N129">
        <v>3266.5</v>
      </c>
      <c r="O129">
        <v>952</v>
      </c>
      <c r="P129">
        <v>1533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1.25</v>
      </c>
      <c r="W129">
        <v>3.5</v>
      </c>
      <c r="X129">
        <v>1.25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1.25</v>
      </c>
      <c r="AE129">
        <v>0</v>
      </c>
      <c r="AF129">
        <v>0</v>
      </c>
      <c r="AG129">
        <v>1</v>
      </c>
      <c r="AH129">
        <v>1.25</v>
      </c>
      <c r="AI129">
        <v>3.5</v>
      </c>
      <c r="AJ129">
        <v>1.25</v>
      </c>
      <c r="AK129">
        <v>0</v>
      </c>
      <c r="AL129">
        <v>0</v>
      </c>
      <c r="AM129">
        <v>0</v>
      </c>
      <c r="AN129">
        <v>0</v>
      </c>
      <c r="AO129">
        <v>0.2</v>
      </c>
      <c r="AP129">
        <v>0</v>
      </c>
      <c r="AQ129">
        <v>1.05</v>
      </c>
      <c r="AR129">
        <v>0</v>
      </c>
      <c r="AS129">
        <v>0.16</v>
      </c>
      <c r="AT129">
        <v>1.25</v>
      </c>
      <c r="AU129">
        <v>0</v>
      </c>
      <c r="AV129">
        <v>0</v>
      </c>
      <c r="AW129">
        <v>1.25</v>
      </c>
      <c r="AX129">
        <v>0</v>
      </c>
      <c r="AY129">
        <v>0.34999999403953552</v>
      </c>
      <c r="AZ129">
        <v>0.89999997615814209</v>
      </c>
      <c r="BA129">
        <v>0</v>
      </c>
      <c r="BB129">
        <v>0</v>
      </c>
      <c r="BC129">
        <v>1.2499999701976781</v>
      </c>
      <c r="BD129">
        <v>0</v>
      </c>
      <c r="BE129">
        <v>1</v>
      </c>
      <c r="BF129">
        <v>0</v>
      </c>
      <c r="BG129">
        <v>150</v>
      </c>
      <c r="BH129">
        <v>0.34999999403953552</v>
      </c>
      <c r="BI129">
        <v>0.89999997615814209</v>
      </c>
      <c r="BJ129">
        <v>0</v>
      </c>
      <c r="BK129">
        <v>0</v>
      </c>
      <c r="BL129">
        <v>1</v>
      </c>
      <c r="BM129">
        <v>2</v>
      </c>
      <c r="BN129">
        <v>2023</v>
      </c>
      <c r="BO129">
        <v>1</v>
      </c>
      <c r="BP129">
        <v>1</v>
      </c>
      <c r="BQ129">
        <v>3</v>
      </c>
      <c r="BR129">
        <v>2024</v>
      </c>
      <c r="BS129">
        <v>1</v>
      </c>
      <c r="BT129">
        <v>1</v>
      </c>
      <c r="BU129">
        <v>3</v>
      </c>
      <c r="BV129">
        <v>2024</v>
      </c>
      <c r="BW129">
        <v>2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</row>
    <row r="130" spans="1:96" x14ac:dyDescent="0.25">
      <c r="A130">
        <v>129</v>
      </c>
      <c r="B130" t="s">
        <v>621</v>
      </c>
      <c r="C130" t="s">
        <v>622</v>
      </c>
      <c r="D130" t="s">
        <v>623</v>
      </c>
      <c r="E130" t="s">
        <v>624</v>
      </c>
      <c r="F130" t="s">
        <v>315</v>
      </c>
      <c r="G130">
        <v>1</v>
      </c>
      <c r="H130">
        <v>1</v>
      </c>
      <c r="I130">
        <v>923</v>
      </c>
      <c r="J130">
        <v>1</v>
      </c>
      <c r="K130">
        <v>0</v>
      </c>
      <c r="L130">
        <v>988.6</v>
      </c>
      <c r="M130">
        <v>1168.8</v>
      </c>
      <c r="N130">
        <v>1546.7</v>
      </c>
      <c r="O130">
        <v>496.2</v>
      </c>
      <c r="P130">
        <v>28159.8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0.32</v>
      </c>
      <c r="W130">
        <v>4</v>
      </c>
      <c r="X130">
        <v>0.32</v>
      </c>
      <c r="Y130">
        <v>0</v>
      </c>
      <c r="Z130">
        <v>0</v>
      </c>
      <c r="AA130">
        <v>0</v>
      </c>
      <c r="AB130">
        <v>0</v>
      </c>
      <c r="AC130">
        <v>0.32</v>
      </c>
      <c r="AD130">
        <v>0</v>
      </c>
      <c r="AE130">
        <v>0</v>
      </c>
      <c r="AF130">
        <v>0</v>
      </c>
      <c r="AG130">
        <v>1</v>
      </c>
      <c r="AH130">
        <v>0.32</v>
      </c>
      <c r="AI130">
        <v>4</v>
      </c>
      <c r="AJ130">
        <v>0.32000000000000012</v>
      </c>
      <c r="AK130">
        <v>0</v>
      </c>
      <c r="AL130">
        <v>0</v>
      </c>
      <c r="AM130">
        <v>0</v>
      </c>
      <c r="AN130">
        <v>0</v>
      </c>
      <c r="AO130">
        <v>0.32000000000000012</v>
      </c>
      <c r="AP130">
        <v>0</v>
      </c>
      <c r="AQ130">
        <v>0</v>
      </c>
      <c r="AR130">
        <v>0</v>
      </c>
      <c r="AS130">
        <v>1</v>
      </c>
      <c r="AT130">
        <v>0.32</v>
      </c>
      <c r="AU130">
        <v>0</v>
      </c>
      <c r="AV130">
        <v>0</v>
      </c>
      <c r="AW130">
        <v>0.31999999284744263</v>
      </c>
      <c r="AX130">
        <v>0</v>
      </c>
      <c r="AY130">
        <v>0</v>
      </c>
      <c r="AZ130">
        <v>0.31999999284744263</v>
      </c>
      <c r="BA130">
        <v>0</v>
      </c>
      <c r="BB130">
        <v>0</v>
      </c>
      <c r="BC130">
        <v>0.31999999284744263</v>
      </c>
      <c r="BD130">
        <v>0</v>
      </c>
      <c r="BE130">
        <v>1</v>
      </c>
      <c r="BF130">
        <v>0</v>
      </c>
      <c r="BG130">
        <v>150</v>
      </c>
      <c r="BH130">
        <v>0</v>
      </c>
      <c r="BI130">
        <v>0.31999999284744263</v>
      </c>
      <c r="BJ130">
        <v>0</v>
      </c>
      <c r="BK130">
        <v>0</v>
      </c>
      <c r="BL130">
        <v>0</v>
      </c>
      <c r="BM130">
        <v>0</v>
      </c>
      <c r="BP130">
        <v>0</v>
      </c>
      <c r="BQ130">
        <v>0</v>
      </c>
      <c r="BT130">
        <v>0</v>
      </c>
      <c r="BU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25">
      <c r="A131">
        <v>130</v>
      </c>
      <c r="B131" t="s">
        <v>625</v>
      </c>
      <c r="C131" t="s">
        <v>626</v>
      </c>
      <c r="D131" t="s">
        <v>627</v>
      </c>
      <c r="E131" t="s">
        <v>310</v>
      </c>
      <c r="F131" t="s">
        <v>310</v>
      </c>
      <c r="G131">
        <v>1</v>
      </c>
      <c r="H131">
        <v>1</v>
      </c>
      <c r="I131">
        <v>346</v>
      </c>
      <c r="J131">
        <v>0</v>
      </c>
      <c r="K131">
        <v>0</v>
      </c>
      <c r="L131">
        <v>33609.800000000003</v>
      </c>
      <c r="M131">
        <v>408.9</v>
      </c>
      <c r="N131">
        <v>35820.199999999997</v>
      </c>
      <c r="O131">
        <v>333.5</v>
      </c>
      <c r="P131">
        <v>35722.5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0.12</v>
      </c>
      <c r="W131">
        <v>3.5</v>
      </c>
      <c r="X131">
        <v>0</v>
      </c>
      <c r="Y131">
        <v>0</v>
      </c>
      <c r="Z131">
        <v>0.12</v>
      </c>
      <c r="AA131">
        <v>0</v>
      </c>
      <c r="AB131">
        <v>0</v>
      </c>
      <c r="AC131">
        <v>0</v>
      </c>
      <c r="AD131">
        <v>0.12</v>
      </c>
      <c r="AE131">
        <v>0</v>
      </c>
      <c r="AF131">
        <v>0</v>
      </c>
      <c r="AG131">
        <v>1</v>
      </c>
      <c r="AH131">
        <v>0.12</v>
      </c>
      <c r="AI131">
        <v>3.5</v>
      </c>
      <c r="AJ131">
        <v>0</v>
      </c>
      <c r="AK131">
        <v>0</v>
      </c>
      <c r="AL131">
        <v>0.12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0.12</v>
      </c>
      <c r="AS131">
        <v>0</v>
      </c>
      <c r="AT131">
        <v>0.12</v>
      </c>
      <c r="AU131">
        <v>0</v>
      </c>
      <c r="AV131">
        <v>0</v>
      </c>
      <c r="AW131">
        <v>0.119999997317791</v>
      </c>
      <c r="AX131">
        <v>0</v>
      </c>
      <c r="AY131">
        <v>0.119999997317791</v>
      </c>
      <c r="AZ131">
        <v>0</v>
      </c>
      <c r="BA131">
        <v>0</v>
      </c>
      <c r="BB131">
        <v>0</v>
      </c>
      <c r="BC131">
        <v>0.119999997317791</v>
      </c>
      <c r="BD131">
        <v>0</v>
      </c>
      <c r="BE131">
        <v>1</v>
      </c>
      <c r="BF131">
        <v>0</v>
      </c>
      <c r="BG131">
        <v>150</v>
      </c>
      <c r="BH131">
        <v>0.119999997317791</v>
      </c>
      <c r="BI131">
        <v>0</v>
      </c>
      <c r="BJ131">
        <v>0</v>
      </c>
      <c r="BK131">
        <v>0</v>
      </c>
      <c r="BL131">
        <v>0</v>
      </c>
      <c r="BM131">
        <v>0</v>
      </c>
      <c r="BP131">
        <v>0</v>
      </c>
      <c r="BQ131">
        <v>0</v>
      </c>
      <c r="BT131">
        <v>1</v>
      </c>
      <c r="BU131">
        <v>1</v>
      </c>
      <c r="BV131">
        <v>2025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25">
      <c r="A132">
        <v>131</v>
      </c>
      <c r="B132" t="s">
        <v>628</v>
      </c>
      <c r="C132" t="s">
        <v>629</v>
      </c>
      <c r="D132" t="s">
        <v>630</v>
      </c>
      <c r="E132" t="s">
        <v>378</v>
      </c>
      <c r="F132" t="s">
        <v>105</v>
      </c>
      <c r="G132">
        <v>2</v>
      </c>
      <c r="H132">
        <v>1</v>
      </c>
      <c r="I132">
        <v>1247</v>
      </c>
      <c r="J132">
        <v>0</v>
      </c>
      <c r="K132">
        <v>0</v>
      </c>
      <c r="L132">
        <v>2374.3000000000002</v>
      </c>
      <c r="M132">
        <v>2616.4</v>
      </c>
      <c r="N132">
        <v>3485.1</v>
      </c>
      <c r="O132">
        <v>485.4</v>
      </c>
      <c r="P132">
        <v>4883.7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</v>
      </c>
      <c r="W132">
        <v>3</v>
      </c>
      <c r="X132">
        <v>0.52</v>
      </c>
      <c r="Y132">
        <v>0</v>
      </c>
      <c r="Z132">
        <v>0</v>
      </c>
      <c r="AA132">
        <v>0</v>
      </c>
      <c r="AB132">
        <v>0</v>
      </c>
      <c r="AC132">
        <v>0.52</v>
      </c>
      <c r="AD132">
        <v>0</v>
      </c>
      <c r="AE132">
        <v>0</v>
      </c>
      <c r="AF132">
        <v>0</v>
      </c>
      <c r="AG132">
        <v>1</v>
      </c>
      <c r="AH132">
        <v>0.52</v>
      </c>
      <c r="AI132">
        <v>3</v>
      </c>
      <c r="AJ132">
        <v>0.52</v>
      </c>
      <c r="AK132">
        <v>0</v>
      </c>
      <c r="AL132">
        <v>0</v>
      </c>
      <c r="AM132">
        <v>0</v>
      </c>
      <c r="AN132">
        <v>0</v>
      </c>
      <c r="AO132">
        <v>0.52</v>
      </c>
      <c r="AP132">
        <v>0</v>
      </c>
      <c r="AQ132">
        <v>0</v>
      </c>
      <c r="AR132">
        <v>0</v>
      </c>
      <c r="AS132">
        <v>1</v>
      </c>
      <c r="AT132">
        <v>0.52</v>
      </c>
      <c r="AU132">
        <v>0</v>
      </c>
      <c r="AV132">
        <v>0</v>
      </c>
      <c r="AW132">
        <v>0.51999998092651367</v>
      </c>
      <c r="AX132">
        <v>0</v>
      </c>
      <c r="AY132">
        <v>0.41999998688697809</v>
      </c>
      <c r="AZ132">
        <v>0.10000000149011611</v>
      </c>
      <c r="BA132">
        <v>0</v>
      </c>
      <c r="BB132">
        <v>0</v>
      </c>
      <c r="BC132">
        <v>0.51999998837709427</v>
      </c>
      <c r="BD132">
        <v>0</v>
      </c>
      <c r="BE132">
        <v>1</v>
      </c>
      <c r="BF132">
        <v>0</v>
      </c>
      <c r="BG132">
        <v>150</v>
      </c>
      <c r="BH132">
        <v>0.41999998688697809</v>
      </c>
      <c r="BI132">
        <v>0.10000000149011611</v>
      </c>
      <c r="BJ132">
        <v>0</v>
      </c>
      <c r="BK132">
        <v>0</v>
      </c>
      <c r="BL132">
        <v>0</v>
      </c>
      <c r="BM132">
        <v>0</v>
      </c>
      <c r="BP132">
        <v>0</v>
      </c>
      <c r="BQ132">
        <v>0</v>
      </c>
      <c r="BT132">
        <v>0</v>
      </c>
      <c r="BU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</row>
    <row r="133" spans="1:96" x14ac:dyDescent="0.25">
      <c r="A133">
        <v>132</v>
      </c>
      <c r="B133" t="s">
        <v>524</v>
      </c>
      <c r="C133" t="s">
        <v>631</v>
      </c>
      <c r="D133" t="s">
        <v>632</v>
      </c>
      <c r="E133" t="s">
        <v>633</v>
      </c>
      <c r="F133" t="s">
        <v>176</v>
      </c>
      <c r="G133">
        <v>2</v>
      </c>
      <c r="H133">
        <v>1</v>
      </c>
      <c r="I133">
        <v>1083</v>
      </c>
      <c r="J133">
        <v>0</v>
      </c>
      <c r="K133">
        <v>1</v>
      </c>
      <c r="L133">
        <v>3995.5</v>
      </c>
      <c r="M133">
        <v>586.70000000000005</v>
      </c>
      <c r="N133">
        <v>4976.3999999999996</v>
      </c>
      <c r="O133">
        <v>1315.3</v>
      </c>
      <c r="P133">
        <v>6648.2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1.1100000000000001</v>
      </c>
      <c r="W133">
        <v>3</v>
      </c>
      <c r="X133">
        <v>1.1100000000000001</v>
      </c>
      <c r="Y133">
        <v>0</v>
      </c>
      <c r="Z133">
        <v>0</v>
      </c>
      <c r="AA133">
        <v>0</v>
      </c>
      <c r="AB133">
        <v>0</v>
      </c>
      <c r="AC133">
        <v>1.1100000000000001</v>
      </c>
      <c r="AD133">
        <v>0</v>
      </c>
      <c r="AE133">
        <v>0</v>
      </c>
      <c r="AF133">
        <v>0</v>
      </c>
      <c r="AG133">
        <v>1</v>
      </c>
      <c r="AH133">
        <v>1.1100000000000001</v>
      </c>
      <c r="AI133">
        <v>3</v>
      </c>
      <c r="AJ133">
        <v>1.1100000000000001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1.1100000000000001</v>
      </c>
      <c r="AQ133">
        <v>0</v>
      </c>
      <c r="AR133">
        <v>0</v>
      </c>
      <c r="AS133">
        <v>1</v>
      </c>
      <c r="AT133">
        <v>1.1100000000000001</v>
      </c>
      <c r="AU133">
        <v>0</v>
      </c>
      <c r="AV133">
        <v>0</v>
      </c>
      <c r="AW133">
        <v>1.110000014305115</v>
      </c>
      <c r="AX133">
        <v>0</v>
      </c>
      <c r="AY133">
        <v>0</v>
      </c>
      <c r="AZ133">
        <v>1.110000014305115</v>
      </c>
      <c r="BA133">
        <v>0</v>
      </c>
      <c r="BB133">
        <v>0</v>
      </c>
      <c r="BC133">
        <v>1.110000014305115</v>
      </c>
      <c r="BD133">
        <v>0</v>
      </c>
      <c r="BE133">
        <v>1</v>
      </c>
      <c r="BF133">
        <v>0</v>
      </c>
      <c r="BG133">
        <v>150</v>
      </c>
      <c r="BH133">
        <v>0</v>
      </c>
      <c r="BI133">
        <v>1.110000014305115</v>
      </c>
      <c r="BJ133">
        <v>0</v>
      </c>
      <c r="BK133">
        <v>0</v>
      </c>
      <c r="BL133">
        <v>0</v>
      </c>
      <c r="BM133">
        <v>0</v>
      </c>
      <c r="BP133">
        <v>0</v>
      </c>
      <c r="BQ133">
        <v>0</v>
      </c>
      <c r="BT133">
        <v>0</v>
      </c>
      <c r="BU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25">
      <c r="A134">
        <v>133</v>
      </c>
      <c r="B134" t="s">
        <v>634</v>
      </c>
      <c r="C134" t="s">
        <v>635</v>
      </c>
      <c r="D134" t="s">
        <v>636</v>
      </c>
      <c r="E134" t="s">
        <v>637</v>
      </c>
      <c r="F134" t="s">
        <v>127</v>
      </c>
      <c r="G134">
        <v>4</v>
      </c>
      <c r="H134">
        <v>1</v>
      </c>
      <c r="I134">
        <v>2294</v>
      </c>
      <c r="J134">
        <v>0</v>
      </c>
      <c r="K134">
        <v>0</v>
      </c>
      <c r="L134">
        <v>1919.7</v>
      </c>
      <c r="M134">
        <v>2759.4</v>
      </c>
      <c r="N134">
        <v>6664.3</v>
      </c>
      <c r="O134">
        <v>812.9</v>
      </c>
      <c r="P134">
        <v>5063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4.04</v>
      </c>
      <c r="W134">
        <v>3.5</v>
      </c>
      <c r="X134">
        <v>4.04</v>
      </c>
      <c r="Y134">
        <v>0</v>
      </c>
      <c r="Z134">
        <v>0</v>
      </c>
      <c r="AA134">
        <v>0</v>
      </c>
      <c r="AB134">
        <v>0</v>
      </c>
      <c r="AC134">
        <v>1.6</v>
      </c>
      <c r="AD134">
        <v>1.44</v>
      </c>
      <c r="AE134">
        <v>1</v>
      </c>
      <c r="AF134">
        <v>0</v>
      </c>
      <c r="AG134">
        <v>0.75247524752475248</v>
      </c>
      <c r="AH134">
        <v>4.04</v>
      </c>
      <c r="AI134">
        <v>3.5</v>
      </c>
      <c r="AJ134">
        <v>4.0400000000000018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2.4400000000000008</v>
      </c>
      <c r="AQ134">
        <v>1.6</v>
      </c>
      <c r="AR134">
        <v>0</v>
      </c>
      <c r="AS134">
        <v>0.60396039603960405</v>
      </c>
      <c r="AT134">
        <v>4.04</v>
      </c>
      <c r="AU134">
        <v>0</v>
      </c>
      <c r="AV134">
        <v>0</v>
      </c>
      <c r="AW134">
        <v>4.0399999618530273</v>
      </c>
      <c r="AX134">
        <v>0</v>
      </c>
      <c r="AY134">
        <v>0</v>
      </c>
      <c r="AZ134">
        <v>1.8400000333786011</v>
      </c>
      <c r="BA134">
        <v>1.3999999761581421</v>
      </c>
      <c r="BB134">
        <v>0.80000001192092896</v>
      </c>
      <c r="BC134">
        <v>1.8400000333786011</v>
      </c>
      <c r="BD134">
        <v>2.199999988079071</v>
      </c>
      <c r="BE134">
        <v>0.4554455503974752</v>
      </c>
      <c r="BF134">
        <v>0.54455444960252486</v>
      </c>
      <c r="BG134">
        <v>150</v>
      </c>
      <c r="BH134">
        <v>0</v>
      </c>
      <c r="BI134">
        <v>1.8400000333786011</v>
      </c>
      <c r="BJ134">
        <v>1.3999999761581421</v>
      </c>
      <c r="BK134">
        <v>0.80000001192092896</v>
      </c>
      <c r="BL134">
        <v>1</v>
      </c>
      <c r="BM134">
        <v>3</v>
      </c>
      <c r="BN134">
        <v>2023</v>
      </c>
      <c r="BO134">
        <v>1</v>
      </c>
      <c r="BP134">
        <v>1</v>
      </c>
      <c r="BQ134">
        <v>4</v>
      </c>
      <c r="BR134">
        <v>2024</v>
      </c>
      <c r="BS134">
        <v>1</v>
      </c>
      <c r="BT134">
        <v>1</v>
      </c>
      <c r="BU134">
        <v>4</v>
      </c>
      <c r="BV134">
        <v>2024</v>
      </c>
      <c r="BW134">
        <v>2</v>
      </c>
      <c r="BX134">
        <v>1</v>
      </c>
      <c r="BY134">
        <v>1</v>
      </c>
      <c r="BZ134">
        <v>1</v>
      </c>
      <c r="CA134">
        <v>1</v>
      </c>
      <c r="CB134">
        <v>0</v>
      </c>
      <c r="CC134">
        <v>1</v>
      </c>
      <c r="CD134">
        <v>1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25">
      <c r="A135">
        <v>134</v>
      </c>
      <c r="B135" t="s">
        <v>638</v>
      </c>
      <c r="C135" t="s">
        <v>639</v>
      </c>
      <c r="D135" t="s">
        <v>640</v>
      </c>
      <c r="E135" t="s">
        <v>641</v>
      </c>
      <c r="F135" t="s">
        <v>176</v>
      </c>
      <c r="G135">
        <v>3</v>
      </c>
      <c r="H135">
        <v>1</v>
      </c>
      <c r="I135">
        <v>1457</v>
      </c>
      <c r="J135">
        <v>0</v>
      </c>
      <c r="K135">
        <v>1</v>
      </c>
      <c r="L135">
        <v>4210.3</v>
      </c>
      <c r="M135">
        <v>3585.8</v>
      </c>
      <c r="N135">
        <v>2583.6</v>
      </c>
      <c r="O135">
        <v>961.6</v>
      </c>
      <c r="P135">
        <v>4255.3999999999996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1.9</v>
      </c>
      <c r="W135">
        <v>3</v>
      </c>
      <c r="X135">
        <v>1.9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0.9</v>
      </c>
      <c r="AF135">
        <v>0</v>
      </c>
      <c r="AG135">
        <v>0.52631578947368418</v>
      </c>
      <c r="AH135">
        <v>1.9</v>
      </c>
      <c r="AI135">
        <v>3</v>
      </c>
      <c r="AJ135">
        <v>1.900000000000001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0.79999999999999993</v>
      </c>
      <c r="AQ135">
        <v>0.5</v>
      </c>
      <c r="AR135">
        <v>0.6</v>
      </c>
      <c r="AS135">
        <v>0.42105263157894729</v>
      </c>
      <c r="AT135">
        <v>1.9</v>
      </c>
      <c r="AU135">
        <v>0</v>
      </c>
      <c r="AV135">
        <v>0</v>
      </c>
      <c r="AW135">
        <v>1.8999999761581421</v>
      </c>
      <c r="AX135">
        <v>0</v>
      </c>
      <c r="AY135">
        <v>0</v>
      </c>
      <c r="AZ135">
        <v>0.89999997615814209</v>
      </c>
      <c r="BA135">
        <v>0.30000001192092901</v>
      </c>
      <c r="BB135">
        <v>0.69999998807907104</v>
      </c>
      <c r="BC135">
        <v>0.89999997615814209</v>
      </c>
      <c r="BD135">
        <v>1</v>
      </c>
      <c r="BE135">
        <v>0.47368420392192301</v>
      </c>
      <c r="BF135">
        <v>0.5263157960780771</v>
      </c>
      <c r="BG135">
        <v>150</v>
      </c>
      <c r="BH135">
        <v>0</v>
      </c>
      <c r="BI135">
        <v>0.89999997615814209</v>
      </c>
      <c r="BJ135">
        <v>0.30000001192092901</v>
      </c>
      <c r="BK135">
        <v>0.69999998807907104</v>
      </c>
      <c r="BL135">
        <v>1</v>
      </c>
      <c r="BM135">
        <v>2</v>
      </c>
      <c r="BN135">
        <v>2023</v>
      </c>
      <c r="BO135">
        <v>1</v>
      </c>
      <c r="BP135">
        <v>1</v>
      </c>
      <c r="BQ135">
        <v>2</v>
      </c>
      <c r="BR135">
        <v>2023</v>
      </c>
      <c r="BS135">
        <v>2</v>
      </c>
      <c r="BT135">
        <v>1</v>
      </c>
      <c r="BU135">
        <v>2</v>
      </c>
      <c r="BV135">
        <v>2023</v>
      </c>
      <c r="BW135">
        <v>3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</row>
    <row r="136" spans="1:96" x14ac:dyDescent="0.25">
      <c r="A136">
        <v>135</v>
      </c>
      <c r="B136" t="s">
        <v>642</v>
      </c>
      <c r="C136" t="s">
        <v>643</v>
      </c>
      <c r="D136" t="s">
        <v>644</v>
      </c>
      <c r="E136" t="s">
        <v>225</v>
      </c>
      <c r="F136" t="s">
        <v>190</v>
      </c>
      <c r="G136">
        <v>1</v>
      </c>
      <c r="H136">
        <v>1</v>
      </c>
      <c r="I136">
        <v>310</v>
      </c>
      <c r="J136">
        <v>0</v>
      </c>
      <c r="K136">
        <v>0</v>
      </c>
      <c r="L136">
        <v>7572.6</v>
      </c>
      <c r="M136">
        <v>5178.7</v>
      </c>
      <c r="N136">
        <v>18086.2</v>
      </c>
      <c r="O136">
        <v>716.1</v>
      </c>
      <c r="P136">
        <v>19465.7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</v>
      </c>
      <c r="W136">
        <v>5</v>
      </c>
      <c r="X136">
        <v>0</v>
      </c>
      <c r="Y136">
        <v>0</v>
      </c>
      <c r="Z136">
        <v>0</v>
      </c>
      <c r="AA136">
        <v>0.86</v>
      </c>
      <c r="AB136">
        <v>0</v>
      </c>
      <c r="AC136">
        <v>0</v>
      </c>
      <c r="AD136">
        <v>0</v>
      </c>
      <c r="AE136">
        <v>0</v>
      </c>
      <c r="AF136">
        <v>0.86</v>
      </c>
      <c r="AG136">
        <v>0</v>
      </c>
      <c r="AH136">
        <v>0.86</v>
      </c>
      <c r="AI136">
        <v>5</v>
      </c>
      <c r="AJ136">
        <v>0</v>
      </c>
      <c r="AK136">
        <v>0</v>
      </c>
      <c r="AL136">
        <v>0</v>
      </c>
      <c r="AM136">
        <v>0.85999999999999988</v>
      </c>
      <c r="AN136">
        <v>0</v>
      </c>
      <c r="AO136">
        <v>0</v>
      </c>
      <c r="AP136">
        <v>0</v>
      </c>
      <c r="AQ136">
        <v>0</v>
      </c>
      <c r="AR136">
        <v>0.85999999999999988</v>
      </c>
      <c r="AS136">
        <v>0</v>
      </c>
      <c r="AT136">
        <v>0.86</v>
      </c>
      <c r="AU136">
        <v>0.30000001192092901</v>
      </c>
      <c r="AV136">
        <v>0</v>
      </c>
      <c r="AW136">
        <v>0.5</v>
      </c>
      <c r="AX136">
        <v>0</v>
      </c>
      <c r="AY136">
        <v>0.5</v>
      </c>
      <c r="AZ136">
        <v>0.10000000149011611</v>
      </c>
      <c r="BA136">
        <v>0</v>
      </c>
      <c r="BB136">
        <v>0.20000000298023221</v>
      </c>
      <c r="BC136">
        <v>0.60000000149011612</v>
      </c>
      <c r="BD136">
        <v>0.20000000298023221</v>
      </c>
      <c r="BE136">
        <v>0.74999999767169356</v>
      </c>
      <c r="BF136">
        <v>0.25000000232830638</v>
      </c>
      <c r="BG136">
        <v>150</v>
      </c>
      <c r="BH136">
        <v>0.5</v>
      </c>
      <c r="BI136">
        <v>0</v>
      </c>
      <c r="BJ136">
        <v>0</v>
      </c>
      <c r="BK136">
        <v>0</v>
      </c>
      <c r="BL136">
        <v>0</v>
      </c>
      <c r="BM136">
        <v>0</v>
      </c>
      <c r="BP136">
        <v>0</v>
      </c>
      <c r="BQ136">
        <v>0</v>
      </c>
      <c r="BT136">
        <v>1</v>
      </c>
      <c r="BU136">
        <v>1</v>
      </c>
      <c r="BV136">
        <v>2025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25">
      <c r="A137">
        <v>136</v>
      </c>
      <c r="B137" t="s">
        <v>645</v>
      </c>
      <c r="C137" t="s">
        <v>646</v>
      </c>
      <c r="D137" t="s">
        <v>647</v>
      </c>
      <c r="E137" t="s">
        <v>249</v>
      </c>
      <c r="F137" t="s">
        <v>149</v>
      </c>
      <c r="G137">
        <v>2</v>
      </c>
      <c r="H137">
        <v>1</v>
      </c>
      <c r="I137">
        <v>1286</v>
      </c>
      <c r="J137">
        <v>0</v>
      </c>
      <c r="K137">
        <v>0</v>
      </c>
      <c r="L137">
        <v>3487.3</v>
      </c>
      <c r="M137">
        <v>2758.9</v>
      </c>
      <c r="N137">
        <v>11780.9</v>
      </c>
      <c r="O137">
        <v>1002.5</v>
      </c>
      <c r="P137">
        <v>9918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0.98</v>
      </c>
      <c r="W137">
        <v>3</v>
      </c>
      <c r="X137">
        <v>0</v>
      </c>
      <c r="Y137">
        <v>0</v>
      </c>
      <c r="Z137">
        <v>0.98</v>
      </c>
      <c r="AA137">
        <v>0</v>
      </c>
      <c r="AB137">
        <v>0</v>
      </c>
      <c r="AC137">
        <v>0</v>
      </c>
      <c r="AD137">
        <v>0.4</v>
      </c>
      <c r="AE137">
        <v>0.57999999999999996</v>
      </c>
      <c r="AF137">
        <v>0</v>
      </c>
      <c r="AG137">
        <v>0.40816326530612251</v>
      </c>
      <c r="AH137">
        <v>0.98</v>
      </c>
      <c r="AI137">
        <v>3</v>
      </c>
      <c r="AJ137">
        <v>0</v>
      </c>
      <c r="AK137">
        <v>0</v>
      </c>
      <c r="AL137">
        <v>0.97999999999999987</v>
      </c>
      <c r="AM137">
        <v>0</v>
      </c>
      <c r="AN137">
        <v>0</v>
      </c>
      <c r="AO137">
        <v>0</v>
      </c>
      <c r="AP137">
        <v>0.4</v>
      </c>
      <c r="AQ137">
        <v>0</v>
      </c>
      <c r="AR137">
        <v>0.57999999999999996</v>
      </c>
      <c r="AS137">
        <v>0.40816326530612251</v>
      </c>
      <c r="AT137">
        <v>0.98</v>
      </c>
      <c r="AU137">
        <v>0.98000001907348633</v>
      </c>
      <c r="AV137">
        <v>0</v>
      </c>
      <c r="AW137">
        <v>0</v>
      </c>
      <c r="AX137">
        <v>0</v>
      </c>
      <c r="AY137">
        <v>0</v>
      </c>
      <c r="AZ137">
        <v>0.57999998331069946</v>
      </c>
      <c r="BA137">
        <v>0.10000000149011611</v>
      </c>
      <c r="BB137">
        <v>0.30000001192092901</v>
      </c>
      <c r="BC137">
        <v>0.57999998331069946</v>
      </c>
      <c r="BD137">
        <v>0.40000001341104507</v>
      </c>
      <c r="BE137">
        <v>0.59183671964376672</v>
      </c>
      <c r="BF137">
        <v>0.40816328035623323</v>
      </c>
      <c r="BG137">
        <v>150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P137">
        <v>0</v>
      </c>
      <c r="BQ137">
        <v>0</v>
      </c>
      <c r="BT137">
        <v>0</v>
      </c>
      <c r="BU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25">
      <c r="A138">
        <v>137</v>
      </c>
      <c r="B138" t="s">
        <v>648</v>
      </c>
      <c r="C138" t="s">
        <v>649</v>
      </c>
      <c r="D138" t="s">
        <v>650</v>
      </c>
      <c r="E138" t="s">
        <v>651</v>
      </c>
      <c r="F138" t="s">
        <v>149</v>
      </c>
      <c r="G138">
        <v>1</v>
      </c>
      <c r="H138">
        <v>1</v>
      </c>
      <c r="I138">
        <v>787</v>
      </c>
      <c r="J138">
        <v>0</v>
      </c>
      <c r="K138">
        <v>0</v>
      </c>
      <c r="L138">
        <v>2912</v>
      </c>
      <c r="M138">
        <v>3645.1</v>
      </c>
      <c r="N138">
        <v>11001.8</v>
      </c>
      <c r="O138">
        <v>714.4</v>
      </c>
      <c r="P138">
        <v>9138.9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</v>
      </c>
      <c r="W138">
        <v>3</v>
      </c>
      <c r="X138">
        <v>0.7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</v>
      </c>
      <c r="AE138">
        <v>0.2</v>
      </c>
      <c r="AF138">
        <v>0</v>
      </c>
      <c r="AG138">
        <v>0.7142857142857143</v>
      </c>
      <c r="AH138">
        <v>0.7</v>
      </c>
      <c r="AI138">
        <v>3</v>
      </c>
      <c r="AJ138">
        <v>0.7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0.3</v>
      </c>
      <c r="AQ138">
        <v>0.4</v>
      </c>
      <c r="AR138">
        <v>0</v>
      </c>
      <c r="AS138">
        <v>0.4285714285714286</v>
      </c>
      <c r="AT138">
        <v>0.7</v>
      </c>
      <c r="AU138">
        <v>0</v>
      </c>
      <c r="AV138">
        <v>0</v>
      </c>
      <c r="AW138">
        <v>0.69999998807907104</v>
      </c>
      <c r="AX138">
        <v>0</v>
      </c>
      <c r="AY138">
        <v>0.10000000149011611</v>
      </c>
      <c r="AZ138">
        <v>0.30000001192092901</v>
      </c>
      <c r="BA138">
        <v>0.20000000298023221</v>
      </c>
      <c r="BB138">
        <v>0.10000000149011611</v>
      </c>
      <c r="BC138">
        <v>0.40000001341104507</v>
      </c>
      <c r="BD138">
        <v>0.30000000447034841</v>
      </c>
      <c r="BE138">
        <v>0.57142857599015129</v>
      </c>
      <c r="BF138">
        <v>0.42857142400984871</v>
      </c>
      <c r="BG138">
        <v>150</v>
      </c>
      <c r="BH138">
        <v>0.10000000149011611</v>
      </c>
      <c r="BI138">
        <v>0.30000001192092901</v>
      </c>
      <c r="BJ138">
        <v>0.20000000298023221</v>
      </c>
      <c r="BK138">
        <v>0.10000000149011611</v>
      </c>
      <c r="BL138">
        <v>0</v>
      </c>
      <c r="BM138">
        <v>0</v>
      </c>
      <c r="BP138">
        <v>0</v>
      </c>
      <c r="BQ138">
        <v>0</v>
      </c>
      <c r="BT138">
        <v>0</v>
      </c>
      <c r="BU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25">
      <c r="A139">
        <v>138</v>
      </c>
      <c r="B139" t="s">
        <v>652</v>
      </c>
      <c r="C139" t="s">
        <v>653</v>
      </c>
      <c r="D139" t="s">
        <v>654</v>
      </c>
      <c r="E139" t="s">
        <v>367</v>
      </c>
      <c r="F139" t="s">
        <v>100</v>
      </c>
      <c r="G139">
        <v>1</v>
      </c>
      <c r="H139">
        <v>1</v>
      </c>
      <c r="I139">
        <v>1142</v>
      </c>
      <c r="J139">
        <v>0</v>
      </c>
      <c r="K139">
        <v>0</v>
      </c>
      <c r="L139">
        <v>781.6</v>
      </c>
      <c r="M139">
        <v>796.9</v>
      </c>
      <c r="N139">
        <v>2773.5</v>
      </c>
      <c r="O139">
        <v>196.3</v>
      </c>
      <c r="P139">
        <v>910.6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0.23</v>
      </c>
      <c r="W139">
        <v>3</v>
      </c>
      <c r="X139">
        <v>0.23</v>
      </c>
      <c r="Y139">
        <v>0</v>
      </c>
      <c r="Z139">
        <v>0</v>
      </c>
      <c r="AA139">
        <v>0</v>
      </c>
      <c r="AB139">
        <v>0</v>
      </c>
      <c r="AC139">
        <v>0.23</v>
      </c>
      <c r="AD139">
        <v>0</v>
      </c>
      <c r="AE139">
        <v>0</v>
      </c>
      <c r="AF139">
        <v>0</v>
      </c>
      <c r="AG139">
        <v>1</v>
      </c>
      <c r="AH139">
        <v>0.23</v>
      </c>
      <c r="AI139">
        <v>3</v>
      </c>
      <c r="AJ139">
        <v>0.23</v>
      </c>
      <c r="AK139">
        <v>0</v>
      </c>
      <c r="AL139">
        <v>0</v>
      </c>
      <c r="AM139">
        <v>0</v>
      </c>
      <c r="AN139">
        <v>0</v>
      </c>
      <c r="AO139">
        <v>0.23</v>
      </c>
      <c r="AP139">
        <v>0</v>
      </c>
      <c r="AQ139">
        <v>0</v>
      </c>
      <c r="AR139">
        <v>0</v>
      </c>
      <c r="AS139">
        <v>1</v>
      </c>
      <c r="AT139">
        <v>0.23</v>
      </c>
      <c r="AU139">
        <v>0</v>
      </c>
      <c r="AV139">
        <v>0</v>
      </c>
      <c r="AW139">
        <v>0.23000000417232511</v>
      </c>
      <c r="AX139">
        <v>0</v>
      </c>
      <c r="AY139">
        <v>0.23000000417232511</v>
      </c>
      <c r="AZ139">
        <v>0</v>
      </c>
      <c r="BA139">
        <v>0</v>
      </c>
      <c r="BB139">
        <v>0</v>
      </c>
      <c r="BC139">
        <v>0.23000000417232511</v>
      </c>
      <c r="BD139">
        <v>0</v>
      </c>
      <c r="BE139">
        <v>1</v>
      </c>
      <c r="BF139">
        <v>0</v>
      </c>
      <c r="BG139">
        <v>150</v>
      </c>
      <c r="BH139">
        <v>0.23000000417232511</v>
      </c>
      <c r="BI139">
        <v>0</v>
      </c>
      <c r="BJ139">
        <v>0</v>
      </c>
      <c r="BK139">
        <v>0</v>
      </c>
      <c r="BL139">
        <v>0</v>
      </c>
      <c r="BM139">
        <v>0</v>
      </c>
      <c r="BP139">
        <v>0</v>
      </c>
      <c r="BQ139">
        <v>0</v>
      </c>
      <c r="BT139">
        <v>0</v>
      </c>
      <c r="BU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</row>
    <row r="140" spans="1:96" x14ac:dyDescent="0.25">
      <c r="A140">
        <v>139</v>
      </c>
      <c r="B140" t="s">
        <v>655</v>
      </c>
      <c r="C140" t="s">
        <v>656</v>
      </c>
      <c r="D140" t="s">
        <v>657</v>
      </c>
      <c r="E140" t="s">
        <v>444</v>
      </c>
      <c r="F140" t="s">
        <v>363</v>
      </c>
      <c r="G140">
        <v>1</v>
      </c>
      <c r="H140">
        <v>1</v>
      </c>
      <c r="I140">
        <v>870</v>
      </c>
      <c r="J140">
        <v>1</v>
      </c>
      <c r="K140">
        <v>0</v>
      </c>
      <c r="L140">
        <v>1729.3</v>
      </c>
      <c r="M140">
        <v>1490.7</v>
      </c>
      <c r="N140">
        <v>2948.2</v>
      </c>
      <c r="O140">
        <v>0</v>
      </c>
      <c r="P140">
        <v>29561.3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0.31</v>
      </c>
      <c r="W140">
        <v>3</v>
      </c>
      <c r="X140">
        <v>0.31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0.2</v>
      </c>
      <c r="AE140">
        <v>0</v>
      </c>
      <c r="AF140">
        <v>0.11</v>
      </c>
      <c r="AG140">
        <v>0.64516129032258074</v>
      </c>
      <c r="AH140">
        <v>0.31</v>
      </c>
      <c r="AI140">
        <v>3</v>
      </c>
      <c r="AJ140">
        <v>0.31000000000000011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0.2</v>
      </c>
      <c r="AR140">
        <v>0.11</v>
      </c>
      <c r="AS140">
        <v>0</v>
      </c>
      <c r="AT140">
        <v>0.31</v>
      </c>
      <c r="AU140">
        <v>0</v>
      </c>
      <c r="AV140">
        <v>0</v>
      </c>
      <c r="AW140">
        <v>0.31000000238418579</v>
      </c>
      <c r="AX140">
        <v>0</v>
      </c>
      <c r="AY140">
        <v>0.20000000298023221</v>
      </c>
      <c r="AZ140">
        <v>0</v>
      </c>
      <c r="BA140">
        <v>0</v>
      </c>
      <c r="BB140">
        <v>0.10999999940395359</v>
      </c>
      <c r="BC140">
        <v>0.20000000298023221</v>
      </c>
      <c r="BD140">
        <v>0.10999999940395359</v>
      </c>
      <c r="BE140">
        <v>0.64516129497434793</v>
      </c>
      <c r="BF140">
        <v>0.35483870502565212</v>
      </c>
      <c r="BG140">
        <v>150</v>
      </c>
      <c r="BH140">
        <v>0.20000000298023221</v>
      </c>
      <c r="BI140">
        <v>0</v>
      </c>
      <c r="BJ140">
        <v>0</v>
      </c>
      <c r="BK140">
        <v>0.10999999940395359</v>
      </c>
      <c r="BL140">
        <v>0</v>
      </c>
      <c r="BM140">
        <v>0</v>
      </c>
      <c r="BP140">
        <v>0</v>
      </c>
      <c r="BQ140">
        <v>0</v>
      </c>
      <c r="BT140">
        <v>0</v>
      </c>
      <c r="BU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25">
      <c r="A141">
        <v>140</v>
      </c>
      <c r="B141" t="s">
        <v>658</v>
      </c>
      <c r="C141" t="s">
        <v>659</v>
      </c>
      <c r="D141" t="s">
        <v>660</v>
      </c>
      <c r="E141" t="s">
        <v>350</v>
      </c>
      <c r="F141" t="s">
        <v>105</v>
      </c>
      <c r="G141">
        <v>1</v>
      </c>
      <c r="H141">
        <v>1</v>
      </c>
      <c r="I141">
        <v>404</v>
      </c>
      <c r="J141">
        <v>0</v>
      </c>
      <c r="K141">
        <v>1</v>
      </c>
      <c r="L141">
        <v>2008.8</v>
      </c>
      <c r="M141">
        <v>2598.1</v>
      </c>
      <c r="N141">
        <v>9226.6</v>
      </c>
      <c r="O141">
        <v>816.8</v>
      </c>
      <c r="P141">
        <v>10606.1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0.69</v>
      </c>
      <c r="W141">
        <v>3</v>
      </c>
      <c r="X141">
        <v>0</v>
      </c>
      <c r="Y141">
        <v>0</v>
      </c>
      <c r="Z141">
        <v>0</v>
      </c>
      <c r="AA141">
        <v>0.69</v>
      </c>
      <c r="AB141">
        <v>0</v>
      </c>
      <c r="AC141">
        <v>0</v>
      </c>
      <c r="AD141">
        <v>0</v>
      </c>
      <c r="AE141">
        <v>0</v>
      </c>
      <c r="AF141">
        <v>0.69</v>
      </c>
      <c r="AG141">
        <v>0</v>
      </c>
      <c r="AH141">
        <v>0.69</v>
      </c>
      <c r="AI141">
        <v>3</v>
      </c>
      <c r="AJ141">
        <v>0.69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0.69</v>
      </c>
      <c r="AQ141">
        <v>0</v>
      </c>
      <c r="AR141">
        <v>0</v>
      </c>
      <c r="AS141">
        <v>1</v>
      </c>
      <c r="AT141">
        <v>0.69</v>
      </c>
      <c r="AU141">
        <v>0</v>
      </c>
      <c r="AV141">
        <v>0</v>
      </c>
      <c r="AW141">
        <v>0.60000002384185791</v>
      </c>
      <c r="AX141">
        <v>0</v>
      </c>
      <c r="AY141">
        <v>0.20000000298023221</v>
      </c>
      <c r="AZ141">
        <v>0.40000000596046448</v>
      </c>
      <c r="BA141">
        <v>0</v>
      </c>
      <c r="BB141">
        <v>0</v>
      </c>
      <c r="BC141">
        <v>0.60000000894069672</v>
      </c>
      <c r="BD141">
        <v>0</v>
      </c>
      <c r="BE141">
        <v>1</v>
      </c>
      <c r="BF141">
        <v>0</v>
      </c>
      <c r="BG141">
        <v>150</v>
      </c>
      <c r="BH141">
        <v>0.20000000298023221</v>
      </c>
      <c r="BI141">
        <v>0.40000000596046448</v>
      </c>
      <c r="BJ141">
        <v>0</v>
      </c>
      <c r="BK141">
        <v>0</v>
      </c>
      <c r="BL141">
        <v>0</v>
      </c>
      <c r="BM141">
        <v>0</v>
      </c>
      <c r="BP141">
        <v>1</v>
      </c>
      <c r="BQ141">
        <v>1</v>
      </c>
      <c r="BR141">
        <v>2024</v>
      </c>
      <c r="BS141">
        <v>1</v>
      </c>
      <c r="BT141">
        <v>1</v>
      </c>
      <c r="BU141">
        <v>1</v>
      </c>
      <c r="BV141">
        <v>2024</v>
      </c>
      <c r="BW141">
        <v>2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</row>
    <row r="142" spans="1:96" x14ac:dyDescent="0.25">
      <c r="A142">
        <v>141</v>
      </c>
      <c r="B142" t="s">
        <v>661</v>
      </c>
      <c r="C142" t="s">
        <v>662</v>
      </c>
      <c r="D142" t="s">
        <v>663</v>
      </c>
      <c r="E142" t="s">
        <v>109</v>
      </c>
      <c r="F142" t="s">
        <v>100</v>
      </c>
      <c r="G142">
        <v>2</v>
      </c>
      <c r="H142">
        <v>1</v>
      </c>
      <c r="I142">
        <v>2315</v>
      </c>
      <c r="J142">
        <v>0</v>
      </c>
      <c r="K142">
        <v>1</v>
      </c>
      <c r="L142">
        <v>815.5</v>
      </c>
      <c r="M142">
        <v>1226.2</v>
      </c>
      <c r="N142">
        <v>1738.6</v>
      </c>
      <c r="O142">
        <v>437.7</v>
      </c>
      <c r="P142">
        <v>497.1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0.28000000000000003</v>
      </c>
      <c r="W142">
        <v>3.5</v>
      </c>
      <c r="X142">
        <v>0.28000000000000003</v>
      </c>
      <c r="Y142">
        <v>0</v>
      </c>
      <c r="Z142">
        <v>0</v>
      </c>
      <c r="AA142">
        <v>0</v>
      </c>
      <c r="AB142">
        <v>0</v>
      </c>
      <c r="AC142">
        <v>0.28000000000000003</v>
      </c>
      <c r="AD142">
        <v>0</v>
      </c>
      <c r="AE142">
        <v>0</v>
      </c>
      <c r="AF142">
        <v>0</v>
      </c>
      <c r="AG142">
        <v>1</v>
      </c>
      <c r="AH142">
        <v>0.28000000000000003</v>
      </c>
      <c r="AI142">
        <v>3.5</v>
      </c>
      <c r="AJ142">
        <v>0.28000000000000003</v>
      </c>
      <c r="AK142">
        <v>0</v>
      </c>
      <c r="AL142">
        <v>0</v>
      </c>
      <c r="AM142">
        <v>0</v>
      </c>
      <c r="AN142">
        <v>0</v>
      </c>
      <c r="AO142">
        <v>0.28000000000000003</v>
      </c>
      <c r="AP142">
        <v>0</v>
      </c>
      <c r="AQ142">
        <v>0</v>
      </c>
      <c r="AR142">
        <v>0</v>
      </c>
      <c r="AS142">
        <v>1</v>
      </c>
      <c r="AT142">
        <v>0.28000000000000003</v>
      </c>
      <c r="AU142">
        <v>0</v>
      </c>
      <c r="AV142">
        <v>0</v>
      </c>
      <c r="AW142">
        <v>0.2800000011920929</v>
      </c>
      <c r="AX142">
        <v>0</v>
      </c>
      <c r="AY142">
        <v>0.2800000011920929</v>
      </c>
      <c r="AZ142">
        <v>0</v>
      </c>
      <c r="BA142">
        <v>0</v>
      </c>
      <c r="BB142">
        <v>0</v>
      </c>
      <c r="BC142">
        <v>0.2800000011920929</v>
      </c>
      <c r="BD142">
        <v>0</v>
      </c>
      <c r="BE142">
        <v>1</v>
      </c>
      <c r="BF142">
        <v>0</v>
      </c>
      <c r="BG142">
        <v>150</v>
      </c>
      <c r="BH142">
        <v>0.2800000011920929</v>
      </c>
      <c r="BI142">
        <v>0</v>
      </c>
      <c r="BJ142">
        <v>0</v>
      </c>
      <c r="BK142">
        <v>0</v>
      </c>
      <c r="BL142">
        <v>0</v>
      </c>
      <c r="BM142">
        <v>0</v>
      </c>
      <c r="BP142">
        <v>0</v>
      </c>
      <c r="BQ142">
        <v>0</v>
      </c>
      <c r="BT142">
        <v>0</v>
      </c>
      <c r="BU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</row>
    <row r="143" spans="1:96" x14ac:dyDescent="0.25">
      <c r="A143">
        <v>142</v>
      </c>
      <c r="B143" t="s">
        <v>664</v>
      </c>
      <c r="C143" t="s">
        <v>665</v>
      </c>
      <c r="D143" t="s">
        <v>666</v>
      </c>
      <c r="E143" t="s">
        <v>667</v>
      </c>
      <c r="F143" t="s">
        <v>105</v>
      </c>
      <c r="G143">
        <v>1</v>
      </c>
      <c r="H143">
        <v>1</v>
      </c>
      <c r="I143">
        <v>590</v>
      </c>
      <c r="J143">
        <v>0</v>
      </c>
      <c r="K143">
        <v>0</v>
      </c>
      <c r="L143">
        <v>2561.3000000000002</v>
      </c>
      <c r="M143">
        <v>3131.7</v>
      </c>
      <c r="N143">
        <v>8317.7000000000007</v>
      </c>
      <c r="O143">
        <v>895.7</v>
      </c>
      <c r="P143">
        <v>8598.2000000000007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0.34</v>
      </c>
      <c r="W143">
        <v>3</v>
      </c>
      <c r="X143">
        <v>0.34</v>
      </c>
      <c r="Y143">
        <v>0</v>
      </c>
      <c r="Z143">
        <v>0</v>
      </c>
      <c r="AA143">
        <v>0</v>
      </c>
      <c r="AB143">
        <v>0</v>
      </c>
      <c r="AC143">
        <v>0.34</v>
      </c>
      <c r="AD143">
        <v>0</v>
      </c>
      <c r="AE143">
        <v>0</v>
      </c>
      <c r="AF143">
        <v>0</v>
      </c>
      <c r="AG143">
        <v>1</v>
      </c>
      <c r="AH143">
        <v>0.34</v>
      </c>
      <c r="AI143">
        <v>3</v>
      </c>
      <c r="AJ143">
        <v>0.34</v>
      </c>
      <c r="AK143">
        <v>0</v>
      </c>
      <c r="AL143">
        <v>0</v>
      </c>
      <c r="AM143">
        <v>0</v>
      </c>
      <c r="AN143">
        <v>0</v>
      </c>
      <c r="AO143">
        <v>0.34</v>
      </c>
      <c r="AP143">
        <v>0</v>
      </c>
      <c r="AQ143">
        <v>0</v>
      </c>
      <c r="AR143">
        <v>0</v>
      </c>
      <c r="AS143">
        <v>1</v>
      </c>
      <c r="AT143">
        <v>0.34</v>
      </c>
      <c r="AU143">
        <v>0</v>
      </c>
      <c r="AV143">
        <v>0</v>
      </c>
      <c r="AW143">
        <v>0.34000000357627869</v>
      </c>
      <c r="AX143">
        <v>0</v>
      </c>
      <c r="AY143">
        <v>0.14000000059604639</v>
      </c>
      <c r="AZ143">
        <v>0.20000000298023221</v>
      </c>
      <c r="BA143">
        <v>0</v>
      </c>
      <c r="BB143">
        <v>0</v>
      </c>
      <c r="BC143">
        <v>0.34000000357627869</v>
      </c>
      <c r="BD143">
        <v>0</v>
      </c>
      <c r="BE143">
        <v>1</v>
      </c>
      <c r="BF143">
        <v>0</v>
      </c>
      <c r="BG143">
        <v>150</v>
      </c>
      <c r="BH143">
        <v>0.14000000059604639</v>
      </c>
      <c r="BI143">
        <v>0.20000000298023221</v>
      </c>
      <c r="BJ143">
        <v>0</v>
      </c>
      <c r="BK143">
        <v>0</v>
      </c>
      <c r="BL143">
        <v>1</v>
      </c>
      <c r="BM143">
        <v>1</v>
      </c>
      <c r="BN143">
        <v>2023</v>
      </c>
      <c r="BO143">
        <v>1</v>
      </c>
      <c r="BP143">
        <v>1</v>
      </c>
      <c r="BQ143">
        <v>1</v>
      </c>
      <c r="BR143">
        <v>2023</v>
      </c>
      <c r="BS143">
        <v>2</v>
      </c>
      <c r="BT143">
        <v>1</v>
      </c>
      <c r="BU143">
        <v>1</v>
      </c>
      <c r="BV143">
        <v>2023</v>
      </c>
      <c r="BW143">
        <v>3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</row>
    <row r="144" spans="1:96" x14ac:dyDescent="0.25">
      <c r="A144">
        <v>143</v>
      </c>
      <c r="B144" t="s">
        <v>668</v>
      </c>
      <c r="C144" t="s">
        <v>669</v>
      </c>
      <c r="D144" t="s">
        <v>670</v>
      </c>
      <c r="E144" t="s">
        <v>194</v>
      </c>
      <c r="F144" t="s">
        <v>100</v>
      </c>
      <c r="G144">
        <v>1</v>
      </c>
      <c r="H144">
        <v>1</v>
      </c>
      <c r="I144">
        <v>1874</v>
      </c>
      <c r="J144">
        <v>0</v>
      </c>
      <c r="K144">
        <v>0</v>
      </c>
      <c r="L144">
        <v>1289.5</v>
      </c>
      <c r="M144">
        <v>1832.6</v>
      </c>
      <c r="N144">
        <v>2664.3</v>
      </c>
      <c r="O144">
        <v>61.8</v>
      </c>
      <c r="P144">
        <v>971.2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0.22</v>
      </c>
      <c r="W144">
        <v>3</v>
      </c>
      <c r="X144">
        <v>0.22</v>
      </c>
      <c r="Y144">
        <v>0</v>
      </c>
      <c r="Z144">
        <v>0</v>
      </c>
      <c r="AA144">
        <v>0</v>
      </c>
      <c r="AB144">
        <v>0</v>
      </c>
      <c r="AC144">
        <v>0.22</v>
      </c>
      <c r="AD144">
        <v>0</v>
      </c>
      <c r="AE144">
        <v>0</v>
      </c>
      <c r="AF144">
        <v>0</v>
      </c>
      <c r="AG144">
        <v>1</v>
      </c>
      <c r="AH144">
        <v>0.22</v>
      </c>
      <c r="AI144">
        <v>3</v>
      </c>
      <c r="AJ144">
        <v>0.22</v>
      </c>
      <c r="AK144">
        <v>0</v>
      </c>
      <c r="AL144">
        <v>0</v>
      </c>
      <c r="AM144">
        <v>0</v>
      </c>
      <c r="AN144">
        <v>0</v>
      </c>
      <c r="AO144">
        <v>0.22</v>
      </c>
      <c r="AP144">
        <v>0</v>
      </c>
      <c r="AQ144">
        <v>0</v>
      </c>
      <c r="AR144">
        <v>0</v>
      </c>
      <c r="AS144">
        <v>1</v>
      </c>
      <c r="AT144">
        <v>0.22</v>
      </c>
      <c r="AU144">
        <v>0</v>
      </c>
      <c r="AV144">
        <v>0</v>
      </c>
      <c r="AW144">
        <v>0.2199999988079071</v>
      </c>
      <c r="AX144">
        <v>0</v>
      </c>
      <c r="AY144">
        <v>0.2199999988079071</v>
      </c>
      <c r="AZ144">
        <v>0</v>
      </c>
      <c r="BA144">
        <v>0</v>
      </c>
      <c r="BB144">
        <v>0</v>
      </c>
      <c r="BC144">
        <v>0.2199999988079071</v>
      </c>
      <c r="BD144">
        <v>0</v>
      </c>
      <c r="BE144">
        <v>1</v>
      </c>
      <c r="BF144">
        <v>0</v>
      </c>
      <c r="BG144">
        <v>150</v>
      </c>
      <c r="BH144">
        <v>0.2199999988079071</v>
      </c>
      <c r="BI144">
        <v>0</v>
      </c>
      <c r="BJ144">
        <v>0</v>
      </c>
      <c r="BK144">
        <v>0</v>
      </c>
      <c r="BL144">
        <v>0</v>
      </c>
      <c r="BM144">
        <v>0</v>
      </c>
      <c r="BP144">
        <v>1</v>
      </c>
      <c r="BQ144">
        <v>1</v>
      </c>
      <c r="BR144">
        <v>2024</v>
      </c>
      <c r="BS144">
        <v>1</v>
      </c>
      <c r="BT144">
        <v>1</v>
      </c>
      <c r="BU144">
        <v>1</v>
      </c>
      <c r="BV144">
        <v>2024</v>
      </c>
      <c r="BW144">
        <v>2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</row>
    <row r="145" spans="1:96" x14ac:dyDescent="0.25">
      <c r="A145">
        <v>144</v>
      </c>
      <c r="B145" t="s">
        <v>671</v>
      </c>
      <c r="C145" t="s">
        <v>672</v>
      </c>
      <c r="D145" t="s">
        <v>673</v>
      </c>
      <c r="E145" t="s">
        <v>674</v>
      </c>
      <c r="F145" t="s">
        <v>100</v>
      </c>
      <c r="G145">
        <v>2</v>
      </c>
      <c r="H145">
        <v>1</v>
      </c>
      <c r="I145">
        <v>3016</v>
      </c>
      <c r="J145">
        <v>0</v>
      </c>
      <c r="K145">
        <v>1</v>
      </c>
      <c r="L145">
        <v>1258.5999999999999</v>
      </c>
      <c r="M145">
        <v>1191.3</v>
      </c>
      <c r="N145">
        <v>3413.4</v>
      </c>
      <c r="O145">
        <v>625.1</v>
      </c>
      <c r="P145">
        <v>1550.5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0.96</v>
      </c>
      <c r="W145">
        <v>3</v>
      </c>
      <c r="X145">
        <v>0.96</v>
      </c>
      <c r="Y145">
        <v>0</v>
      </c>
      <c r="Z145">
        <v>0</v>
      </c>
      <c r="AA145">
        <v>0</v>
      </c>
      <c r="AB145">
        <v>0</v>
      </c>
      <c r="AC145">
        <v>0.96</v>
      </c>
      <c r="AD145">
        <v>0</v>
      </c>
      <c r="AE145">
        <v>0</v>
      </c>
      <c r="AF145">
        <v>0</v>
      </c>
      <c r="AG145">
        <v>1</v>
      </c>
      <c r="AH145">
        <v>0.96</v>
      </c>
      <c r="AI145">
        <v>3</v>
      </c>
      <c r="AJ145">
        <v>0.96</v>
      </c>
      <c r="AK145">
        <v>0</v>
      </c>
      <c r="AL145">
        <v>0</v>
      </c>
      <c r="AM145">
        <v>0</v>
      </c>
      <c r="AN145">
        <v>0</v>
      </c>
      <c r="AO145">
        <v>0.36</v>
      </c>
      <c r="AP145">
        <v>0.2</v>
      </c>
      <c r="AQ145">
        <v>0.4</v>
      </c>
      <c r="AR145">
        <v>0</v>
      </c>
      <c r="AS145">
        <v>0.58333333333333337</v>
      </c>
      <c r="AT145">
        <v>0.96</v>
      </c>
      <c r="AU145">
        <v>0</v>
      </c>
      <c r="AV145">
        <v>0</v>
      </c>
      <c r="AW145">
        <v>0.95999997854232788</v>
      </c>
      <c r="AX145">
        <v>0</v>
      </c>
      <c r="AY145">
        <v>0.15999999642372131</v>
      </c>
      <c r="AZ145">
        <v>0.30000001192092901</v>
      </c>
      <c r="BA145">
        <v>0.5</v>
      </c>
      <c r="BB145">
        <v>0</v>
      </c>
      <c r="BC145">
        <v>0.46000000834465032</v>
      </c>
      <c r="BD145">
        <v>0.5</v>
      </c>
      <c r="BE145">
        <v>0.47916667119392908</v>
      </c>
      <c r="BF145">
        <v>0.52083332880607081</v>
      </c>
      <c r="BG145">
        <v>150</v>
      </c>
      <c r="BH145">
        <v>0.15999999642372131</v>
      </c>
      <c r="BI145">
        <v>0.30000001192092901</v>
      </c>
      <c r="BJ145">
        <v>0.5</v>
      </c>
      <c r="BK145">
        <v>0</v>
      </c>
      <c r="BL145">
        <v>1</v>
      </c>
      <c r="BM145">
        <v>1</v>
      </c>
      <c r="BN145">
        <v>2023</v>
      </c>
      <c r="BO145">
        <v>1</v>
      </c>
      <c r="BP145">
        <v>1</v>
      </c>
      <c r="BQ145">
        <v>1</v>
      </c>
      <c r="BR145">
        <v>2023</v>
      </c>
      <c r="BS145">
        <v>2</v>
      </c>
      <c r="BT145">
        <v>1</v>
      </c>
      <c r="BU145">
        <v>1</v>
      </c>
      <c r="BV145">
        <v>2023</v>
      </c>
      <c r="BW145">
        <v>3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</v>
      </c>
    </row>
    <row r="146" spans="1:96" x14ac:dyDescent="0.25">
      <c r="A146">
        <v>145</v>
      </c>
      <c r="B146" t="s">
        <v>675</v>
      </c>
      <c r="C146" t="s">
        <v>676</v>
      </c>
      <c r="D146" t="s">
        <v>677</v>
      </c>
      <c r="E146" t="s">
        <v>531</v>
      </c>
      <c r="F146" t="s">
        <v>310</v>
      </c>
      <c r="G146">
        <v>1</v>
      </c>
      <c r="H146">
        <v>1</v>
      </c>
      <c r="I146">
        <v>238</v>
      </c>
      <c r="J146">
        <v>0</v>
      </c>
      <c r="K146">
        <v>0</v>
      </c>
      <c r="L146">
        <v>31022.2</v>
      </c>
      <c r="M146">
        <v>6215.7</v>
      </c>
      <c r="N146">
        <v>33232.6</v>
      </c>
      <c r="O146">
        <v>1002.3</v>
      </c>
      <c r="P146">
        <v>33135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0.67</v>
      </c>
      <c r="W146">
        <v>2</v>
      </c>
      <c r="X146">
        <v>0</v>
      </c>
      <c r="Y146">
        <v>0</v>
      </c>
      <c r="Z146">
        <v>0.67</v>
      </c>
      <c r="AA146">
        <v>0</v>
      </c>
      <c r="AB146">
        <v>0</v>
      </c>
      <c r="AC146">
        <v>0</v>
      </c>
      <c r="AD146">
        <v>0.2</v>
      </c>
      <c r="AE146">
        <v>0.47</v>
      </c>
      <c r="AF146">
        <v>0</v>
      </c>
      <c r="AG146">
        <v>0.29850746268656719</v>
      </c>
      <c r="AH146">
        <v>0.67</v>
      </c>
      <c r="AI146">
        <v>2</v>
      </c>
      <c r="AJ146">
        <v>0</v>
      </c>
      <c r="AK146">
        <v>0</v>
      </c>
      <c r="AL146">
        <v>0.66999999999999993</v>
      </c>
      <c r="AM146">
        <v>0</v>
      </c>
      <c r="AN146">
        <v>0</v>
      </c>
      <c r="AO146">
        <v>0</v>
      </c>
      <c r="AP146">
        <v>0.27</v>
      </c>
      <c r="AQ146">
        <v>0.4</v>
      </c>
      <c r="AR146">
        <v>0</v>
      </c>
      <c r="AS146">
        <v>0.40298507462686572</v>
      </c>
      <c r="AT146">
        <v>0.67</v>
      </c>
      <c r="AU146">
        <v>0.67000001668930054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0.67000001668930054</v>
      </c>
      <c r="BB146">
        <v>0</v>
      </c>
      <c r="BC146">
        <v>0</v>
      </c>
      <c r="BD146">
        <v>0.67000001668930054</v>
      </c>
      <c r="BE146">
        <v>0</v>
      </c>
      <c r="BF146">
        <v>1</v>
      </c>
      <c r="BG146">
        <v>150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2023</v>
      </c>
      <c r="BO146">
        <v>1</v>
      </c>
      <c r="BP146">
        <v>1</v>
      </c>
      <c r="BQ146">
        <v>1</v>
      </c>
      <c r="BR146">
        <v>2023</v>
      </c>
      <c r="BS146">
        <v>2</v>
      </c>
      <c r="BT146">
        <v>1</v>
      </c>
      <c r="BU146">
        <v>1</v>
      </c>
      <c r="BV146">
        <v>2023</v>
      </c>
      <c r="BW146">
        <v>3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</row>
    <row r="147" spans="1:96" x14ac:dyDescent="0.25">
      <c r="A147">
        <v>146</v>
      </c>
      <c r="B147" t="s">
        <v>678</v>
      </c>
      <c r="C147" t="s">
        <v>679</v>
      </c>
      <c r="D147" t="s">
        <v>680</v>
      </c>
      <c r="E147" t="s">
        <v>681</v>
      </c>
      <c r="F147" t="s">
        <v>310</v>
      </c>
      <c r="G147">
        <v>3</v>
      </c>
      <c r="H147">
        <v>1</v>
      </c>
      <c r="I147">
        <v>521</v>
      </c>
      <c r="J147">
        <v>0</v>
      </c>
      <c r="K147">
        <v>0</v>
      </c>
      <c r="L147">
        <v>37536.6</v>
      </c>
      <c r="M147">
        <v>5049.7</v>
      </c>
      <c r="N147">
        <v>39747</v>
      </c>
      <c r="O147">
        <v>636.29999999999995</v>
      </c>
      <c r="P147">
        <v>39649.4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6.82</v>
      </c>
      <c r="W147">
        <v>2</v>
      </c>
      <c r="X147">
        <v>0.5</v>
      </c>
      <c r="Y147">
        <v>0</v>
      </c>
      <c r="Z147">
        <v>6.32</v>
      </c>
      <c r="AA147">
        <v>0</v>
      </c>
      <c r="AB147">
        <v>0</v>
      </c>
      <c r="AC147">
        <v>0.8</v>
      </c>
      <c r="AD147">
        <v>0.8</v>
      </c>
      <c r="AE147">
        <v>0</v>
      </c>
      <c r="AF147">
        <v>5.22</v>
      </c>
      <c r="AG147">
        <v>0.23460410557184749</v>
      </c>
      <c r="AH147">
        <v>6.82</v>
      </c>
      <c r="AI147">
        <v>2</v>
      </c>
      <c r="AJ147">
        <v>0</v>
      </c>
      <c r="AK147">
        <v>0</v>
      </c>
      <c r="AL147">
        <v>6.3999999999999932</v>
      </c>
      <c r="AM147">
        <v>0</v>
      </c>
      <c r="AN147">
        <v>0.42</v>
      </c>
      <c r="AO147">
        <v>0</v>
      </c>
      <c r="AP147">
        <v>1.8</v>
      </c>
      <c r="AQ147">
        <v>0</v>
      </c>
      <c r="AR147">
        <v>5.0199999999999978</v>
      </c>
      <c r="AS147">
        <v>0.2639296187683286</v>
      </c>
      <c r="AT147">
        <v>6.82</v>
      </c>
      <c r="AU147">
        <v>6.820000171661377</v>
      </c>
      <c r="AV147">
        <v>0</v>
      </c>
      <c r="AW147">
        <v>0</v>
      </c>
      <c r="AX147">
        <v>0</v>
      </c>
      <c r="AY147">
        <v>0.30000001192092901</v>
      </c>
      <c r="AZ147">
        <v>2.220000028610229</v>
      </c>
      <c r="BA147">
        <v>0</v>
      </c>
      <c r="BB147">
        <v>4.3000001907348633</v>
      </c>
      <c r="BC147">
        <v>2.520000040531158</v>
      </c>
      <c r="BD147">
        <v>4.3000001907348633</v>
      </c>
      <c r="BE147">
        <v>0.36950145968886011</v>
      </c>
      <c r="BF147">
        <v>0.63049854031113994</v>
      </c>
      <c r="BG147">
        <v>150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2</v>
      </c>
      <c r="BN147">
        <v>2023</v>
      </c>
      <c r="BO147">
        <v>1</v>
      </c>
      <c r="BP147">
        <v>1</v>
      </c>
      <c r="BQ147">
        <v>3</v>
      </c>
      <c r="BR147">
        <v>2024</v>
      </c>
      <c r="BS147">
        <v>1</v>
      </c>
      <c r="BT147">
        <v>1</v>
      </c>
      <c r="BU147">
        <v>4</v>
      </c>
      <c r="BV147">
        <v>2025</v>
      </c>
      <c r="BW147">
        <v>1</v>
      </c>
      <c r="BX147">
        <v>0</v>
      </c>
      <c r="BY147">
        <v>1</v>
      </c>
      <c r="BZ147">
        <v>1</v>
      </c>
      <c r="CA147">
        <v>1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25">
      <c r="A148">
        <v>147</v>
      </c>
      <c r="B148" t="s">
        <v>682</v>
      </c>
      <c r="C148" t="s">
        <v>683</v>
      </c>
      <c r="D148" t="s">
        <v>684</v>
      </c>
      <c r="E148" t="s">
        <v>685</v>
      </c>
      <c r="F148" t="s">
        <v>310</v>
      </c>
      <c r="G148">
        <v>1</v>
      </c>
      <c r="H148">
        <v>1</v>
      </c>
      <c r="I148">
        <v>138</v>
      </c>
      <c r="J148">
        <v>0</v>
      </c>
      <c r="K148">
        <v>0</v>
      </c>
      <c r="L148">
        <v>35235</v>
      </c>
      <c r="M148">
        <v>2018.5</v>
      </c>
      <c r="N148">
        <v>37445.4</v>
      </c>
      <c r="O148">
        <v>413.6</v>
      </c>
      <c r="P148">
        <v>37347.800000000003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0.81</v>
      </c>
      <c r="W148">
        <v>3.5</v>
      </c>
      <c r="X148">
        <v>0</v>
      </c>
      <c r="Y148">
        <v>0</v>
      </c>
      <c r="Z148">
        <v>0.81</v>
      </c>
      <c r="AA148">
        <v>0</v>
      </c>
      <c r="AB148">
        <v>0</v>
      </c>
      <c r="AC148">
        <v>0</v>
      </c>
      <c r="AD148">
        <v>0.21</v>
      </c>
      <c r="AE148">
        <v>0.2</v>
      </c>
      <c r="AF148">
        <v>0.4</v>
      </c>
      <c r="AG148">
        <v>0.25925925925925919</v>
      </c>
      <c r="AH148">
        <v>0.81</v>
      </c>
      <c r="AI148">
        <v>3.5</v>
      </c>
      <c r="AJ148">
        <v>0</v>
      </c>
      <c r="AK148">
        <v>0</v>
      </c>
      <c r="AL148">
        <v>0.80999999999999994</v>
      </c>
      <c r="AM148">
        <v>0</v>
      </c>
      <c r="AN148">
        <v>0</v>
      </c>
      <c r="AO148">
        <v>0</v>
      </c>
      <c r="AP148">
        <v>0.21</v>
      </c>
      <c r="AQ148">
        <v>0</v>
      </c>
      <c r="AR148">
        <v>0.6</v>
      </c>
      <c r="AS148">
        <v>0.25925925925925919</v>
      </c>
      <c r="AT148">
        <v>0.81</v>
      </c>
      <c r="AU148">
        <v>0.81000000238418579</v>
      </c>
      <c r="AV148">
        <v>0</v>
      </c>
      <c r="AW148">
        <v>0</v>
      </c>
      <c r="AX148">
        <v>0</v>
      </c>
      <c r="AY148">
        <v>0</v>
      </c>
      <c r="AZ148">
        <v>0.2099999934434891</v>
      </c>
      <c r="BA148">
        <v>0.30000001192092901</v>
      </c>
      <c r="BB148">
        <v>0.30000001192092901</v>
      </c>
      <c r="BC148">
        <v>0.2099999934434891</v>
      </c>
      <c r="BD148">
        <v>0.60000002384185791</v>
      </c>
      <c r="BE148">
        <v>0.25925924563222602</v>
      </c>
      <c r="BF148">
        <v>0.74074075436777398</v>
      </c>
      <c r="BG148">
        <v>150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1</v>
      </c>
      <c r="BN148">
        <v>2023</v>
      </c>
      <c r="BO148">
        <v>1</v>
      </c>
      <c r="BP148">
        <v>1</v>
      </c>
      <c r="BQ148">
        <v>2</v>
      </c>
      <c r="BR148">
        <v>2024</v>
      </c>
      <c r="BS148">
        <v>1</v>
      </c>
      <c r="BT148">
        <v>1</v>
      </c>
      <c r="BU148">
        <v>2</v>
      </c>
      <c r="BV148">
        <v>2024</v>
      </c>
      <c r="BW148">
        <v>2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0</v>
      </c>
      <c r="CD148">
        <v>0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</row>
    <row r="149" spans="1:96" x14ac:dyDescent="0.25">
      <c r="A149">
        <v>148</v>
      </c>
      <c r="B149" t="s">
        <v>686</v>
      </c>
      <c r="C149" t="s">
        <v>687</v>
      </c>
      <c r="D149" t="s">
        <v>688</v>
      </c>
      <c r="E149" t="s">
        <v>689</v>
      </c>
      <c r="F149" t="s">
        <v>310</v>
      </c>
      <c r="G149">
        <v>2</v>
      </c>
      <c r="H149">
        <v>1</v>
      </c>
      <c r="I149">
        <v>581</v>
      </c>
      <c r="J149">
        <v>1</v>
      </c>
      <c r="K149">
        <v>0</v>
      </c>
      <c r="L149">
        <v>37205.699999999997</v>
      </c>
      <c r="M149">
        <v>3298.1</v>
      </c>
      <c r="N149">
        <v>39416.1</v>
      </c>
      <c r="O149">
        <v>2401.1999999999998</v>
      </c>
      <c r="P149">
        <v>39318.400000000001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7.17</v>
      </c>
      <c r="W149">
        <v>2</v>
      </c>
      <c r="X149">
        <v>0.6</v>
      </c>
      <c r="Y149">
        <v>0</v>
      </c>
      <c r="Z149">
        <v>6.57</v>
      </c>
      <c r="AA149">
        <v>0</v>
      </c>
      <c r="AB149">
        <v>0</v>
      </c>
      <c r="AC149">
        <v>0</v>
      </c>
      <c r="AD149">
        <v>0.5</v>
      </c>
      <c r="AE149">
        <v>6.47</v>
      </c>
      <c r="AF149">
        <v>0.2</v>
      </c>
      <c r="AG149">
        <v>6.9735006973500699E-2</v>
      </c>
      <c r="AH149">
        <v>7.17</v>
      </c>
      <c r="AI149">
        <v>2</v>
      </c>
      <c r="AJ149">
        <v>0.2</v>
      </c>
      <c r="AK149">
        <v>0</v>
      </c>
      <c r="AL149">
        <v>6.9699999999999918</v>
      </c>
      <c r="AM149">
        <v>0</v>
      </c>
      <c r="AN149">
        <v>0</v>
      </c>
      <c r="AO149">
        <v>0</v>
      </c>
      <c r="AP149">
        <v>0.2</v>
      </c>
      <c r="AQ149">
        <v>0</v>
      </c>
      <c r="AR149">
        <v>6.9699999999999918</v>
      </c>
      <c r="AS149">
        <v>2.789400278940031E-2</v>
      </c>
      <c r="AT149">
        <v>7.17</v>
      </c>
      <c r="AU149">
        <v>6.570000171661377</v>
      </c>
      <c r="AV149">
        <v>0</v>
      </c>
      <c r="AW149">
        <v>0.60000002384185791</v>
      </c>
      <c r="AX149">
        <v>0</v>
      </c>
      <c r="AY149">
        <v>0</v>
      </c>
      <c r="AZ149">
        <v>0.56999999284744263</v>
      </c>
      <c r="BA149">
        <v>6.5999999046325684</v>
      </c>
      <c r="BB149">
        <v>0</v>
      </c>
      <c r="BC149">
        <v>0.56999999284744263</v>
      </c>
      <c r="BD149">
        <v>6.5999999046325684</v>
      </c>
      <c r="BE149">
        <v>7.9497908088921515E-2</v>
      </c>
      <c r="BF149">
        <v>0.92050209191107846</v>
      </c>
      <c r="BG149">
        <v>150</v>
      </c>
      <c r="BH149">
        <v>0</v>
      </c>
      <c r="BI149">
        <v>0</v>
      </c>
      <c r="BJ149">
        <v>0.60000002384185791</v>
      </c>
      <c r="BK149">
        <v>0</v>
      </c>
      <c r="BL149">
        <v>0</v>
      </c>
      <c r="BM149">
        <v>0</v>
      </c>
      <c r="BP149">
        <v>1</v>
      </c>
      <c r="BQ149">
        <v>1</v>
      </c>
      <c r="BR149">
        <v>2024</v>
      </c>
      <c r="BS149">
        <v>1</v>
      </c>
      <c r="BT149">
        <v>1</v>
      </c>
      <c r="BU149">
        <v>1</v>
      </c>
      <c r="BV149">
        <v>2024</v>
      </c>
      <c r="BW149">
        <v>2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</row>
    <row r="150" spans="1:96" x14ac:dyDescent="0.25">
      <c r="A150">
        <v>149</v>
      </c>
      <c r="B150" t="s">
        <v>690</v>
      </c>
      <c r="C150" t="s">
        <v>691</v>
      </c>
      <c r="D150" t="s">
        <v>692</v>
      </c>
      <c r="E150" t="s">
        <v>693</v>
      </c>
      <c r="F150" t="s">
        <v>310</v>
      </c>
      <c r="G150">
        <v>2</v>
      </c>
      <c r="H150">
        <v>1</v>
      </c>
      <c r="I150">
        <v>484</v>
      </c>
      <c r="J150">
        <v>1</v>
      </c>
      <c r="K150">
        <v>0</v>
      </c>
      <c r="L150">
        <v>34216.6</v>
      </c>
      <c r="M150">
        <v>1000</v>
      </c>
      <c r="N150">
        <v>36427</v>
      </c>
      <c r="O150">
        <v>307.10000000000002</v>
      </c>
      <c r="P150">
        <v>36329.4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1.28</v>
      </c>
      <c r="W150">
        <v>3</v>
      </c>
      <c r="X150">
        <v>1.28</v>
      </c>
      <c r="Y150">
        <v>0</v>
      </c>
      <c r="Z150">
        <v>0</v>
      </c>
      <c r="AA150">
        <v>0</v>
      </c>
      <c r="AB150">
        <v>0</v>
      </c>
      <c r="AC150">
        <v>1.28</v>
      </c>
      <c r="AD150">
        <v>0</v>
      </c>
      <c r="AE150">
        <v>0</v>
      </c>
      <c r="AF150">
        <v>0</v>
      </c>
      <c r="AG150">
        <v>1</v>
      </c>
      <c r="AH150">
        <v>1.28</v>
      </c>
      <c r="AI150">
        <v>3</v>
      </c>
      <c r="AJ150">
        <v>1.28</v>
      </c>
      <c r="AK150">
        <v>0</v>
      </c>
      <c r="AL150">
        <v>0</v>
      </c>
      <c r="AM150">
        <v>0</v>
      </c>
      <c r="AN150">
        <v>0</v>
      </c>
      <c r="AO150">
        <v>1.08</v>
      </c>
      <c r="AP150">
        <v>0.2</v>
      </c>
      <c r="AQ150">
        <v>0</v>
      </c>
      <c r="AR150">
        <v>0</v>
      </c>
      <c r="AS150">
        <v>1</v>
      </c>
      <c r="AT150">
        <v>1.28</v>
      </c>
      <c r="AU150">
        <v>0</v>
      </c>
      <c r="AV150">
        <v>0</v>
      </c>
      <c r="AW150">
        <v>1.279999971389771</v>
      </c>
      <c r="AX150">
        <v>0</v>
      </c>
      <c r="AY150">
        <v>0.89999997615814209</v>
      </c>
      <c r="AZ150">
        <v>0.1800000071525574</v>
      </c>
      <c r="BA150">
        <v>0</v>
      </c>
      <c r="BB150">
        <v>0.20000000298023221</v>
      </c>
      <c r="BC150">
        <v>1.079999983310699</v>
      </c>
      <c r="BD150">
        <v>0.20000000298023221</v>
      </c>
      <c r="BE150">
        <v>0.84374999599822331</v>
      </c>
      <c r="BF150">
        <v>0.15625000400177669</v>
      </c>
      <c r="BG150">
        <v>150</v>
      </c>
      <c r="BH150">
        <v>0.89999997615814209</v>
      </c>
      <c r="BI150">
        <v>0.1800000071525574</v>
      </c>
      <c r="BJ150">
        <v>0</v>
      </c>
      <c r="BK150">
        <v>0.20000000298023221</v>
      </c>
      <c r="BL150">
        <v>0</v>
      </c>
      <c r="BM150">
        <v>0</v>
      </c>
      <c r="BP150">
        <v>0</v>
      </c>
      <c r="BQ150">
        <v>0</v>
      </c>
      <c r="BT150">
        <v>0</v>
      </c>
      <c r="BU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1</v>
      </c>
      <c r="CR150">
        <v>0</v>
      </c>
    </row>
    <row r="151" spans="1:96" x14ac:dyDescent="0.25">
      <c r="A151">
        <v>150</v>
      </c>
      <c r="B151" t="s">
        <v>694</v>
      </c>
      <c r="C151" t="s">
        <v>695</v>
      </c>
      <c r="D151" t="s">
        <v>696</v>
      </c>
      <c r="E151" t="s">
        <v>697</v>
      </c>
      <c r="F151" t="s">
        <v>310</v>
      </c>
      <c r="G151">
        <v>2</v>
      </c>
      <c r="H151">
        <v>1</v>
      </c>
      <c r="I151">
        <v>584</v>
      </c>
      <c r="J151">
        <v>1</v>
      </c>
      <c r="K151">
        <v>0</v>
      </c>
      <c r="L151">
        <v>34399.4</v>
      </c>
      <c r="M151">
        <v>1719.1</v>
      </c>
      <c r="N151">
        <v>36609.800000000003</v>
      </c>
      <c r="O151">
        <v>1643.7</v>
      </c>
      <c r="P151">
        <v>36512.199999999997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</v>
      </c>
      <c r="W151">
        <v>1</v>
      </c>
      <c r="X151">
        <v>0</v>
      </c>
      <c r="Y151">
        <v>0</v>
      </c>
      <c r="Z151">
        <v>2.27</v>
      </c>
      <c r="AA151">
        <v>0</v>
      </c>
      <c r="AB151">
        <v>0</v>
      </c>
      <c r="AC151">
        <v>0</v>
      </c>
      <c r="AD151">
        <v>0</v>
      </c>
      <c r="AE151">
        <v>2.27</v>
      </c>
      <c r="AF151">
        <v>0</v>
      </c>
      <c r="AG151">
        <v>0</v>
      </c>
      <c r="AH151">
        <v>2.27</v>
      </c>
      <c r="AI151">
        <v>1.5</v>
      </c>
      <c r="AJ151">
        <v>0</v>
      </c>
      <c r="AK151">
        <v>0</v>
      </c>
      <c r="AL151">
        <v>2.27</v>
      </c>
      <c r="AM151">
        <v>0</v>
      </c>
      <c r="AN151">
        <v>0</v>
      </c>
      <c r="AO151">
        <v>0</v>
      </c>
      <c r="AP151">
        <v>0</v>
      </c>
      <c r="AQ151">
        <v>2.27</v>
      </c>
      <c r="AR151">
        <v>0</v>
      </c>
      <c r="AS151">
        <v>0</v>
      </c>
      <c r="AT151">
        <v>2.27</v>
      </c>
      <c r="AU151">
        <v>2.2699999809265141</v>
      </c>
      <c r="AV151">
        <v>0</v>
      </c>
      <c r="AW151">
        <v>0</v>
      </c>
      <c r="AX151">
        <v>0</v>
      </c>
      <c r="AY151">
        <v>0</v>
      </c>
      <c r="AZ151">
        <v>2.2699999809265141</v>
      </c>
      <c r="BA151">
        <v>0</v>
      </c>
      <c r="BB151">
        <v>0</v>
      </c>
      <c r="BC151">
        <v>2.2699999809265141</v>
      </c>
      <c r="BD151">
        <v>0</v>
      </c>
      <c r="BE151">
        <v>1</v>
      </c>
      <c r="BF151">
        <v>0</v>
      </c>
      <c r="BG151">
        <v>150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P151">
        <v>0</v>
      </c>
      <c r="BQ151">
        <v>0</v>
      </c>
      <c r="BT151">
        <v>0</v>
      </c>
      <c r="BU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x14ac:dyDescent="0.25">
      <c r="A152">
        <v>151</v>
      </c>
      <c r="B152" t="s">
        <v>698</v>
      </c>
      <c r="C152" t="s">
        <v>699</v>
      </c>
      <c r="D152" t="s">
        <v>700</v>
      </c>
      <c r="E152" t="s">
        <v>701</v>
      </c>
      <c r="F152" t="s">
        <v>132</v>
      </c>
      <c r="G152">
        <v>2</v>
      </c>
      <c r="H152">
        <v>1</v>
      </c>
      <c r="I152">
        <v>912</v>
      </c>
      <c r="J152">
        <v>0</v>
      </c>
      <c r="K152">
        <v>0</v>
      </c>
      <c r="L152">
        <v>6121.3</v>
      </c>
      <c r="M152">
        <v>3023</v>
      </c>
      <c r="N152">
        <v>15880.5</v>
      </c>
      <c r="O152">
        <v>292</v>
      </c>
      <c r="P152">
        <v>14017.6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1.66</v>
      </c>
      <c r="W152">
        <v>3.5</v>
      </c>
      <c r="X152">
        <v>1.66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1.66</v>
      </c>
      <c r="AE152">
        <v>0</v>
      </c>
      <c r="AF152">
        <v>0</v>
      </c>
      <c r="AG152">
        <v>1</v>
      </c>
      <c r="AH152">
        <v>1.66</v>
      </c>
      <c r="AI152">
        <v>3.5</v>
      </c>
      <c r="AJ152">
        <v>1.66</v>
      </c>
      <c r="AK152">
        <v>0</v>
      </c>
      <c r="AL152">
        <v>0</v>
      </c>
      <c r="AM152">
        <v>0</v>
      </c>
      <c r="AN152">
        <v>0</v>
      </c>
      <c r="AO152">
        <v>1.2</v>
      </c>
      <c r="AP152">
        <v>0.46</v>
      </c>
      <c r="AQ152">
        <v>0</v>
      </c>
      <c r="AR152">
        <v>0</v>
      </c>
      <c r="AS152">
        <v>1</v>
      </c>
      <c r="AT152">
        <v>1.66</v>
      </c>
      <c r="AU152">
        <v>0</v>
      </c>
      <c r="AV152">
        <v>0</v>
      </c>
      <c r="AW152">
        <v>1.6599999666213989</v>
      </c>
      <c r="AX152">
        <v>0</v>
      </c>
      <c r="AY152">
        <v>0.10000000149011611</v>
      </c>
      <c r="AZ152">
        <v>1.559999942779541</v>
      </c>
      <c r="BA152">
        <v>0</v>
      </c>
      <c r="BB152">
        <v>0</v>
      </c>
      <c r="BC152">
        <v>1.6599999442696569</v>
      </c>
      <c r="BD152">
        <v>0</v>
      </c>
      <c r="BE152">
        <v>1</v>
      </c>
      <c r="BF152">
        <v>0</v>
      </c>
      <c r="BG152">
        <v>150</v>
      </c>
      <c r="BH152">
        <v>0.10000000149011611</v>
      </c>
      <c r="BI152">
        <v>1.559999942779541</v>
      </c>
      <c r="BJ152">
        <v>0</v>
      </c>
      <c r="BK152">
        <v>0</v>
      </c>
      <c r="BL152">
        <v>1</v>
      </c>
      <c r="BM152">
        <v>1</v>
      </c>
      <c r="BN152">
        <v>2023</v>
      </c>
      <c r="BO152">
        <v>1</v>
      </c>
      <c r="BP152">
        <v>1</v>
      </c>
      <c r="BQ152">
        <v>2</v>
      </c>
      <c r="BR152">
        <v>2024</v>
      </c>
      <c r="BS152">
        <v>1</v>
      </c>
      <c r="BT152">
        <v>1</v>
      </c>
      <c r="BU152">
        <v>3</v>
      </c>
      <c r="BV152">
        <v>2025</v>
      </c>
      <c r="BW152">
        <v>1</v>
      </c>
      <c r="BX152">
        <v>0</v>
      </c>
      <c r="BY152">
        <v>0</v>
      </c>
      <c r="BZ152">
        <v>1</v>
      </c>
      <c r="CA152">
        <v>1</v>
      </c>
      <c r="CB152">
        <v>1</v>
      </c>
      <c r="CC152">
        <v>0</v>
      </c>
      <c r="CD152">
        <v>0</v>
      </c>
      <c r="CE152">
        <v>1</v>
      </c>
      <c r="CF152">
        <v>1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25">
      <c r="A153">
        <v>152</v>
      </c>
      <c r="B153" t="s">
        <v>702</v>
      </c>
      <c r="C153" t="s">
        <v>703</v>
      </c>
      <c r="D153" t="s">
        <v>704</v>
      </c>
      <c r="E153" t="s">
        <v>705</v>
      </c>
      <c r="F153" t="s">
        <v>100</v>
      </c>
      <c r="G153">
        <v>1</v>
      </c>
      <c r="H153">
        <v>1</v>
      </c>
      <c r="I153">
        <v>3189</v>
      </c>
      <c r="J153">
        <v>0</v>
      </c>
      <c r="K153">
        <v>0</v>
      </c>
      <c r="L153">
        <v>575.9</v>
      </c>
      <c r="M153">
        <v>1149.0999999999999</v>
      </c>
      <c r="N153">
        <v>2120.5</v>
      </c>
      <c r="O153">
        <v>0</v>
      </c>
      <c r="P153">
        <v>257.60000000000002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0.39</v>
      </c>
      <c r="W153">
        <v>3</v>
      </c>
      <c r="X153">
        <v>0.39</v>
      </c>
      <c r="Y153">
        <v>0</v>
      </c>
      <c r="Z153">
        <v>0</v>
      </c>
      <c r="AA153">
        <v>0</v>
      </c>
      <c r="AB153">
        <v>0</v>
      </c>
      <c r="AC153">
        <v>0.39</v>
      </c>
      <c r="AD153">
        <v>0</v>
      </c>
      <c r="AE153">
        <v>0</v>
      </c>
      <c r="AF153">
        <v>0</v>
      </c>
      <c r="AG153">
        <v>1</v>
      </c>
      <c r="AH153">
        <v>0.39</v>
      </c>
      <c r="AI153">
        <v>3</v>
      </c>
      <c r="AJ153">
        <v>0.39</v>
      </c>
      <c r="AK153">
        <v>0</v>
      </c>
      <c r="AL153">
        <v>0</v>
      </c>
      <c r="AM153">
        <v>0</v>
      </c>
      <c r="AN153">
        <v>0</v>
      </c>
      <c r="AO153">
        <v>0.2</v>
      </c>
      <c r="AP153">
        <v>0.19</v>
      </c>
      <c r="AQ153">
        <v>0</v>
      </c>
      <c r="AR153">
        <v>0</v>
      </c>
      <c r="AS153">
        <v>1</v>
      </c>
      <c r="AT153">
        <v>0.39</v>
      </c>
      <c r="AU153">
        <v>0</v>
      </c>
      <c r="AV153">
        <v>0</v>
      </c>
      <c r="AW153">
        <v>0.38999998569488531</v>
      </c>
      <c r="AX153">
        <v>0</v>
      </c>
      <c r="AY153">
        <v>0.10000000149011611</v>
      </c>
      <c r="AZ153">
        <v>0.28999999165534968</v>
      </c>
      <c r="BA153">
        <v>0</v>
      </c>
      <c r="BB153">
        <v>0</v>
      </c>
      <c r="BC153">
        <v>0.38999999314546591</v>
      </c>
      <c r="BD153">
        <v>0</v>
      </c>
      <c r="BE153">
        <v>1</v>
      </c>
      <c r="BF153">
        <v>0</v>
      </c>
      <c r="BG153">
        <v>150</v>
      </c>
      <c r="BH153">
        <v>0.10000000149011611</v>
      </c>
      <c r="BI153">
        <v>0.28999999165534968</v>
      </c>
      <c r="BJ153">
        <v>0</v>
      </c>
      <c r="BK153">
        <v>0</v>
      </c>
      <c r="BL153">
        <v>1</v>
      </c>
      <c r="BM153">
        <v>1</v>
      </c>
      <c r="BN153">
        <v>2023</v>
      </c>
      <c r="BO153">
        <v>1</v>
      </c>
      <c r="BP153">
        <v>1</v>
      </c>
      <c r="BQ153">
        <v>1</v>
      </c>
      <c r="BR153">
        <v>2023</v>
      </c>
      <c r="BS153">
        <v>2</v>
      </c>
      <c r="BT153">
        <v>1</v>
      </c>
      <c r="BU153">
        <v>1</v>
      </c>
      <c r="BV153">
        <v>2023</v>
      </c>
      <c r="BW153">
        <v>3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25">
      <c r="A154">
        <v>153</v>
      </c>
      <c r="B154" t="s">
        <v>706</v>
      </c>
      <c r="C154" t="s">
        <v>707</v>
      </c>
      <c r="D154" t="s">
        <v>708</v>
      </c>
      <c r="E154" t="s">
        <v>709</v>
      </c>
      <c r="F154" t="s">
        <v>710</v>
      </c>
      <c r="G154">
        <v>2</v>
      </c>
      <c r="H154">
        <v>2</v>
      </c>
      <c r="I154">
        <v>700</v>
      </c>
      <c r="J154">
        <v>0</v>
      </c>
      <c r="K154">
        <v>0</v>
      </c>
      <c r="L154">
        <v>4661.3999999999996</v>
      </c>
      <c r="M154">
        <v>4844.3999999999996</v>
      </c>
      <c r="N154">
        <v>9406.1</v>
      </c>
      <c r="O154">
        <v>1615.3</v>
      </c>
      <c r="P154">
        <v>7804.8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2.94</v>
      </c>
      <c r="W154">
        <v>3.5</v>
      </c>
      <c r="X154">
        <v>2.94</v>
      </c>
      <c r="Y154">
        <v>0</v>
      </c>
      <c r="Z154">
        <v>0</v>
      </c>
      <c r="AA154">
        <v>0</v>
      </c>
      <c r="AB154">
        <v>0</v>
      </c>
      <c r="AC154">
        <v>2.94</v>
      </c>
      <c r="AD154">
        <v>0</v>
      </c>
      <c r="AE154">
        <v>0</v>
      </c>
      <c r="AF154">
        <v>0</v>
      </c>
      <c r="AG154">
        <v>1</v>
      </c>
      <c r="AH154">
        <v>2.94</v>
      </c>
      <c r="AI154">
        <v>3.5</v>
      </c>
      <c r="AJ154">
        <v>2.9400000000000008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2.9400000000000008</v>
      </c>
      <c r="AQ154">
        <v>0</v>
      </c>
      <c r="AR154">
        <v>0</v>
      </c>
      <c r="AS154">
        <v>1</v>
      </c>
      <c r="AT154">
        <v>2.94</v>
      </c>
      <c r="AU154">
        <v>0</v>
      </c>
      <c r="AV154">
        <v>0</v>
      </c>
      <c r="AW154">
        <v>2.940000057220459</v>
      </c>
      <c r="AX154">
        <v>0</v>
      </c>
      <c r="AY154">
        <v>0</v>
      </c>
      <c r="AZ154">
        <v>2.0399999618530269</v>
      </c>
      <c r="BA154">
        <v>0.80000001192092896</v>
      </c>
      <c r="BB154">
        <v>0.10000000149011611</v>
      </c>
      <c r="BC154">
        <v>2.0399999618530269</v>
      </c>
      <c r="BD154">
        <v>0.90000001341104507</v>
      </c>
      <c r="BE154">
        <v>0.69387754388324219</v>
      </c>
      <c r="BF154">
        <v>0.30612245611675781</v>
      </c>
      <c r="BG154">
        <v>150</v>
      </c>
      <c r="BH154">
        <v>0</v>
      </c>
      <c r="BI154">
        <v>2.0399999618530269</v>
      </c>
      <c r="BJ154">
        <v>0.80000001192092896</v>
      </c>
      <c r="BK154">
        <v>0.10000000149011611</v>
      </c>
      <c r="BL154">
        <v>1</v>
      </c>
      <c r="BM154">
        <v>1</v>
      </c>
      <c r="BN154">
        <v>2023</v>
      </c>
      <c r="BO154">
        <v>1</v>
      </c>
      <c r="BP154">
        <v>1</v>
      </c>
      <c r="BQ154">
        <v>1</v>
      </c>
      <c r="BR154">
        <v>2023</v>
      </c>
      <c r="BS154">
        <v>2</v>
      </c>
      <c r="BT154">
        <v>1</v>
      </c>
      <c r="BU154">
        <v>1</v>
      </c>
      <c r="BV154">
        <v>2023</v>
      </c>
      <c r="BW154">
        <v>3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25">
      <c r="A155">
        <v>154</v>
      </c>
      <c r="B155" t="s">
        <v>711</v>
      </c>
      <c r="C155" t="s">
        <v>712</v>
      </c>
      <c r="D155" t="s">
        <v>713</v>
      </c>
      <c r="E155" t="s">
        <v>714</v>
      </c>
      <c r="F155" t="s">
        <v>310</v>
      </c>
      <c r="G155">
        <v>1</v>
      </c>
      <c r="H155">
        <v>1</v>
      </c>
      <c r="I155">
        <v>385</v>
      </c>
      <c r="J155">
        <v>1</v>
      </c>
      <c r="K155">
        <v>1</v>
      </c>
      <c r="L155">
        <v>21094.2</v>
      </c>
      <c r="M155">
        <v>8100.1</v>
      </c>
      <c r="N155">
        <v>23304.6</v>
      </c>
      <c r="O155">
        <v>219.7</v>
      </c>
      <c r="P155">
        <v>23207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0.38</v>
      </c>
      <c r="W155">
        <v>1</v>
      </c>
      <c r="X155">
        <v>0</v>
      </c>
      <c r="Y155">
        <v>0</v>
      </c>
      <c r="Z155">
        <v>0.38</v>
      </c>
      <c r="AA155">
        <v>0</v>
      </c>
      <c r="AB155">
        <v>0</v>
      </c>
      <c r="AC155">
        <v>0</v>
      </c>
      <c r="AD155">
        <v>0.38</v>
      </c>
      <c r="AE155">
        <v>0</v>
      </c>
      <c r="AF155">
        <v>0</v>
      </c>
      <c r="AG155">
        <v>1</v>
      </c>
      <c r="AH155">
        <v>0.38</v>
      </c>
      <c r="AI155">
        <v>1.5</v>
      </c>
      <c r="AJ155">
        <v>0</v>
      </c>
      <c r="AK155">
        <v>0</v>
      </c>
      <c r="AL155">
        <v>0.38000000000000012</v>
      </c>
      <c r="AM155">
        <v>0</v>
      </c>
      <c r="AN155">
        <v>0</v>
      </c>
      <c r="AO155">
        <v>0</v>
      </c>
      <c r="AP155">
        <v>0.38000000000000012</v>
      </c>
      <c r="AQ155">
        <v>0</v>
      </c>
      <c r="AR155">
        <v>0</v>
      </c>
      <c r="AS155">
        <v>1</v>
      </c>
      <c r="AT155">
        <v>0.38</v>
      </c>
      <c r="AU155">
        <v>0.37999999523162842</v>
      </c>
      <c r="AV155">
        <v>0</v>
      </c>
      <c r="AW155">
        <v>0</v>
      </c>
      <c r="AX155">
        <v>0</v>
      </c>
      <c r="AY155">
        <v>0</v>
      </c>
      <c r="AZ155">
        <v>0.37999999523162842</v>
      </c>
      <c r="BA155">
        <v>0</v>
      </c>
      <c r="BB155">
        <v>0</v>
      </c>
      <c r="BC155">
        <v>0.37999999523162842</v>
      </c>
      <c r="BD155">
        <v>0</v>
      </c>
      <c r="BE155">
        <v>1</v>
      </c>
      <c r="BF155">
        <v>0</v>
      </c>
      <c r="BG155">
        <v>150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2021</v>
      </c>
      <c r="BO155">
        <v>3</v>
      </c>
      <c r="BP155">
        <v>1</v>
      </c>
      <c r="BQ155">
        <v>1</v>
      </c>
      <c r="BR155">
        <v>2021</v>
      </c>
      <c r="BS155">
        <v>4</v>
      </c>
      <c r="BT155">
        <v>1</v>
      </c>
      <c r="BU155">
        <v>1</v>
      </c>
      <c r="BV155">
        <v>2021</v>
      </c>
      <c r="BW155">
        <v>5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25">
      <c r="A156">
        <v>155</v>
      </c>
      <c r="B156" t="s">
        <v>715</v>
      </c>
      <c r="C156" t="s">
        <v>716</v>
      </c>
      <c r="D156" t="s">
        <v>717</v>
      </c>
      <c r="E156" t="s">
        <v>685</v>
      </c>
      <c r="F156" t="s">
        <v>310</v>
      </c>
      <c r="G156">
        <v>1</v>
      </c>
      <c r="H156">
        <v>1</v>
      </c>
      <c r="I156">
        <v>138</v>
      </c>
      <c r="J156">
        <v>0</v>
      </c>
      <c r="K156">
        <v>0</v>
      </c>
      <c r="L156">
        <v>790352350</v>
      </c>
      <c r="M156">
        <v>79020185</v>
      </c>
      <c r="N156">
        <v>37445.478999999999</v>
      </c>
      <c r="O156">
        <v>413.67899999999997</v>
      </c>
      <c r="P156">
        <v>38542.800000000003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1.58</v>
      </c>
      <c r="W156">
        <v>1</v>
      </c>
      <c r="X156">
        <v>0</v>
      </c>
      <c r="Y156">
        <v>0</v>
      </c>
      <c r="Z156">
        <v>1.58</v>
      </c>
      <c r="AA156">
        <v>0</v>
      </c>
      <c r="AB156">
        <v>0</v>
      </c>
      <c r="AC156">
        <v>0</v>
      </c>
      <c r="AD156">
        <v>0.18</v>
      </c>
      <c r="AE156">
        <v>1.4</v>
      </c>
      <c r="AF156">
        <v>0</v>
      </c>
      <c r="AG156">
        <v>0.1139240506329114</v>
      </c>
      <c r="AH156">
        <v>1.58</v>
      </c>
      <c r="AI156">
        <v>1.5</v>
      </c>
      <c r="AJ156">
        <v>0</v>
      </c>
      <c r="AK156">
        <v>0</v>
      </c>
      <c r="AL156">
        <v>1.58</v>
      </c>
      <c r="AM156">
        <v>0</v>
      </c>
      <c r="AN156">
        <v>0</v>
      </c>
      <c r="AO156">
        <v>0</v>
      </c>
      <c r="AP156">
        <v>0.18</v>
      </c>
      <c r="AQ156">
        <v>1.4</v>
      </c>
      <c r="AR156">
        <v>0</v>
      </c>
      <c r="AS156">
        <v>0.1139240506329114</v>
      </c>
      <c r="AT156">
        <v>1.58</v>
      </c>
      <c r="AU156">
        <v>1.580000042915344</v>
      </c>
      <c r="AV156">
        <v>0</v>
      </c>
      <c r="AW156">
        <v>0</v>
      </c>
      <c r="AX156">
        <v>0</v>
      </c>
      <c r="AY156">
        <v>0</v>
      </c>
      <c r="AZ156">
        <v>0.10000000149011611</v>
      </c>
      <c r="BA156">
        <v>1.4800000190734861</v>
      </c>
      <c r="BB156">
        <v>0</v>
      </c>
      <c r="BC156">
        <v>0.10000000149011611</v>
      </c>
      <c r="BD156">
        <v>1.4800000190734861</v>
      </c>
      <c r="BE156">
        <v>6.3291139359887533E-2</v>
      </c>
      <c r="BF156">
        <v>0.9367088606401125</v>
      </c>
      <c r="BG156">
        <v>150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P156">
        <v>0</v>
      </c>
      <c r="BQ156">
        <v>0</v>
      </c>
      <c r="BT156">
        <v>0</v>
      </c>
      <c r="BU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x14ac:dyDescent="0.25">
      <c r="A157">
        <v>156</v>
      </c>
      <c r="B157" t="s">
        <v>718</v>
      </c>
      <c r="C157" t="s">
        <v>719</v>
      </c>
      <c r="D157" t="s">
        <v>720</v>
      </c>
      <c r="E157" t="s">
        <v>721</v>
      </c>
      <c r="F157" t="s">
        <v>127</v>
      </c>
      <c r="G157">
        <v>1</v>
      </c>
      <c r="H157">
        <v>1</v>
      </c>
      <c r="I157">
        <v>371</v>
      </c>
      <c r="J157">
        <v>0</v>
      </c>
      <c r="K157">
        <v>0</v>
      </c>
      <c r="L157">
        <v>18164.7</v>
      </c>
      <c r="M157">
        <v>14215</v>
      </c>
      <c r="N157">
        <v>20375.099999999999</v>
      </c>
      <c r="O157">
        <v>802.2</v>
      </c>
      <c r="P157">
        <v>20277.5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10.66</v>
      </c>
      <c r="W157">
        <v>3</v>
      </c>
      <c r="X157">
        <v>7.7</v>
      </c>
      <c r="Y157">
        <v>0</v>
      </c>
      <c r="Z157">
        <v>0</v>
      </c>
      <c r="AA157">
        <v>2.96</v>
      </c>
      <c r="AB157">
        <v>0</v>
      </c>
      <c r="AC157">
        <v>7.7</v>
      </c>
      <c r="AD157">
        <v>0</v>
      </c>
      <c r="AE157">
        <v>0</v>
      </c>
      <c r="AF157">
        <v>2.96</v>
      </c>
      <c r="AG157">
        <v>0.72232645403377116</v>
      </c>
      <c r="AH157">
        <v>10.66</v>
      </c>
      <c r="AI157">
        <v>3</v>
      </c>
      <c r="AJ157">
        <v>7.599999999999989</v>
      </c>
      <c r="AK157">
        <v>0</v>
      </c>
      <c r="AL157">
        <v>0</v>
      </c>
      <c r="AM157">
        <v>3.0600000000000009</v>
      </c>
      <c r="AN157">
        <v>0</v>
      </c>
      <c r="AO157">
        <v>7.599999999999989</v>
      </c>
      <c r="AP157">
        <v>0</v>
      </c>
      <c r="AQ157">
        <v>0</v>
      </c>
      <c r="AR157">
        <v>3.0600000000000009</v>
      </c>
      <c r="AS157">
        <v>0.71294559099437116</v>
      </c>
      <c r="AT157">
        <v>10.66</v>
      </c>
      <c r="AU157">
        <v>1.360000014305115</v>
      </c>
      <c r="AV157">
        <v>0</v>
      </c>
      <c r="AW157">
        <v>7.5999999046325684</v>
      </c>
      <c r="AX157">
        <v>0</v>
      </c>
      <c r="AY157">
        <v>6.4000000953674316</v>
      </c>
      <c r="AZ157">
        <v>1.8999999761581421</v>
      </c>
      <c r="BA157">
        <v>0.20000000298023221</v>
      </c>
      <c r="BB157">
        <v>0.46000000834465032</v>
      </c>
      <c r="BC157">
        <v>8.3000000715255737</v>
      </c>
      <c r="BD157">
        <v>0.66000001132488251</v>
      </c>
      <c r="BE157">
        <v>0.92633928513146668</v>
      </c>
      <c r="BF157">
        <v>7.3660714868533331E-2</v>
      </c>
      <c r="BG157">
        <v>150</v>
      </c>
      <c r="BH157">
        <v>5.4000000953674316</v>
      </c>
      <c r="BI157">
        <v>1.8999999761581421</v>
      </c>
      <c r="BJ157">
        <v>0.20000000298023221</v>
      </c>
      <c r="BK157">
        <v>0.10000000149011611</v>
      </c>
      <c r="BL157">
        <v>1</v>
      </c>
      <c r="BM157">
        <v>1</v>
      </c>
      <c r="BN157">
        <v>2023</v>
      </c>
      <c r="BO157">
        <v>1</v>
      </c>
      <c r="BP157">
        <v>1</v>
      </c>
      <c r="BQ157">
        <v>2</v>
      </c>
      <c r="BR157">
        <v>2024</v>
      </c>
      <c r="BS157">
        <v>1</v>
      </c>
      <c r="BT157">
        <v>1</v>
      </c>
      <c r="BU157">
        <v>2</v>
      </c>
      <c r="BV157">
        <v>2024</v>
      </c>
      <c r="BW157">
        <v>2</v>
      </c>
      <c r="BX157">
        <v>0</v>
      </c>
      <c r="BY157">
        <v>0</v>
      </c>
      <c r="BZ157">
        <v>1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0</v>
      </c>
    </row>
    <row r="158" spans="1:96" x14ac:dyDescent="0.25">
      <c r="A158">
        <v>157</v>
      </c>
      <c r="B158" t="s">
        <v>722</v>
      </c>
      <c r="C158" t="s">
        <v>723</v>
      </c>
      <c r="D158" t="s">
        <v>724</v>
      </c>
      <c r="E158" t="s">
        <v>725</v>
      </c>
      <c r="F158" t="s">
        <v>127</v>
      </c>
      <c r="G158">
        <v>2</v>
      </c>
      <c r="H158">
        <v>1</v>
      </c>
      <c r="I158">
        <v>1090</v>
      </c>
      <c r="J158">
        <v>0</v>
      </c>
      <c r="K158">
        <v>0</v>
      </c>
      <c r="L158">
        <v>15110.7</v>
      </c>
      <c r="M158">
        <v>11161</v>
      </c>
      <c r="N158">
        <v>17321.099999999999</v>
      </c>
      <c r="O158">
        <v>858.1</v>
      </c>
      <c r="P158">
        <v>17223.5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4.57</v>
      </c>
      <c r="W158">
        <v>4</v>
      </c>
      <c r="X158">
        <v>0</v>
      </c>
      <c r="Y158">
        <v>0</v>
      </c>
      <c r="Z158">
        <v>0</v>
      </c>
      <c r="AA158">
        <v>2</v>
      </c>
      <c r="AB158">
        <v>2.57</v>
      </c>
      <c r="AC158">
        <v>0</v>
      </c>
      <c r="AD158">
        <v>0</v>
      </c>
      <c r="AE158">
        <v>0</v>
      </c>
      <c r="AF158">
        <v>4.57</v>
      </c>
      <c r="AG158">
        <v>0</v>
      </c>
      <c r="AH158">
        <v>4.57</v>
      </c>
      <c r="AI158">
        <v>4</v>
      </c>
      <c r="AJ158">
        <v>0</v>
      </c>
      <c r="AK158">
        <v>0</v>
      </c>
      <c r="AL158">
        <v>0</v>
      </c>
      <c r="AM158">
        <v>0</v>
      </c>
      <c r="AN158">
        <v>4.57</v>
      </c>
      <c r="AO158">
        <v>0</v>
      </c>
      <c r="AP158">
        <v>0</v>
      </c>
      <c r="AQ158">
        <v>0</v>
      </c>
      <c r="AR158">
        <v>4.57</v>
      </c>
      <c r="AS158">
        <v>0</v>
      </c>
      <c r="AT158">
        <v>4.57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150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P158">
        <v>0</v>
      </c>
      <c r="BQ158">
        <v>0</v>
      </c>
      <c r="BT158">
        <v>0</v>
      </c>
      <c r="BU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</row>
    <row r="159" spans="1:96" x14ac:dyDescent="0.25">
      <c r="A159">
        <v>158</v>
      </c>
      <c r="B159" t="s">
        <v>726</v>
      </c>
      <c r="C159" t="s">
        <v>727</v>
      </c>
      <c r="D159" t="s">
        <v>728</v>
      </c>
      <c r="E159" t="s">
        <v>729</v>
      </c>
      <c r="F159" t="s">
        <v>310</v>
      </c>
      <c r="G159">
        <v>2</v>
      </c>
      <c r="H159">
        <v>1</v>
      </c>
      <c r="I159">
        <v>746</v>
      </c>
      <c r="J159">
        <v>0</v>
      </c>
      <c r="K159">
        <v>1</v>
      </c>
      <c r="L159">
        <v>29795.599999999999</v>
      </c>
      <c r="M159">
        <v>3662.6</v>
      </c>
      <c r="N159">
        <v>32006</v>
      </c>
      <c r="O159">
        <v>2306.6</v>
      </c>
      <c r="P159">
        <v>31908.3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4.16</v>
      </c>
      <c r="W159">
        <v>1.5</v>
      </c>
      <c r="X159">
        <v>0</v>
      </c>
      <c r="Y159">
        <v>0</v>
      </c>
      <c r="Z159">
        <v>1</v>
      </c>
      <c r="AA159">
        <v>0</v>
      </c>
      <c r="AB159">
        <v>3.16</v>
      </c>
      <c r="AC159">
        <v>0</v>
      </c>
      <c r="AD159">
        <v>0</v>
      </c>
      <c r="AE159">
        <v>0.8</v>
      </c>
      <c r="AF159">
        <v>3.36</v>
      </c>
      <c r="AG159">
        <v>0</v>
      </c>
      <c r="AH159">
        <v>4.16</v>
      </c>
      <c r="AI159">
        <v>1.5</v>
      </c>
      <c r="AJ159">
        <v>0</v>
      </c>
      <c r="AK159">
        <v>0</v>
      </c>
      <c r="AL159">
        <v>0.99999999999999989</v>
      </c>
      <c r="AM159">
        <v>0</v>
      </c>
      <c r="AN159">
        <v>3.160000000000001</v>
      </c>
      <c r="AO159">
        <v>0</v>
      </c>
      <c r="AP159">
        <v>0</v>
      </c>
      <c r="AQ159">
        <v>0.6</v>
      </c>
      <c r="AR159">
        <v>3.5600000000000018</v>
      </c>
      <c r="AS159">
        <v>0</v>
      </c>
      <c r="AT159">
        <v>4.16</v>
      </c>
      <c r="AU159">
        <v>1.200000047683716</v>
      </c>
      <c r="AV159">
        <v>0</v>
      </c>
      <c r="AW159">
        <v>0</v>
      </c>
      <c r="AX159">
        <v>0</v>
      </c>
      <c r="AY159">
        <v>0</v>
      </c>
      <c r="AZ159">
        <v>0.20000000298023221</v>
      </c>
      <c r="BA159">
        <v>0.69999998807907104</v>
      </c>
      <c r="BB159">
        <v>0.30000001192092901</v>
      </c>
      <c r="BC159">
        <v>0.20000000298023221</v>
      </c>
      <c r="BD159">
        <v>1</v>
      </c>
      <c r="BE159">
        <v>0.16666666873627239</v>
      </c>
      <c r="BF159">
        <v>0.83333333126372766</v>
      </c>
      <c r="BG159">
        <v>150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P159">
        <v>0</v>
      </c>
      <c r="BQ159">
        <v>0</v>
      </c>
      <c r="BT159">
        <v>0</v>
      </c>
      <c r="BU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25">
      <c r="A160">
        <v>159</v>
      </c>
      <c r="B160" t="s">
        <v>730</v>
      </c>
      <c r="C160" t="s">
        <v>731</v>
      </c>
      <c r="D160" t="s">
        <v>732</v>
      </c>
      <c r="E160" t="s">
        <v>733</v>
      </c>
      <c r="F160" t="s">
        <v>310</v>
      </c>
      <c r="G160">
        <v>3</v>
      </c>
      <c r="H160">
        <v>1</v>
      </c>
      <c r="I160">
        <v>826</v>
      </c>
      <c r="J160">
        <v>0</v>
      </c>
      <c r="K160">
        <v>1</v>
      </c>
      <c r="L160">
        <v>32644</v>
      </c>
      <c r="M160">
        <v>5566</v>
      </c>
      <c r="N160">
        <v>34854.400000000001</v>
      </c>
      <c r="O160">
        <v>5215.3999999999996</v>
      </c>
      <c r="P160">
        <v>34756.800000000003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9.4600000000000009</v>
      </c>
      <c r="W160">
        <v>3</v>
      </c>
      <c r="X160">
        <v>4.8</v>
      </c>
      <c r="Y160">
        <v>0</v>
      </c>
      <c r="Z160">
        <v>0</v>
      </c>
      <c r="AA160">
        <v>0.6</v>
      </c>
      <c r="AB160">
        <v>4.0599999999999996</v>
      </c>
      <c r="AC160">
        <v>4.8</v>
      </c>
      <c r="AD160">
        <v>0</v>
      </c>
      <c r="AE160">
        <v>0</v>
      </c>
      <c r="AF160">
        <v>4.66</v>
      </c>
      <c r="AG160">
        <v>0.507399577167019</v>
      </c>
      <c r="AH160">
        <v>9.4600000000000009</v>
      </c>
      <c r="AI160">
        <v>3</v>
      </c>
      <c r="AJ160">
        <v>4.6999999999999993</v>
      </c>
      <c r="AK160">
        <v>0</v>
      </c>
      <c r="AL160">
        <v>0</v>
      </c>
      <c r="AM160">
        <v>0.5</v>
      </c>
      <c r="AN160">
        <v>4.2600000000000007</v>
      </c>
      <c r="AO160">
        <v>0</v>
      </c>
      <c r="AP160">
        <v>4.6999999999999993</v>
      </c>
      <c r="AQ160">
        <v>0</v>
      </c>
      <c r="AR160">
        <v>4.7599999999999989</v>
      </c>
      <c r="AS160">
        <v>0.49682875264270621</v>
      </c>
      <c r="AT160">
        <v>9.4600000000000009</v>
      </c>
      <c r="AU160">
        <v>0</v>
      </c>
      <c r="AV160">
        <v>0</v>
      </c>
      <c r="AW160">
        <v>5</v>
      </c>
      <c r="AX160">
        <v>0</v>
      </c>
      <c r="AY160">
        <v>3</v>
      </c>
      <c r="AZ160">
        <v>0.30000001192092901</v>
      </c>
      <c r="BA160">
        <v>0.5</v>
      </c>
      <c r="BB160">
        <v>1.200000047683716</v>
      </c>
      <c r="BC160">
        <v>3.300000011920929</v>
      </c>
      <c r="BD160">
        <v>1.700000047683716</v>
      </c>
      <c r="BE160">
        <v>0.6599999945163727</v>
      </c>
      <c r="BF160">
        <v>0.34000000548362719</v>
      </c>
      <c r="BG160">
        <v>150</v>
      </c>
      <c r="BH160">
        <v>3</v>
      </c>
      <c r="BI160">
        <v>0.30000001192092901</v>
      </c>
      <c r="BJ160">
        <v>0.5</v>
      </c>
      <c r="BK160">
        <v>1.200000047683716</v>
      </c>
      <c r="BL160">
        <v>1</v>
      </c>
      <c r="BM160">
        <v>1</v>
      </c>
      <c r="BN160">
        <v>2023</v>
      </c>
      <c r="BO160">
        <v>1</v>
      </c>
      <c r="BP160">
        <v>1</v>
      </c>
      <c r="BQ160">
        <v>1</v>
      </c>
      <c r="BR160">
        <v>2023</v>
      </c>
      <c r="BS160">
        <v>2</v>
      </c>
      <c r="BT160">
        <v>1</v>
      </c>
      <c r="BU160">
        <v>2</v>
      </c>
      <c r="BV160">
        <v>2025</v>
      </c>
      <c r="BW160">
        <v>1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25">
      <c r="A161">
        <v>160</v>
      </c>
      <c r="B161" t="s">
        <v>734</v>
      </c>
      <c r="C161" t="s">
        <v>735</v>
      </c>
      <c r="D161" t="s">
        <v>736</v>
      </c>
      <c r="E161" t="s">
        <v>737</v>
      </c>
      <c r="F161" t="s">
        <v>132</v>
      </c>
      <c r="G161">
        <v>3</v>
      </c>
      <c r="H161">
        <v>1</v>
      </c>
      <c r="I161">
        <v>1073</v>
      </c>
      <c r="J161">
        <v>0</v>
      </c>
      <c r="K161">
        <v>0</v>
      </c>
      <c r="L161">
        <v>3842.4</v>
      </c>
      <c r="M161">
        <v>3621.9</v>
      </c>
      <c r="N161">
        <v>13601.6</v>
      </c>
      <c r="O161">
        <v>722.9</v>
      </c>
      <c r="P161">
        <v>11738.7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2.86</v>
      </c>
      <c r="W161">
        <v>3.5</v>
      </c>
      <c r="X161">
        <v>2.86</v>
      </c>
      <c r="Y161">
        <v>0</v>
      </c>
      <c r="Z161">
        <v>0</v>
      </c>
      <c r="AA161">
        <v>0</v>
      </c>
      <c r="AB161">
        <v>0</v>
      </c>
      <c r="AC161">
        <v>2.6</v>
      </c>
      <c r="AD161">
        <v>0.26</v>
      </c>
      <c r="AE161">
        <v>0</v>
      </c>
      <c r="AF161">
        <v>0</v>
      </c>
      <c r="AG161">
        <v>1</v>
      </c>
      <c r="AH161">
        <v>2.86</v>
      </c>
      <c r="AI161">
        <v>3.5</v>
      </c>
      <c r="AJ161">
        <v>2.8600000000000012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2.8600000000000012</v>
      </c>
      <c r="AQ161">
        <v>0</v>
      </c>
      <c r="AR161">
        <v>0</v>
      </c>
      <c r="AS161">
        <v>1</v>
      </c>
      <c r="AT161">
        <v>2.86</v>
      </c>
      <c r="AU161">
        <v>0</v>
      </c>
      <c r="AV161">
        <v>0</v>
      </c>
      <c r="AW161">
        <v>2.8599998950958252</v>
      </c>
      <c r="AX161">
        <v>0</v>
      </c>
      <c r="AY161">
        <v>0</v>
      </c>
      <c r="AZ161">
        <v>2.5999999046325679</v>
      </c>
      <c r="BA161">
        <v>0.25999999046325678</v>
      </c>
      <c r="BB161">
        <v>0</v>
      </c>
      <c r="BC161">
        <v>2.5999999046325679</v>
      </c>
      <c r="BD161">
        <v>0.25999999046325678</v>
      </c>
      <c r="BE161">
        <v>0.90909090909090906</v>
      </c>
      <c r="BF161">
        <v>9.0909090909090912E-2</v>
      </c>
      <c r="BG161">
        <v>150</v>
      </c>
      <c r="BH161">
        <v>0</v>
      </c>
      <c r="BI161">
        <v>2.5999999046325679</v>
      </c>
      <c r="BJ161">
        <v>0.25999999046325678</v>
      </c>
      <c r="BK161">
        <v>0</v>
      </c>
      <c r="BL161">
        <v>0</v>
      </c>
      <c r="BM161">
        <v>0</v>
      </c>
      <c r="BP161">
        <v>0</v>
      </c>
      <c r="BQ161">
        <v>0</v>
      </c>
      <c r="BT161">
        <v>0</v>
      </c>
      <c r="BU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1</v>
      </c>
      <c r="CQ161">
        <v>0</v>
      </c>
      <c r="CR161">
        <v>0</v>
      </c>
    </row>
    <row r="162" spans="1:96" x14ac:dyDescent="0.25">
      <c r="A162">
        <v>161</v>
      </c>
      <c r="B162" t="s">
        <v>738</v>
      </c>
      <c r="C162" t="s">
        <v>739</v>
      </c>
      <c r="D162" t="s">
        <v>740</v>
      </c>
      <c r="E162" t="s">
        <v>741</v>
      </c>
      <c r="F162" t="s">
        <v>127</v>
      </c>
      <c r="G162">
        <v>2</v>
      </c>
      <c r="H162">
        <v>1</v>
      </c>
      <c r="I162">
        <v>1167</v>
      </c>
      <c r="J162">
        <v>0</v>
      </c>
      <c r="K162">
        <v>1</v>
      </c>
      <c r="L162">
        <v>6152.3</v>
      </c>
      <c r="M162">
        <v>6491.7</v>
      </c>
      <c r="N162">
        <v>10897</v>
      </c>
      <c r="O162">
        <v>231.7</v>
      </c>
      <c r="P162">
        <v>9295.7000000000007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5.82</v>
      </c>
      <c r="W162">
        <v>3.5</v>
      </c>
      <c r="X162">
        <v>5.82</v>
      </c>
      <c r="Y162">
        <v>0</v>
      </c>
      <c r="Z162">
        <v>0</v>
      </c>
      <c r="AA162">
        <v>0</v>
      </c>
      <c r="AB162">
        <v>0</v>
      </c>
      <c r="AC162">
        <v>1.8</v>
      </c>
      <c r="AD162">
        <v>2.02</v>
      </c>
      <c r="AE162">
        <v>1.2</v>
      </c>
      <c r="AF162">
        <v>0.8</v>
      </c>
      <c r="AG162">
        <v>0.6563573883161512</v>
      </c>
      <c r="AH162">
        <v>5.82</v>
      </c>
      <c r="AI162">
        <v>3.5</v>
      </c>
      <c r="AJ162">
        <v>5.819999999999995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3.6200000000000019</v>
      </c>
      <c r="AQ162">
        <v>1.900000000000001</v>
      </c>
      <c r="AR162">
        <v>0.3</v>
      </c>
      <c r="AS162">
        <v>0.62199312714776644</v>
      </c>
      <c r="AT162">
        <v>5.82</v>
      </c>
      <c r="AU162">
        <v>0</v>
      </c>
      <c r="AV162">
        <v>0</v>
      </c>
      <c r="AW162">
        <v>5.820000171661377</v>
      </c>
      <c r="AX162">
        <v>0</v>
      </c>
      <c r="AY162">
        <v>0</v>
      </c>
      <c r="AZ162">
        <v>2.9200000762939449</v>
      </c>
      <c r="BA162">
        <v>1.799999952316284</v>
      </c>
      <c r="BB162">
        <v>1.1000000238418579</v>
      </c>
      <c r="BC162">
        <v>2.9200000762939449</v>
      </c>
      <c r="BD162">
        <v>2.8999999761581421</v>
      </c>
      <c r="BE162">
        <v>0.50171822164566615</v>
      </c>
      <c r="BF162">
        <v>0.49828177835433379</v>
      </c>
      <c r="BG162">
        <v>150</v>
      </c>
      <c r="BH162">
        <v>0</v>
      </c>
      <c r="BI162">
        <v>2.9200000762939449</v>
      </c>
      <c r="BJ162">
        <v>1.799999952316284</v>
      </c>
      <c r="BK162">
        <v>1.1000000238418579</v>
      </c>
      <c r="BL162">
        <v>1</v>
      </c>
      <c r="BM162">
        <v>1</v>
      </c>
      <c r="BN162">
        <v>2023</v>
      </c>
      <c r="BO162">
        <v>1</v>
      </c>
      <c r="BP162">
        <v>1</v>
      </c>
      <c r="BQ162">
        <v>1</v>
      </c>
      <c r="BR162">
        <v>2023</v>
      </c>
      <c r="BS162">
        <v>2</v>
      </c>
      <c r="BT162">
        <v>1</v>
      </c>
      <c r="BU162">
        <v>2</v>
      </c>
      <c r="BV162">
        <v>2025</v>
      </c>
      <c r="BW162">
        <v>1</v>
      </c>
      <c r="BX162">
        <v>0</v>
      </c>
      <c r="BY162">
        <v>0</v>
      </c>
      <c r="BZ162">
        <v>1</v>
      </c>
      <c r="CA162">
        <v>0</v>
      </c>
      <c r="CB162">
        <v>1</v>
      </c>
      <c r="CC162">
        <v>0</v>
      </c>
      <c r="CD162">
        <v>0</v>
      </c>
      <c r="CE162">
        <v>1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25">
      <c r="A163">
        <v>162</v>
      </c>
      <c r="B163" t="s">
        <v>742</v>
      </c>
      <c r="C163" t="s">
        <v>743</v>
      </c>
      <c r="D163" t="s">
        <v>744</v>
      </c>
      <c r="E163" t="s">
        <v>745</v>
      </c>
      <c r="F163" t="s">
        <v>105</v>
      </c>
      <c r="G163">
        <v>2</v>
      </c>
      <c r="H163">
        <v>1</v>
      </c>
      <c r="I163">
        <v>1333</v>
      </c>
      <c r="J163">
        <v>0</v>
      </c>
      <c r="K163">
        <v>0</v>
      </c>
      <c r="L163">
        <v>5072.3</v>
      </c>
      <c r="M163">
        <v>2739.5</v>
      </c>
      <c r="N163">
        <v>6781.3</v>
      </c>
      <c r="O163">
        <v>1099.5</v>
      </c>
      <c r="P163">
        <v>6945.9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0.69</v>
      </c>
      <c r="W163">
        <v>3</v>
      </c>
      <c r="X163">
        <v>0</v>
      </c>
      <c r="Y163">
        <v>0</v>
      </c>
      <c r="Z163">
        <v>0</v>
      </c>
      <c r="AA163">
        <v>0.69</v>
      </c>
      <c r="AB163">
        <v>0</v>
      </c>
      <c r="AC163">
        <v>0</v>
      </c>
      <c r="AD163">
        <v>0</v>
      </c>
      <c r="AE163">
        <v>0</v>
      </c>
      <c r="AF163">
        <v>0.69</v>
      </c>
      <c r="AG163">
        <v>0</v>
      </c>
      <c r="AH163">
        <v>0.69</v>
      </c>
      <c r="AI163">
        <v>3</v>
      </c>
      <c r="AJ163">
        <v>0.69</v>
      </c>
      <c r="AK163">
        <v>0</v>
      </c>
      <c r="AL163">
        <v>0</v>
      </c>
      <c r="AM163">
        <v>0</v>
      </c>
      <c r="AN163">
        <v>0</v>
      </c>
      <c r="AO163">
        <v>0.69</v>
      </c>
      <c r="AP163">
        <v>0</v>
      </c>
      <c r="AQ163">
        <v>0</v>
      </c>
      <c r="AR163">
        <v>0</v>
      </c>
      <c r="AS163">
        <v>1</v>
      </c>
      <c r="AT163">
        <v>0.69</v>
      </c>
      <c r="AU163">
        <v>0</v>
      </c>
      <c r="AV163">
        <v>0</v>
      </c>
      <c r="AW163">
        <v>0.68999999761581421</v>
      </c>
      <c r="AX163">
        <v>0</v>
      </c>
      <c r="AY163">
        <v>0.68999999761581421</v>
      </c>
      <c r="AZ163">
        <v>0</v>
      </c>
      <c r="BA163">
        <v>0</v>
      </c>
      <c r="BB163">
        <v>0</v>
      </c>
      <c r="BC163">
        <v>0.68999999761581421</v>
      </c>
      <c r="BD163">
        <v>0</v>
      </c>
      <c r="BE163">
        <v>1</v>
      </c>
      <c r="BF163">
        <v>0</v>
      </c>
      <c r="BG163">
        <v>150</v>
      </c>
      <c r="BH163">
        <v>0.68999999761581421</v>
      </c>
      <c r="BI163">
        <v>0</v>
      </c>
      <c r="BJ163">
        <v>0</v>
      </c>
      <c r="BK163">
        <v>0</v>
      </c>
      <c r="BL163">
        <v>0</v>
      </c>
      <c r="BM163">
        <v>0</v>
      </c>
      <c r="BP163">
        <v>1</v>
      </c>
      <c r="BQ163">
        <v>1</v>
      </c>
      <c r="BR163">
        <v>2024</v>
      </c>
      <c r="BS163">
        <v>1</v>
      </c>
      <c r="BT163">
        <v>1</v>
      </c>
      <c r="BU163">
        <v>1</v>
      </c>
      <c r="BV163">
        <v>2024</v>
      </c>
      <c r="BW163">
        <v>2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</row>
    <row r="164" spans="1:96" x14ac:dyDescent="0.25">
      <c r="A164">
        <v>163</v>
      </c>
      <c r="B164" t="s">
        <v>746</v>
      </c>
      <c r="C164" t="s">
        <v>747</v>
      </c>
      <c r="D164" t="s">
        <v>748</v>
      </c>
      <c r="E164" t="s">
        <v>749</v>
      </c>
      <c r="F164" t="s">
        <v>176</v>
      </c>
      <c r="G164">
        <v>2</v>
      </c>
      <c r="H164">
        <v>1</v>
      </c>
      <c r="I164">
        <v>699</v>
      </c>
      <c r="J164">
        <v>0</v>
      </c>
      <c r="K164">
        <v>1</v>
      </c>
      <c r="L164">
        <v>4079.9</v>
      </c>
      <c r="M164">
        <v>4049.2</v>
      </c>
      <c r="N164">
        <v>9016.5</v>
      </c>
      <c r="O164">
        <v>1953.1</v>
      </c>
      <c r="P164">
        <v>10688.3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4.0999999999999996</v>
      </c>
      <c r="W164">
        <v>3.5</v>
      </c>
      <c r="X164">
        <v>0</v>
      </c>
      <c r="Y164">
        <v>0</v>
      </c>
      <c r="Z164">
        <v>0</v>
      </c>
      <c r="AA164">
        <v>4.0999999999999996</v>
      </c>
      <c r="AB164">
        <v>0</v>
      </c>
      <c r="AC164">
        <v>0</v>
      </c>
      <c r="AD164">
        <v>0</v>
      </c>
      <c r="AE164">
        <v>0</v>
      </c>
      <c r="AF164">
        <v>4.0999999999999996</v>
      </c>
      <c r="AG164">
        <v>0</v>
      </c>
      <c r="AH164">
        <v>4.0999999999999996</v>
      </c>
      <c r="AI164">
        <v>3.5</v>
      </c>
      <c r="AJ164">
        <v>0</v>
      </c>
      <c r="AK164">
        <v>0</v>
      </c>
      <c r="AL164">
        <v>0</v>
      </c>
      <c r="AM164">
        <v>4.1000000000000014</v>
      </c>
      <c r="AN164">
        <v>0</v>
      </c>
      <c r="AO164">
        <v>0</v>
      </c>
      <c r="AP164">
        <v>0</v>
      </c>
      <c r="AQ164">
        <v>0</v>
      </c>
      <c r="AR164">
        <v>4.1000000000000014</v>
      </c>
      <c r="AS164">
        <v>0</v>
      </c>
      <c r="AT164">
        <v>4.0999999999999996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150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P164">
        <v>0</v>
      </c>
      <c r="BQ164">
        <v>0</v>
      </c>
      <c r="BT164">
        <v>0</v>
      </c>
      <c r="BU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25">
      <c r="A165">
        <v>164</v>
      </c>
      <c r="B165" t="s">
        <v>750</v>
      </c>
      <c r="C165" t="s">
        <v>751</v>
      </c>
      <c r="D165" t="s">
        <v>752</v>
      </c>
      <c r="E165" t="s">
        <v>753</v>
      </c>
      <c r="F165" t="s">
        <v>176</v>
      </c>
      <c r="G165">
        <v>3</v>
      </c>
      <c r="H165">
        <v>1</v>
      </c>
      <c r="I165">
        <v>918</v>
      </c>
      <c r="J165">
        <v>0</v>
      </c>
      <c r="K165">
        <v>0</v>
      </c>
      <c r="L165">
        <v>3496.7</v>
      </c>
      <c r="M165">
        <v>2643.3</v>
      </c>
      <c r="N165">
        <v>9580.6</v>
      </c>
      <c r="O165">
        <v>1024</v>
      </c>
      <c r="P165">
        <v>10979.2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1.28</v>
      </c>
      <c r="W165">
        <v>3.5</v>
      </c>
      <c r="X165">
        <v>0</v>
      </c>
      <c r="Y165">
        <v>0</v>
      </c>
      <c r="Z165">
        <v>0</v>
      </c>
      <c r="AA165">
        <v>1.28</v>
      </c>
      <c r="AB165">
        <v>0</v>
      </c>
      <c r="AC165">
        <v>0</v>
      </c>
      <c r="AD165">
        <v>0</v>
      </c>
      <c r="AE165">
        <v>0</v>
      </c>
      <c r="AF165">
        <v>1.28</v>
      </c>
      <c r="AG165">
        <v>0</v>
      </c>
      <c r="AH165">
        <v>1.28</v>
      </c>
      <c r="AI165">
        <v>3.5</v>
      </c>
      <c r="AJ165">
        <v>0</v>
      </c>
      <c r="AK165">
        <v>0</v>
      </c>
      <c r="AL165">
        <v>0</v>
      </c>
      <c r="AM165">
        <v>1.28</v>
      </c>
      <c r="AN165">
        <v>0</v>
      </c>
      <c r="AO165">
        <v>0</v>
      </c>
      <c r="AP165">
        <v>0</v>
      </c>
      <c r="AQ165">
        <v>0</v>
      </c>
      <c r="AR165">
        <v>1.28</v>
      </c>
      <c r="AS165">
        <v>0</v>
      </c>
      <c r="AT165">
        <v>1.28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150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P165">
        <v>1</v>
      </c>
      <c r="BQ165">
        <v>1</v>
      </c>
      <c r="BR165">
        <v>2024</v>
      </c>
      <c r="BS165">
        <v>1</v>
      </c>
      <c r="BT165">
        <v>1</v>
      </c>
      <c r="BU165">
        <v>1</v>
      </c>
      <c r="BV165">
        <v>2024</v>
      </c>
      <c r="BW165">
        <v>2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</row>
    <row r="166" spans="1:96" x14ac:dyDescent="0.25">
      <c r="A166">
        <v>165</v>
      </c>
      <c r="B166" t="s">
        <v>754</v>
      </c>
      <c r="C166" t="s">
        <v>755</v>
      </c>
      <c r="D166" t="s">
        <v>756</v>
      </c>
      <c r="E166" t="s">
        <v>582</v>
      </c>
      <c r="F166" t="s">
        <v>176</v>
      </c>
      <c r="G166">
        <v>1</v>
      </c>
      <c r="H166">
        <v>1</v>
      </c>
      <c r="I166">
        <v>393</v>
      </c>
      <c r="J166">
        <v>0</v>
      </c>
      <c r="K166">
        <v>1</v>
      </c>
      <c r="L166">
        <v>4487.8999999999996</v>
      </c>
      <c r="M166">
        <v>1607.4</v>
      </c>
      <c r="N166">
        <v>3210.8</v>
      </c>
      <c r="O166">
        <v>580.70000000000005</v>
      </c>
      <c r="P166">
        <v>4882.7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0.7</v>
      </c>
      <c r="W166">
        <v>3</v>
      </c>
      <c r="X166">
        <v>0.7</v>
      </c>
      <c r="Y166">
        <v>0</v>
      </c>
      <c r="Z166">
        <v>0</v>
      </c>
      <c r="AA166">
        <v>0</v>
      </c>
      <c r="AB166">
        <v>0</v>
      </c>
      <c r="AC166">
        <v>0.6</v>
      </c>
      <c r="AD166">
        <v>0.1</v>
      </c>
      <c r="AE166">
        <v>0</v>
      </c>
      <c r="AF166">
        <v>0</v>
      </c>
      <c r="AG166">
        <v>1</v>
      </c>
      <c r="AH166">
        <v>0.7</v>
      </c>
      <c r="AI166">
        <v>3</v>
      </c>
      <c r="AJ166">
        <v>0.7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0.7</v>
      </c>
      <c r="AQ166">
        <v>0</v>
      </c>
      <c r="AR166">
        <v>0</v>
      </c>
      <c r="AS166">
        <v>1</v>
      </c>
      <c r="AT166">
        <v>0.7</v>
      </c>
      <c r="AU166">
        <v>0</v>
      </c>
      <c r="AV166">
        <v>0</v>
      </c>
      <c r="AW166">
        <v>0.69999998807907104</v>
      </c>
      <c r="AX166">
        <v>0</v>
      </c>
      <c r="AY166">
        <v>0</v>
      </c>
      <c r="AZ166">
        <v>0.69999998807907104</v>
      </c>
      <c r="BA166">
        <v>0</v>
      </c>
      <c r="BB166">
        <v>0</v>
      </c>
      <c r="BC166">
        <v>0.69999998807907104</v>
      </c>
      <c r="BD166">
        <v>0</v>
      </c>
      <c r="BE166">
        <v>1</v>
      </c>
      <c r="BF166">
        <v>0</v>
      </c>
      <c r="BG166">
        <v>150</v>
      </c>
      <c r="BH166">
        <v>0</v>
      </c>
      <c r="BI166">
        <v>0.69999998807907104</v>
      </c>
      <c r="BJ166">
        <v>0</v>
      </c>
      <c r="BK166">
        <v>0</v>
      </c>
      <c r="BL166">
        <v>1</v>
      </c>
      <c r="BM166">
        <v>1</v>
      </c>
      <c r="BN166">
        <v>2023</v>
      </c>
      <c r="BO166">
        <v>1</v>
      </c>
      <c r="BP166">
        <v>1</v>
      </c>
      <c r="BQ166">
        <v>1</v>
      </c>
      <c r="BR166">
        <v>2023</v>
      </c>
      <c r="BS166">
        <v>2</v>
      </c>
      <c r="BT166">
        <v>1</v>
      </c>
      <c r="BU166">
        <v>1</v>
      </c>
      <c r="BV166">
        <v>2023</v>
      </c>
      <c r="BW166">
        <v>3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1</v>
      </c>
      <c r="CQ166">
        <v>0</v>
      </c>
      <c r="CR166">
        <v>0</v>
      </c>
    </row>
    <row r="167" spans="1:96" x14ac:dyDescent="0.25">
      <c r="A167">
        <v>166</v>
      </c>
      <c r="B167" t="s">
        <v>757</v>
      </c>
      <c r="C167" t="s">
        <v>758</v>
      </c>
      <c r="D167" t="s">
        <v>759</v>
      </c>
      <c r="E167" t="s">
        <v>257</v>
      </c>
      <c r="F167" t="s">
        <v>176</v>
      </c>
      <c r="G167">
        <v>1</v>
      </c>
      <c r="H167">
        <v>1</v>
      </c>
      <c r="I167">
        <v>668</v>
      </c>
      <c r="J167">
        <v>0</v>
      </c>
      <c r="K167">
        <v>0</v>
      </c>
      <c r="L167">
        <v>4563</v>
      </c>
      <c r="M167">
        <v>3628.5</v>
      </c>
      <c r="N167">
        <v>2936.3</v>
      </c>
      <c r="O167">
        <v>1004.3</v>
      </c>
      <c r="P167">
        <v>4608.1000000000004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0.42</v>
      </c>
      <c r="W167">
        <v>3</v>
      </c>
      <c r="X167">
        <v>0</v>
      </c>
      <c r="Y167">
        <v>0</v>
      </c>
      <c r="Z167">
        <v>0</v>
      </c>
      <c r="AA167">
        <v>0.42</v>
      </c>
      <c r="AB167">
        <v>0</v>
      </c>
      <c r="AC167">
        <v>0</v>
      </c>
      <c r="AD167">
        <v>0</v>
      </c>
      <c r="AE167">
        <v>0</v>
      </c>
      <c r="AF167">
        <v>0.42</v>
      </c>
      <c r="AG167">
        <v>0</v>
      </c>
      <c r="AH167">
        <v>0.42</v>
      </c>
      <c r="AI167">
        <v>3</v>
      </c>
      <c r="AJ167">
        <v>0.42</v>
      </c>
      <c r="AK167">
        <v>0</v>
      </c>
      <c r="AL167">
        <v>0</v>
      </c>
      <c r="AM167">
        <v>0</v>
      </c>
      <c r="AN167">
        <v>0</v>
      </c>
      <c r="AO167">
        <v>0.42</v>
      </c>
      <c r="AP167">
        <v>0</v>
      </c>
      <c r="AQ167">
        <v>0</v>
      </c>
      <c r="AR167">
        <v>0</v>
      </c>
      <c r="AS167">
        <v>1</v>
      </c>
      <c r="AT167">
        <v>0.42</v>
      </c>
      <c r="AU167">
        <v>0</v>
      </c>
      <c r="AV167">
        <v>0</v>
      </c>
      <c r="AW167">
        <v>0.41999998688697809</v>
      </c>
      <c r="AX167">
        <v>0</v>
      </c>
      <c r="AY167">
        <v>0.41999998688697809</v>
      </c>
      <c r="AZ167">
        <v>0</v>
      </c>
      <c r="BA167">
        <v>0</v>
      </c>
      <c r="BB167">
        <v>0</v>
      </c>
      <c r="BC167">
        <v>0.41999998688697809</v>
      </c>
      <c r="BD167">
        <v>0</v>
      </c>
      <c r="BE167">
        <v>1</v>
      </c>
      <c r="BF167">
        <v>0</v>
      </c>
      <c r="BG167">
        <v>150</v>
      </c>
      <c r="BH167">
        <v>0.41999998688697809</v>
      </c>
      <c r="BI167">
        <v>0</v>
      </c>
      <c r="BJ167">
        <v>0</v>
      </c>
      <c r="BK167">
        <v>0</v>
      </c>
      <c r="BL167">
        <v>0</v>
      </c>
      <c r="BM167">
        <v>0</v>
      </c>
      <c r="BP167">
        <v>1</v>
      </c>
      <c r="BQ167">
        <v>1</v>
      </c>
      <c r="BR167">
        <v>2024</v>
      </c>
      <c r="BS167">
        <v>1</v>
      </c>
      <c r="BT167">
        <v>1</v>
      </c>
      <c r="BU167">
        <v>1</v>
      </c>
      <c r="BV167">
        <v>2024</v>
      </c>
      <c r="BW167">
        <v>2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25">
      <c r="A168">
        <v>167</v>
      </c>
      <c r="B168" t="s">
        <v>760</v>
      </c>
      <c r="C168" t="s">
        <v>761</v>
      </c>
      <c r="D168" t="s">
        <v>762</v>
      </c>
      <c r="E168" t="s">
        <v>763</v>
      </c>
      <c r="F168" t="s">
        <v>710</v>
      </c>
      <c r="G168">
        <v>4</v>
      </c>
      <c r="H168">
        <v>2</v>
      </c>
      <c r="I168">
        <v>1371</v>
      </c>
      <c r="J168">
        <v>0</v>
      </c>
      <c r="K168">
        <v>1</v>
      </c>
      <c r="L168">
        <v>17414.7</v>
      </c>
      <c r="M168">
        <v>13372</v>
      </c>
      <c r="N168">
        <v>19625.099999999999</v>
      </c>
      <c r="O168">
        <v>15.7</v>
      </c>
      <c r="P168">
        <v>19527.5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14.22</v>
      </c>
      <c r="W168">
        <v>4</v>
      </c>
      <c r="X168">
        <v>14.22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10.220000000000001</v>
      </c>
      <c r="AE168">
        <v>2.8</v>
      </c>
      <c r="AF168">
        <v>1.2</v>
      </c>
      <c r="AG168">
        <v>0.71870604781997194</v>
      </c>
      <c r="AH168">
        <v>14.22</v>
      </c>
      <c r="AI168">
        <v>4</v>
      </c>
      <c r="AJ168">
        <v>14.21999999999997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11.11999999999998</v>
      </c>
      <c r="AQ168">
        <v>2</v>
      </c>
      <c r="AR168">
        <v>1.1000000000000001</v>
      </c>
      <c r="AS168">
        <v>0.78199718706047783</v>
      </c>
      <c r="AT168">
        <v>14.22</v>
      </c>
      <c r="AU168">
        <v>0</v>
      </c>
      <c r="AV168">
        <v>0</v>
      </c>
      <c r="AW168">
        <v>14.22000026702881</v>
      </c>
      <c r="AX168">
        <v>0</v>
      </c>
      <c r="AY168">
        <v>0</v>
      </c>
      <c r="AZ168">
        <v>8.119999885559082</v>
      </c>
      <c r="BA168">
        <v>4.5999999046325684</v>
      </c>
      <c r="BB168">
        <v>1.5</v>
      </c>
      <c r="BC168">
        <v>8.119999885559082</v>
      </c>
      <c r="BD168">
        <v>6.0999999046325684</v>
      </c>
      <c r="BE168">
        <v>0.57102672330276061</v>
      </c>
      <c r="BF168">
        <v>0.42897327669723928</v>
      </c>
      <c r="BG168">
        <v>150</v>
      </c>
      <c r="BH168">
        <v>0</v>
      </c>
      <c r="BI168">
        <v>8.119999885559082</v>
      </c>
      <c r="BJ168">
        <v>4.5999999046325684</v>
      </c>
      <c r="BK168">
        <v>1.5</v>
      </c>
      <c r="BL168">
        <v>1</v>
      </c>
      <c r="BM168">
        <v>2</v>
      </c>
      <c r="BN168">
        <v>2023</v>
      </c>
      <c r="BO168">
        <v>1</v>
      </c>
      <c r="BP168">
        <v>1</v>
      </c>
      <c r="BQ168">
        <v>3</v>
      </c>
      <c r="BR168">
        <v>2024</v>
      </c>
      <c r="BS168">
        <v>1</v>
      </c>
      <c r="BT168">
        <v>1</v>
      </c>
      <c r="BU168">
        <v>4</v>
      </c>
      <c r="BV168">
        <v>2025</v>
      </c>
      <c r="BW168">
        <v>1</v>
      </c>
      <c r="BX168">
        <v>1</v>
      </c>
      <c r="BY168">
        <v>0</v>
      </c>
      <c r="BZ168">
        <v>1</v>
      </c>
      <c r="CA168">
        <v>1</v>
      </c>
      <c r="CB168">
        <v>1</v>
      </c>
      <c r="CC168">
        <v>1</v>
      </c>
      <c r="CD168">
        <v>0</v>
      </c>
      <c r="CE168">
        <v>1</v>
      </c>
      <c r="CF168">
        <v>1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1</v>
      </c>
    </row>
    <row r="169" spans="1:96" x14ac:dyDescent="0.25">
      <c r="A169">
        <v>168</v>
      </c>
      <c r="B169" t="s">
        <v>764</v>
      </c>
      <c r="C169" t="s">
        <v>765</v>
      </c>
      <c r="D169" t="s">
        <v>766</v>
      </c>
      <c r="E169" t="s">
        <v>767</v>
      </c>
      <c r="F169" t="s">
        <v>127</v>
      </c>
      <c r="G169">
        <v>2</v>
      </c>
      <c r="H169">
        <v>1</v>
      </c>
      <c r="I169">
        <v>1137</v>
      </c>
      <c r="J169">
        <v>0</v>
      </c>
      <c r="K169">
        <v>1</v>
      </c>
      <c r="L169">
        <v>10447.4</v>
      </c>
      <c r="M169">
        <v>6404.7</v>
      </c>
      <c r="N169">
        <v>12657.8</v>
      </c>
      <c r="O169">
        <v>712</v>
      </c>
      <c r="P169">
        <v>12560.2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2.35</v>
      </c>
      <c r="W169">
        <v>3.5</v>
      </c>
      <c r="X169">
        <v>2.35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1.75</v>
      </c>
      <c r="AE169">
        <v>0.6</v>
      </c>
      <c r="AF169">
        <v>0</v>
      </c>
      <c r="AG169">
        <v>0.74468085106382975</v>
      </c>
      <c r="AH169">
        <v>2.35</v>
      </c>
      <c r="AI169">
        <v>3.5</v>
      </c>
      <c r="AJ169">
        <v>2.350000000000001</v>
      </c>
      <c r="AK169">
        <v>0</v>
      </c>
      <c r="AL169">
        <v>0</v>
      </c>
      <c r="AM169">
        <v>0</v>
      </c>
      <c r="AN169">
        <v>0</v>
      </c>
      <c r="AO169">
        <v>1.05</v>
      </c>
      <c r="AP169">
        <v>1.3</v>
      </c>
      <c r="AQ169">
        <v>0</v>
      </c>
      <c r="AR169">
        <v>0</v>
      </c>
      <c r="AS169">
        <v>1</v>
      </c>
      <c r="AT169">
        <v>2.35</v>
      </c>
      <c r="AU169">
        <v>0</v>
      </c>
      <c r="AV169">
        <v>0</v>
      </c>
      <c r="AW169">
        <v>2.3499999046325679</v>
      </c>
      <c r="AX169">
        <v>0</v>
      </c>
      <c r="AY169">
        <v>0.10000000149011611</v>
      </c>
      <c r="AZ169">
        <v>1.1499999761581421</v>
      </c>
      <c r="BA169">
        <v>1</v>
      </c>
      <c r="BB169">
        <v>0.10000000149011611</v>
      </c>
      <c r="BC169">
        <v>1.249999977648258</v>
      </c>
      <c r="BD169">
        <v>1.1000000014901159</v>
      </c>
      <c r="BE169">
        <v>0.53191488882760318</v>
      </c>
      <c r="BF169">
        <v>0.46808511117239682</v>
      </c>
      <c r="BG169">
        <v>150</v>
      </c>
      <c r="BH169">
        <v>0.10000000149011611</v>
      </c>
      <c r="BI169">
        <v>1.1499999761581421</v>
      </c>
      <c r="BJ169">
        <v>1</v>
      </c>
      <c r="BK169">
        <v>0.10000000149011611</v>
      </c>
      <c r="BL169">
        <v>1</v>
      </c>
      <c r="BM169">
        <v>3</v>
      </c>
      <c r="BN169">
        <v>2023</v>
      </c>
      <c r="BO169">
        <v>1</v>
      </c>
      <c r="BP169">
        <v>1</v>
      </c>
      <c r="BQ169">
        <v>3</v>
      </c>
      <c r="BR169">
        <v>2023</v>
      </c>
      <c r="BS169">
        <v>2</v>
      </c>
      <c r="BT169">
        <v>1</v>
      </c>
      <c r="BU169">
        <v>3</v>
      </c>
      <c r="BV169">
        <v>2023</v>
      </c>
      <c r="BW169">
        <v>3</v>
      </c>
      <c r="BX169">
        <v>1</v>
      </c>
      <c r="BY169">
        <v>1</v>
      </c>
      <c r="BZ169">
        <v>1</v>
      </c>
      <c r="CA169">
        <v>0</v>
      </c>
      <c r="CB169">
        <v>0</v>
      </c>
      <c r="CC169">
        <v>1</v>
      </c>
      <c r="CD169">
        <v>1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</row>
    <row r="170" spans="1:96" x14ac:dyDescent="0.25">
      <c r="A170">
        <v>169</v>
      </c>
      <c r="B170" t="s">
        <v>768</v>
      </c>
      <c r="C170" t="s">
        <v>769</v>
      </c>
      <c r="D170" t="s">
        <v>770</v>
      </c>
      <c r="E170" t="s">
        <v>367</v>
      </c>
      <c r="F170" t="s">
        <v>100</v>
      </c>
      <c r="G170">
        <v>1</v>
      </c>
      <c r="H170">
        <v>1</v>
      </c>
      <c r="I170">
        <v>1142</v>
      </c>
      <c r="J170">
        <v>0</v>
      </c>
      <c r="K170">
        <v>0</v>
      </c>
      <c r="L170">
        <v>1047.5999999999999</v>
      </c>
      <c r="M170">
        <v>523.79999999999995</v>
      </c>
      <c r="N170">
        <v>2745.9</v>
      </c>
      <c r="O170">
        <v>76.8</v>
      </c>
      <c r="P170">
        <v>29136.3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0.23</v>
      </c>
      <c r="W170">
        <v>7</v>
      </c>
      <c r="X170">
        <v>0.23</v>
      </c>
      <c r="Y170">
        <v>0</v>
      </c>
      <c r="Z170">
        <v>0</v>
      </c>
      <c r="AA170">
        <v>0</v>
      </c>
      <c r="AB170">
        <v>0</v>
      </c>
      <c r="AC170">
        <v>0.23</v>
      </c>
      <c r="AD170">
        <v>0</v>
      </c>
      <c r="AE170">
        <v>0</v>
      </c>
      <c r="AF170">
        <v>0</v>
      </c>
      <c r="AG170">
        <v>1</v>
      </c>
      <c r="AH170">
        <v>0.23</v>
      </c>
      <c r="AI170">
        <v>7</v>
      </c>
      <c r="AJ170">
        <v>0.23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0.23</v>
      </c>
      <c r="AQ170">
        <v>0</v>
      </c>
      <c r="AR170">
        <v>0</v>
      </c>
      <c r="AS170">
        <v>1</v>
      </c>
      <c r="AT170">
        <v>0.23</v>
      </c>
      <c r="AU170">
        <v>0</v>
      </c>
      <c r="AV170">
        <v>0</v>
      </c>
      <c r="AW170">
        <v>0.23000000417232511</v>
      </c>
      <c r="AX170">
        <v>0</v>
      </c>
      <c r="AY170">
        <v>0</v>
      </c>
      <c r="AZ170">
        <v>0.23000000417232511</v>
      </c>
      <c r="BA170">
        <v>0</v>
      </c>
      <c r="BB170">
        <v>0</v>
      </c>
      <c r="BC170">
        <v>0.23000000417232511</v>
      </c>
      <c r="BD170">
        <v>0</v>
      </c>
      <c r="BE170">
        <v>1</v>
      </c>
      <c r="BF170">
        <v>0</v>
      </c>
      <c r="BG170">
        <v>150</v>
      </c>
      <c r="BH170">
        <v>0</v>
      </c>
      <c r="BI170">
        <v>0.23000000417232511</v>
      </c>
      <c r="BJ170">
        <v>0</v>
      </c>
      <c r="BK170">
        <v>0</v>
      </c>
      <c r="BL170">
        <v>1</v>
      </c>
      <c r="BM170">
        <v>1</v>
      </c>
      <c r="BN170">
        <v>2023</v>
      </c>
      <c r="BO170">
        <v>1</v>
      </c>
      <c r="BP170">
        <v>1</v>
      </c>
      <c r="BQ170">
        <v>1</v>
      </c>
      <c r="BR170">
        <v>2023</v>
      </c>
      <c r="BS170">
        <v>2</v>
      </c>
      <c r="BT170">
        <v>1</v>
      </c>
      <c r="BU170">
        <v>1</v>
      </c>
      <c r="BV170">
        <v>2023</v>
      </c>
      <c r="BW170">
        <v>3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</row>
    <row r="171" spans="1:96" x14ac:dyDescent="0.25">
      <c r="A171">
        <v>170</v>
      </c>
      <c r="B171" t="s">
        <v>771</v>
      </c>
      <c r="C171" t="s">
        <v>772</v>
      </c>
      <c r="D171" t="s">
        <v>773</v>
      </c>
      <c r="E171" t="s">
        <v>448</v>
      </c>
      <c r="F171" t="s">
        <v>315</v>
      </c>
      <c r="G171">
        <v>1</v>
      </c>
      <c r="H171">
        <v>1</v>
      </c>
      <c r="I171">
        <v>706</v>
      </c>
      <c r="J171">
        <v>0</v>
      </c>
      <c r="K171">
        <v>0</v>
      </c>
      <c r="L171">
        <v>1399.3</v>
      </c>
      <c r="M171">
        <v>205.3</v>
      </c>
      <c r="N171">
        <v>2523.1999999999998</v>
      </c>
      <c r="O171">
        <v>248.6</v>
      </c>
      <c r="P171">
        <v>883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0.27</v>
      </c>
      <c r="W171">
        <v>3.5</v>
      </c>
      <c r="X171">
        <v>0.27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0.27</v>
      </c>
      <c r="AF171">
        <v>0</v>
      </c>
      <c r="AG171">
        <v>0</v>
      </c>
      <c r="AH171">
        <v>0.27</v>
      </c>
      <c r="AI171">
        <v>3.5</v>
      </c>
      <c r="AJ171">
        <v>0.27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0.27</v>
      </c>
      <c r="AR171">
        <v>0</v>
      </c>
      <c r="AS171">
        <v>0</v>
      </c>
      <c r="AT171">
        <v>0.27</v>
      </c>
      <c r="AU171">
        <v>0</v>
      </c>
      <c r="AV171">
        <v>0</v>
      </c>
      <c r="AW171">
        <v>0.27000001072883612</v>
      </c>
      <c r="AX171">
        <v>0</v>
      </c>
      <c r="AY171">
        <v>0</v>
      </c>
      <c r="AZ171">
        <v>0</v>
      </c>
      <c r="BA171">
        <v>0.27000001072883612</v>
      </c>
      <c r="BB171">
        <v>0</v>
      </c>
      <c r="BC171">
        <v>0</v>
      </c>
      <c r="BD171">
        <v>0.27000001072883612</v>
      </c>
      <c r="BE171">
        <v>0</v>
      </c>
      <c r="BF171">
        <v>1</v>
      </c>
      <c r="BG171">
        <v>150</v>
      </c>
      <c r="BH171">
        <v>0</v>
      </c>
      <c r="BI171">
        <v>0</v>
      </c>
      <c r="BJ171">
        <v>0.27000001072883612</v>
      </c>
      <c r="BK171">
        <v>0</v>
      </c>
      <c r="BL171">
        <v>0</v>
      </c>
      <c r="BM171">
        <v>0</v>
      </c>
      <c r="BP171">
        <v>0</v>
      </c>
      <c r="BQ171">
        <v>0</v>
      </c>
      <c r="BT171">
        <v>0</v>
      </c>
      <c r="BU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</row>
    <row r="172" spans="1:96" x14ac:dyDescent="0.25">
      <c r="A172">
        <v>171</v>
      </c>
      <c r="B172" t="s">
        <v>774</v>
      </c>
      <c r="C172" t="s">
        <v>775</v>
      </c>
      <c r="D172" t="s">
        <v>776</v>
      </c>
      <c r="E172" t="s">
        <v>777</v>
      </c>
      <c r="F172" t="s">
        <v>100</v>
      </c>
      <c r="G172">
        <v>3</v>
      </c>
      <c r="H172">
        <v>1</v>
      </c>
      <c r="I172">
        <v>1887</v>
      </c>
      <c r="J172">
        <v>1</v>
      </c>
      <c r="K172">
        <v>0</v>
      </c>
      <c r="L172">
        <v>4729.7</v>
      </c>
      <c r="M172">
        <v>3206.6</v>
      </c>
      <c r="N172">
        <v>6491.3</v>
      </c>
      <c r="O172">
        <v>314.10000000000002</v>
      </c>
      <c r="P172">
        <v>4628.3999999999996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3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1</v>
      </c>
      <c r="AI172">
        <v>3</v>
      </c>
      <c r="AJ172">
        <v>0.99999999999999989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0.6</v>
      </c>
      <c r="AQ172">
        <v>0.4</v>
      </c>
      <c r="AR172">
        <v>0</v>
      </c>
      <c r="AS172">
        <v>0.6</v>
      </c>
      <c r="AT172">
        <v>1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0.40000000596046448</v>
      </c>
      <c r="BA172">
        <v>0.60000002384185791</v>
      </c>
      <c r="BB172">
        <v>0</v>
      </c>
      <c r="BC172">
        <v>0.40000000596046448</v>
      </c>
      <c r="BD172">
        <v>0.60000002384185791</v>
      </c>
      <c r="BE172">
        <v>0.39999999403953568</v>
      </c>
      <c r="BF172">
        <v>0.60000000596046432</v>
      </c>
      <c r="BG172">
        <v>150</v>
      </c>
      <c r="BH172">
        <v>0</v>
      </c>
      <c r="BI172">
        <v>0.40000000596046448</v>
      </c>
      <c r="BJ172">
        <v>0.60000002384185791</v>
      </c>
      <c r="BK172">
        <v>0</v>
      </c>
      <c r="BL172">
        <v>0</v>
      </c>
      <c r="BM172">
        <v>0</v>
      </c>
      <c r="BP172">
        <v>0</v>
      </c>
      <c r="BQ172">
        <v>0</v>
      </c>
      <c r="BT172">
        <v>0</v>
      </c>
      <c r="BU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</row>
    <row r="173" spans="1:96" x14ac:dyDescent="0.25">
      <c r="A173">
        <v>172</v>
      </c>
      <c r="B173" t="s">
        <v>778</v>
      </c>
      <c r="C173" t="s">
        <v>779</v>
      </c>
      <c r="D173" t="s">
        <v>780</v>
      </c>
      <c r="E173" t="s">
        <v>721</v>
      </c>
      <c r="F173" t="s">
        <v>127</v>
      </c>
      <c r="G173">
        <v>1</v>
      </c>
      <c r="H173">
        <v>1</v>
      </c>
      <c r="I173">
        <v>371</v>
      </c>
      <c r="J173">
        <v>0</v>
      </c>
      <c r="K173">
        <v>0</v>
      </c>
      <c r="L173">
        <v>12975.4</v>
      </c>
      <c r="M173">
        <v>9025.7000000000007</v>
      </c>
      <c r="N173">
        <v>15185.8</v>
      </c>
      <c r="O173">
        <v>305.10000000000002</v>
      </c>
      <c r="P173">
        <v>15088.2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0.45</v>
      </c>
      <c r="W173">
        <v>3</v>
      </c>
      <c r="X173">
        <v>0.45</v>
      </c>
      <c r="Y173">
        <v>0</v>
      </c>
      <c r="Z173">
        <v>0</v>
      </c>
      <c r="AA173">
        <v>0</v>
      </c>
      <c r="AB173">
        <v>0</v>
      </c>
      <c r="AC173">
        <v>0.45</v>
      </c>
      <c r="AD173">
        <v>0</v>
      </c>
      <c r="AE173">
        <v>0</v>
      </c>
      <c r="AF173">
        <v>0</v>
      </c>
      <c r="AG173">
        <v>1</v>
      </c>
      <c r="AH173">
        <v>0.45</v>
      </c>
      <c r="AI173">
        <v>3</v>
      </c>
      <c r="AJ173">
        <v>0.45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0.45</v>
      </c>
      <c r="AQ173">
        <v>0</v>
      </c>
      <c r="AR173">
        <v>0</v>
      </c>
      <c r="AS173">
        <v>1</v>
      </c>
      <c r="AT173">
        <v>0.45</v>
      </c>
      <c r="AU173">
        <v>0</v>
      </c>
      <c r="AV173">
        <v>0</v>
      </c>
      <c r="AW173">
        <v>0.44999998807907099</v>
      </c>
      <c r="AX173">
        <v>0</v>
      </c>
      <c r="AY173">
        <v>0</v>
      </c>
      <c r="AZ173">
        <v>0.34999999403953552</v>
      </c>
      <c r="BA173">
        <v>0.10000000149011611</v>
      </c>
      <c r="BB173">
        <v>0</v>
      </c>
      <c r="BC173">
        <v>0.34999999403953552</v>
      </c>
      <c r="BD173">
        <v>0.10000000149011611</v>
      </c>
      <c r="BE173">
        <v>0.77777777225882916</v>
      </c>
      <c r="BF173">
        <v>0.2222222277411709</v>
      </c>
      <c r="BG173">
        <v>150</v>
      </c>
      <c r="BH173">
        <v>0</v>
      </c>
      <c r="BI173">
        <v>0.34999999403953552</v>
      </c>
      <c r="BJ173">
        <v>0.10000000149011611</v>
      </c>
      <c r="BK173">
        <v>0</v>
      </c>
      <c r="BL173">
        <v>0</v>
      </c>
      <c r="BM173">
        <v>0</v>
      </c>
      <c r="BP173">
        <v>0</v>
      </c>
      <c r="BQ173">
        <v>0</v>
      </c>
      <c r="BT173">
        <v>0</v>
      </c>
      <c r="BU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25">
      <c r="A174">
        <v>173</v>
      </c>
      <c r="B174" t="s">
        <v>781</v>
      </c>
      <c r="C174" t="s">
        <v>782</v>
      </c>
      <c r="D174" t="s">
        <v>783</v>
      </c>
      <c r="E174" t="s">
        <v>99</v>
      </c>
      <c r="F174" t="s">
        <v>100</v>
      </c>
      <c r="G174">
        <v>1</v>
      </c>
      <c r="H174">
        <v>1</v>
      </c>
      <c r="I174">
        <v>1377</v>
      </c>
      <c r="J174">
        <v>0</v>
      </c>
      <c r="K174">
        <v>1</v>
      </c>
      <c r="L174">
        <v>1857.9</v>
      </c>
      <c r="M174">
        <v>2008</v>
      </c>
      <c r="N174">
        <v>2128.1</v>
      </c>
      <c r="O174">
        <v>1110.0999999999999</v>
      </c>
      <c r="P174">
        <v>2176.1999999999998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0.28999999999999998</v>
      </c>
      <c r="W174">
        <v>14</v>
      </c>
      <c r="X174">
        <v>0.28999999999999998</v>
      </c>
      <c r="Y174">
        <v>0</v>
      </c>
      <c r="Z174">
        <v>0</v>
      </c>
      <c r="AA174">
        <v>0</v>
      </c>
      <c r="AB174">
        <v>0</v>
      </c>
      <c r="AC174">
        <v>0.28999999999999998</v>
      </c>
      <c r="AD174">
        <v>0</v>
      </c>
      <c r="AE174">
        <v>0</v>
      </c>
      <c r="AF174">
        <v>0</v>
      </c>
      <c r="AG174">
        <v>1</v>
      </c>
      <c r="AH174">
        <v>0.28999999999999998</v>
      </c>
      <c r="AI174">
        <v>12</v>
      </c>
      <c r="AJ174">
        <v>0.28999999999999998</v>
      </c>
      <c r="AK174">
        <v>0</v>
      </c>
      <c r="AL174">
        <v>0</v>
      </c>
      <c r="AM174">
        <v>0</v>
      </c>
      <c r="AN174">
        <v>0</v>
      </c>
      <c r="AO174">
        <v>0.28999999999999998</v>
      </c>
      <c r="AP174">
        <v>0</v>
      </c>
      <c r="AQ174">
        <v>0</v>
      </c>
      <c r="AR174">
        <v>0</v>
      </c>
      <c r="AS174">
        <v>1</v>
      </c>
      <c r="AT174">
        <v>0.28999999999999998</v>
      </c>
      <c r="AU174">
        <v>0</v>
      </c>
      <c r="AV174">
        <v>0</v>
      </c>
      <c r="AW174">
        <v>0.28999999165534968</v>
      </c>
      <c r="AX174">
        <v>0</v>
      </c>
      <c r="AY174">
        <v>0</v>
      </c>
      <c r="AZ174">
        <v>0.28999999165534968</v>
      </c>
      <c r="BA174">
        <v>0</v>
      </c>
      <c r="BB174">
        <v>0</v>
      </c>
      <c r="BC174">
        <v>0.28999999165534968</v>
      </c>
      <c r="BD174">
        <v>0</v>
      </c>
      <c r="BE174">
        <v>1</v>
      </c>
      <c r="BF174">
        <v>0</v>
      </c>
      <c r="BG174">
        <v>600</v>
      </c>
      <c r="BH174">
        <v>0</v>
      </c>
      <c r="BI174">
        <v>0.28999999165534968</v>
      </c>
      <c r="BJ174">
        <v>0</v>
      </c>
      <c r="BK174">
        <v>0</v>
      </c>
      <c r="BL174">
        <v>1</v>
      </c>
      <c r="BM174">
        <v>2</v>
      </c>
      <c r="BN174">
        <v>2022</v>
      </c>
      <c r="BO174">
        <v>2</v>
      </c>
      <c r="BP174">
        <v>1</v>
      </c>
      <c r="BQ174">
        <v>2</v>
      </c>
      <c r="BR174">
        <v>2022</v>
      </c>
      <c r="BS174">
        <v>3</v>
      </c>
      <c r="BT174">
        <v>1</v>
      </c>
      <c r="BU174">
        <v>2</v>
      </c>
      <c r="BV174">
        <v>2022</v>
      </c>
      <c r="BW174">
        <v>4</v>
      </c>
      <c r="BX174">
        <v>1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1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1</v>
      </c>
      <c r="CR174">
        <v>0</v>
      </c>
    </row>
    <row r="175" spans="1:96" x14ac:dyDescent="0.25">
      <c r="A175">
        <v>174</v>
      </c>
      <c r="B175" t="s">
        <v>784</v>
      </c>
      <c r="C175" t="s">
        <v>785</v>
      </c>
      <c r="D175" t="s">
        <v>786</v>
      </c>
      <c r="E175" t="s">
        <v>140</v>
      </c>
      <c r="F175" t="s">
        <v>100</v>
      </c>
      <c r="G175">
        <v>2</v>
      </c>
      <c r="H175">
        <v>1</v>
      </c>
      <c r="I175">
        <v>4331</v>
      </c>
      <c r="J175">
        <v>0</v>
      </c>
      <c r="K175">
        <v>1</v>
      </c>
      <c r="L175">
        <v>675.3</v>
      </c>
      <c r="M175">
        <v>916.5</v>
      </c>
      <c r="N175">
        <v>2386.1</v>
      </c>
      <c r="O175">
        <v>315.89999999999998</v>
      </c>
      <c r="P175">
        <v>523.20000000000005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0.82</v>
      </c>
      <c r="W175">
        <v>6</v>
      </c>
      <c r="X175">
        <v>0.82</v>
      </c>
      <c r="Y175">
        <v>0</v>
      </c>
      <c r="Z175">
        <v>0</v>
      </c>
      <c r="AA175">
        <v>0</v>
      </c>
      <c r="AB175">
        <v>0</v>
      </c>
      <c r="AC175">
        <v>0.82</v>
      </c>
      <c r="AD175">
        <v>0</v>
      </c>
      <c r="AE175">
        <v>0</v>
      </c>
      <c r="AF175">
        <v>0</v>
      </c>
      <c r="AG175">
        <v>1</v>
      </c>
      <c r="AH175">
        <v>0.82</v>
      </c>
      <c r="AI175">
        <v>6</v>
      </c>
      <c r="AJ175">
        <v>0.82</v>
      </c>
      <c r="AK175">
        <v>0</v>
      </c>
      <c r="AL175">
        <v>0</v>
      </c>
      <c r="AM175">
        <v>0</v>
      </c>
      <c r="AN175">
        <v>0</v>
      </c>
      <c r="AO175">
        <v>0.82</v>
      </c>
      <c r="AP175">
        <v>0</v>
      </c>
      <c r="AQ175">
        <v>0</v>
      </c>
      <c r="AR175">
        <v>0</v>
      </c>
      <c r="AS175">
        <v>1</v>
      </c>
      <c r="AT175">
        <v>0.82</v>
      </c>
      <c r="AU175">
        <v>0</v>
      </c>
      <c r="AV175">
        <v>0</v>
      </c>
      <c r="AW175">
        <v>0.81999999284744263</v>
      </c>
      <c r="AX175">
        <v>0</v>
      </c>
      <c r="AY175">
        <v>0.81999999284744263</v>
      </c>
      <c r="AZ175">
        <v>0</v>
      </c>
      <c r="BA175">
        <v>0</v>
      </c>
      <c r="BB175">
        <v>0</v>
      </c>
      <c r="BC175">
        <v>0.81999999284744263</v>
      </c>
      <c r="BD175">
        <v>0</v>
      </c>
      <c r="BE175">
        <v>1</v>
      </c>
      <c r="BF175">
        <v>0</v>
      </c>
      <c r="BG175">
        <v>150</v>
      </c>
      <c r="BH175">
        <v>0.81999999284744263</v>
      </c>
      <c r="BI175">
        <v>0</v>
      </c>
      <c r="BJ175">
        <v>0</v>
      </c>
      <c r="BK175">
        <v>0</v>
      </c>
      <c r="BL175">
        <v>0</v>
      </c>
      <c r="BM175">
        <v>0</v>
      </c>
      <c r="BP175">
        <v>1</v>
      </c>
      <c r="BQ175">
        <v>1</v>
      </c>
      <c r="BR175">
        <v>2024</v>
      </c>
      <c r="BS175">
        <v>1</v>
      </c>
      <c r="BT175">
        <v>1</v>
      </c>
      <c r="BU175">
        <v>1</v>
      </c>
      <c r="BV175">
        <v>2024</v>
      </c>
      <c r="BW175">
        <v>2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25">
      <c r="A176">
        <v>175</v>
      </c>
      <c r="B176" t="s">
        <v>787</v>
      </c>
      <c r="C176" t="s">
        <v>788</v>
      </c>
      <c r="D176" t="s">
        <v>789</v>
      </c>
      <c r="E176" t="s">
        <v>425</v>
      </c>
      <c r="F176" t="s">
        <v>100</v>
      </c>
      <c r="G176">
        <v>1</v>
      </c>
      <c r="H176">
        <v>1</v>
      </c>
      <c r="I176">
        <v>630</v>
      </c>
      <c r="J176">
        <v>0</v>
      </c>
      <c r="K176">
        <v>1</v>
      </c>
      <c r="L176">
        <v>1844.4</v>
      </c>
      <c r="M176">
        <v>1994.5</v>
      </c>
      <c r="N176">
        <v>2203.5</v>
      </c>
      <c r="O176">
        <v>572.6</v>
      </c>
      <c r="P176">
        <v>1699.5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0.21</v>
      </c>
      <c r="W176">
        <v>3.5</v>
      </c>
      <c r="X176">
        <v>0.21</v>
      </c>
      <c r="Y176">
        <v>0</v>
      </c>
      <c r="Z176">
        <v>0</v>
      </c>
      <c r="AA176">
        <v>0</v>
      </c>
      <c r="AB176">
        <v>0</v>
      </c>
      <c r="AC176">
        <v>0.21</v>
      </c>
      <c r="AD176">
        <v>0</v>
      </c>
      <c r="AE176">
        <v>0</v>
      </c>
      <c r="AF176">
        <v>0</v>
      </c>
      <c r="AG176">
        <v>1</v>
      </c>
      <c r="AH176">
        <v>0.21</v>
      </c>
      <c r="AI176">
        <v>3.5</v>
      </c>
      <c r="AJ176">
        <v>0.21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</v>
      </c>
      <c r="AQ176">
        <v>0</v>
      </c>
      <c r="AR176">
        <v>0</v>
      </c>
      <c r="AS176">
        <v>1</v>
      </c>
      <c r="AT176">
        <v>0.21</v>
      </c>
      <c r="AU176">
        <v>0</v>
      </c>
      <c r="AV176">
        <v>0</v>
      </c>
      <c r="AW176">
        <v>0.2099999934434891</v>
      </c>
      <c r="AX176">
        <v>0</v>
      </c>
      <c r="AY176">
        <v>0</v>
      </c>
      <c r="AZ176">
        <v>0.2099999934434891</v>
      </c>
      <c r="BA176">
        <v>0</v>
      </c>
      <c r="BB176">
        <v>0</v>
      </c>
      <c r="BC176">
        <v>0.2099999934434891</v>
      </c>
      <c r="BD176">
        <v>0</v>
      </c>
      <c r="BE176">
        <v>1</v>
      </c>
      <c r="BF176">
        <v>0</v>
      </c>
      <c r="BG176">
        <v>150</v>
      </c>
      <c r="BH176">
        <v>0</v>
      </c>
      <c r="BI176">
        <v>0.2099999934434891</v>
      </c>
      <c r="BJ176">
        <v>0</v>
      </c>
      <c r="BK176">
        <v>0</v>
      </c>
      <c r="BL176">
        <v>0</v>
      </c>
      <c r="BM176">
        <v>0</v>
      </c>
      <c r="BP176">
        <v>0</v>
      </c>
      <c r="BQ176">
        <v>0</v>
      </c>
      <c r="BT176">
        <v>0</v>
      </c>
      <c r="BU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25">
      <c r="A177">
        <v>176</v>
      </c>
      <c r="B177" t="s">
        <v>790</v>
      </c>
      <c r="C177" t="s">
        <v>791</v>
      </c>
      <c r="D177" t="s">
        <v>792</v>
      </c>
      <c r="E177" t="s">
        <v>793</v>
      </c>
      <c r="F177" t="s">
        <v>363</v>
      </c>
      <c r="G177">
        <v>2</v>
      </c>
      <c r="H177">
        <v>1</v>
      </c>
      <c r="I177">
        <v>1018</v>
      </c>
      <c r="J177">
        <v>0</v>
      </c>
      <c r="K177">
        <v>0</v>
      </c>
      <c r="L177">
        <v>3011.5</v>
      </c>
      <c r="M177">
        <v>2376.1999999999998</v>
      </c>
      <c r="N177">
        <v>4230.3999999999996</v>
      </c>
      <c r="O177">
        <v>719.4</v>
      </c>
      <c r="P177">
        <v>30843.5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0.3</v>
      </c>
      <c r="W177">
        <v>3</v>
      </c>
      <c r="X177">
        <v>0.1</v>
      </c>
      <c r="Y177">
        <v>0</v>
      </c>
      <c r="Z177">
        <v>0</v>
      </c>
      <c r="AA177">
        <v>0.2</v>
      </c>
      <c r="AB177">
        <v>0</v>
      </c>
      <c r="AC177">
        <v>0</v>
      </c>
      <c r="AD177">
        <v>0</v>
      </c>
      <c r="AE177">
        <v>0</v>
      </c>
      <c r="AF177">
        <v>0.3</v>
      </c>
      <c r="AG177">
        <v>0</v>
      </c>
      <c r="AH177">
        <v>0.3</v>
      </c>
      <c r="AI177">
        <v>3</v>
      </c>
      <c r="AJ177">
        <v>0.1</v>
      </c>
      <c r="AK177">
        <v>0</v>
      </c>
      <c r="AL177">
        <v>0</v>
      </c>
      <c r="AM177">
        <v>0.2</v>
      </c>
      <c r="AN177">
        <v>0</v>
      </c>
      <c r="AO177">
        <v>0</v>
      </c>
      <c r="AP177">
        <v>0.1</v>
      </c>
      <c r="AQ177">
        <v>0</v>
      </c>
      <c r="AR177">
        <v>0.2</v>
      </c>
      <c r="AS177">
        <v>0.33333333333333331</v>
      </c>
      <c r="AT177">
        <v>0.3</v>
      </c>
      <c r="AU177">
        <v>0</v>
      </c>
      <c r="AV177">
        <v>0</v>
      </c>
      <c r="AW177">
        <v>0.10000000149011611</v>
      </c>
      <c r="AX177">
        <v>0</v>
      </c>
      <c r="AY177">
        <v>0</v>
      </c>
      <c r="AZ177">
        <v>0.10000000149011611</v>
      </c>
      <c r="BA177">
        <v>0</v>
      </c>
      <c r="BB177">
        <v>0</v>
      </c>
      <c r="BC177">
        <v>0.10000000149011611</v>
      </c>
      <c r="BD177">
        <v>0</v>
      </c>
      <c r="BE177">
        <v>1</v>
      </c>
      <c r="BF177">
        <v>0</v>
      </c>
      <c r="BG177">
        <v>150</v>
      </c>
      <c r="BH177">
        <v>0</v>
      </c>
      <c r="BI177">
        <v>0.10000000149011611</v>
      </c>
      <c r="BJ177">
        <v>0</v>
      </c>
      <c r="BK177">
        <v>0</v>
      </c>
      <c r="BL177">
        <v>0</v>
      </c>
      <c r="BM177">
        <v>0</v>
      </c>
      <c r="BP177">
        <v>0</v>
      </c>
      <c r="BQ177">
        <v>0</v>
      </c>
      <c r="BT177">
        <v>0</v>
      </c>
      <c r="BU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25">
      <c r="A178">
        <v>177</v>
      </c>
      <c r="B178" t="s">
        <v>794</v>
      </c>
      <c r="C178" t="s">
        <v>795</v>
      </c>
      <c r="D178" t="s">
        <v>796</v>
      </c>
      <c r="E178" t="s">
        <v>745</v>
      </c>
      <c r="F178" t="s">
        <v>105</v>
      </c>
      <c r="G178">
        <v>2</v>
      </c>
      <c r="H178">
        <v>1</v>
      </c>
      <c r="I178">
        <v>1333</v>
      </c>
      <c r="J178">
        <v>0</v>
      </c>
      <c r="K178">
        <v>0</v>
      </c>
      <c r="L178">
        <v>5003.7</v>
      </c>
      <c r="M178">
        <v>2670.9</v>
      </c>
      <c r="N178">
        <v>6712.7</v>
      </c>
      <c r="O178">
        <v>1226.5</v>
      </c>
      <c r="P178">
        <v>6877.3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1.86</v>
      </c>
      <c r="W178">
        <v>3.5</v>
      </c>
      <c r="X178">
        <v>1.86</v>
      </c>
      <c r="Y178">
        <v>0</v>
      </c>
      <c r="Z178">
        <v>0</v>
      </c>
      <c r="AA178">
        <v>0</v>
      </c>
      <c r="AB178">
        <v>0</v>
      </c>
      <c r="AC178">
        <v>1.86</v>
      </c>
      <c r="AD178">
        <v>0</v>
      </c>
      <c r="AE178">
        <v>0</v>
      </c>
      <c r="AF178">
        <v>0</v>
      </c>
      <c r="AG178">
        <v>1</v>
      </c>
      <c r="AH178">
        <v>1.86</v>
      </c>
      <c r="AI178">
        <v>3.5</v>
      </c>
      <c r="AJ178">
        <v>1.860000000000001</v>
      </c>
      <c r="AK178">
        <v>0</v>
      </c>
      <c r="AL178">
        <v>0</v>
      </c>
      <c r="AM178">
        <v>0</v>
      </c>
      <c r="AN178">
        <v>0</v>
      </c>
      <c r="AO178">
        <v>1.860000000000001</v>
      </c>
      <c r="AP178">
        <v>0</v>
      </c>
      <c r="AQ178">
        <v>0</v>
      </c>
      <c r="AR178">
        <v>0</v>
      </c>
      <c r="AS178">
        <v>1</v>
      </c>
      <c r="AT178">
        <v>1.86</v>
      </c>
      <c r="AU178">
        <v>0</v>
      </c>
      <c r="AV178">
        <v>0</v>
      </c>
      <c r="AW178">
        <v>1.860000014305115</v>
      </c>
      <c r="AX178">
        <v>0</v>
      </c>
      <c r="AY178">
        <v>0</v>
      </c>
      <c r="AZ178">
        <v>1.860000014305115</v>
      </c>
      <c r="BA178">
        <v>0</v>
      </c>
      <c r="BB178">
        <v>0</v>
      </c>
      <c r="BC178">
        <v>1.860000014305115</v>
      </c>
      <c r="BD178">
        <v>0</v>
      </c>
      <c r="BE178">
        <v>1</v>
      </c>
      <c r="BF178">
        <v>0</v>
      </c>
      <c r="BG178">
        <v>150</v>
      </c>
      <c r="BH178">
        <v>0</v>
      </c>
      <c r="BI178">
        <v>1.860000014305115</v>
      </c>
      <c r="BJ178">
        <v>0</v>
      </c>
      <c r="BK178">
        <v>0</v>
      </c>
      <c r="BL178">
        <v>1</v>
      </c>
      <c r="BM178">
        <v>1</v>
      </c>
      <c r="BN178">
        <v>2022</v>
      </c>
      <c r="BO178">
        <v>2</v>
      </c>
      <c r="BP178">
        <v>1</v>
      </c>
      <c r="BQ178">
        <v>1</v>
      </c>
      <c r="BR178">
        <v>2022</v>
      </c>
      <c r="BS178">
        <v>3</v>
      </c>
      <c r="BT178">
        <v>1</v>
      </c>
      <c r="BU178">
        <v>1</v>
      </c>
      <c r="BV178">
        <v>2022</v>
      </c>
      <c r="BW178">
        <v>4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</row>
    <row r="179" spans="1:96" x14ac:dyDescent="0.25">
      <c r="A179">
        <v>178</v>
      </c>
      <c r="B179" t="s">
        <v>797</v>
      </c>
      <c r="C179" t="s">
        <v>798</v>
      </c>
      <c r="D179" t="s">
        <v>799</v>
      </c>
      <c r="E179" t="s">
        <v>800</v>
      </c>
      <c r="F179" t="s">
        <v>127</v>
      </c>
      <c r="G179">
        <v>1</v>
      </c>
      <c r="H179">
        <v>1</v>
      </c>
      <c r="I179">
        <v>719</v>
      </c>
      <c r="J179">
        <v>0</v>
      </c>
      <c r="K179">
        <v>0</v>
      </c>
      <c r="L179">
        <v>7867.5</v>
      </c>
      <c r="M179">
        <v>3824.8</v>
      </c>
      <c r="N179">
        <v>10077.9</v>
      </c>
      <c r="O179">
        <v>1206.5999999999999</v>
      </c>
      <c r="P179">
        <v>9980.2999999999993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0.06</v>
      </c>
      <c r="W179">
        <v>3.5</v>
      </c>
      <c r="X179">
        <v>0.06</v>
      </c>
      <c r="Y179">
        <v>0</v>
      </c>
      <c r="Z179">
        <v>0</v>
      </c>
      <c r="AA179">
        <v>0</v>
      </c>
      <c r="AB179">
        <v>0</v>
      </c>
      <c r="AC179">
        <v>0.06</v>
      </c>
      <c r="AD179">
        <v>0</v>
      </c>
      <c r="AE179">
        <v>0</v>
      </c>
      <c r="AF179">
        <v>0</v>
      </c>
      <c r="AG179">
        <v>1</v>
      </c>
      <c r="AH179">
        <v>0.06</v>
      </c>
      <c r="AI179">
        <v>3.5</v>
      </c>
      <c r="AJ179">
        <v>0.06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0.06</v>
      </c>
      <c r="AQ179">
        <v>0</v>
      </c>
      <c r="AR179">
        <v>0</v>
      </c>
      <c r="AS179">
        <v>1</v>
      </c>
      <c r="AT179">
        <v>0.06</v>
      </c>
      <c r="AU179">
        <v>0</v>
      </c>
      <c r="AV179">
        <v>0</v>
      </c>
      <c r="AW179">
        <v>5.9999998658895493E-2</v>
      </c>
      <c r="AX179">
        <v>0</v>
      </c>
      <c r="AY179">
        <v>5.9999998658895493E-2</v>
      </c>
      <c r="AZ179">
        <v>0</v>
      </c>
      <c r="BA179">
        <v>0</v>
      </c>
      <c r="BB179">
        <v>0</v>
      </c>
      <c r="BC179">
        <v>5.9999998658895493E-2</v>
      </c>
      <c r="BD179">
        <v>0</v>
      </c>
      <c r="BE179">
        <v>1</v>
      </c>
      <c r="BF179">
        <v>0</v>
      </c>
      <c r="BG179">
        <v>150</v>
      </c>
      <c r="BH179">
        <v>5.9999998658895493E-2</v>
      </c>
      <c r="BI179">
        <v>0</v>
      </c>
      <c r="BJ179">
        <v>0</v>
      </c>
      <c r="BK179">
        <v>0</v>
      </c>
      <c r="BL179">
        <v>0</v>
      </c>
      <c r="BM179">
        <v>0</v>
      </c>
      <c r="BP179">
        <v>0</v>
      </c>
      <c r="BQ179">
        <v>0</v>
      </c>
      <c r="BT179">
        <v>0</v>
      </c>
      <c r="BU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</row>
    <row r="180" spans="1:96" x14ac:dyDescent="0.25">
      <c r="A180">
        <v>179</v>
      </c>
      <c r="B180" t="s">
        <v>801</v>
      </c>
      <c r="C180" t="s">
        <v>802</v>
      </c>
      <c r="D180" t="s">
        <v>803</v>
      </c>
      <c r="E180" t="s">
        <v>804</v>
      </c>
      <c r="F180" t="s">
        <v>213</v>
      </c>
      <c r="G180">
        <v>2</v>
      </c>
      <c r="H180">
        <v>2</v>
      </c>
      <c r="I180">
        <v>3708</v>
      </c>
      <c r="J180">
        <v>0</v>
      </c>
      <c r="K180">
        <v>1</v>
      </c>
      <c r="L180">
        <v>2252.4</v>
      </c>
      <c r="M180">
        <v>1999.5</v>
      </c>
      <c r="N180">
        <v>3967.4</v>
      </c>
      <c r="O180">
        <v>1087.9000000000001</v>
      </c>
      <c r="P180">
        <v>2366.1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1.59</v>
      </c>
      <c r="W180">
        <v>3</v>
      </c>
      <c r="X180">
        <v>1.59</v>
      </c>
      <c r="Y180">
        <v>0</v>
      </c>
      <c r="Z180">
        <v>0</v>
      </c>
      <c r="AA180">
        <v>0</v>
      </c>
      <c r="AB180">
        <v>0</v>
      </c>
      <c r="AC180">
        <v>1.59</v>
      </c>
      <c r="AD180">
        <v>0</v>
      </c>
      <c r="AE180">
        <v>0</v>
      </c>
      <c r="AF180">
        <v>0</v>
      </c>
      <c r="AG180">
        <v>1</v>
      </c>
      <c r="AH180">
        <v>1.59</v>
      </c>
      <c r="AI180">
        <v>3</v>
      </c>
      <c r="AJ180">
        <v>1.59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1.59</v>
      </c>
      <c r="AQ180">
        <v>0</v>
      </c>
      <c r="AR180">
        <v>0</v>
      </c>
      <c r="AS180">
        <v>1</v>
      </c>
      <c r="AT180">
        <v>1.59</v>
      </c>
      <c r="AU180">
        <v>0</v>
      </c>
      <c r="AV180">
        <v>0</v>
      </c>
      <c r="AW180">
        <v>1.5900000333786011</v>
      </c>
      <c r="AX180">
        <v>0</v>
      </c>
      <c r="AY180">
        <v>0</v>
      </c>
      <c r="AZ180">
        <v>1.5900000333786011</v>
      </c>
      <c r="BA180">
        <v>0</v>
      </c>
      <c r="BB180">
        <v>0</v>
      </c>
      <c r="BC180">
        <v>1.5900000333786011</v>
      </c>
      <c r="BD180">
        <v>0</v>
      </c>
      <c r="BE180">
        <v>1</v>
      </c>
      <c r="BF180">
        <v>0</v>
      </c>
      <c r="BG180">
        <v>150</v>
      </c>
      <c r="BH180">
        <v>0</v>
      </c>
      <c r="BI180">
        <v>1.5900000333786011</v>
      </c>
      <c r="BJ180">
        <v>0</v>
      </c>
      <c r="BK180">
        <v>0</v>
      </c>
      <c r="BL180">
        <v>0</v>
      </c>
      <c r="BM180">
        <v>0</v>
      </c>
      <c r="BP180">
        <v>0</v>
      </c>
      <c r="BQ180">
        <v>0</v>
      </c>
      <c r="BT180">
        <v>0</v>
      </c>
      <c r="BU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</row>
    <row r="181" spans="1:96" x14ac:dyDescent="0.25">
      <c r="A181">
        <v>180</v>
      </c>
      <c r="B181" t="s">
        <v>805</v>
      </c>
      <c r="C181" t="s">
        <v>806</v>
      </c>
      <c r="D181" t="s">
        <v>807</v>
      </c>
      <c r="E181" t="s">
        <v>808</v>
      </c>
      <c r="F181" t="s">
        <v>809</v>
      </c>
      <c r="G181">
        <v>2</v>
      </c>
      <c r="H181">
        <v>2</v>
      </c>
      <c r="I181">
        <v>1022</v>
      </c>
      <c r="J181">
        <v>0</v>
      </c>
      <c r="K181">
        <v>0</v>
      </c>
      <c r="L181">
        <v>12390.8</v>
      </c>
      <c r="M181">
        <v>8348.1</v>
      </c>
      <c r="N181">
        <v>14601.2</v>
      </c>
      <c r="O181">
        <v>2435.3000000000002</v>
      </c>
      <c r="P181">
        <v>14503.6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1</v>
      </c>
      <c r="X181">
        <v>0</v>
      </c>
      <c r="Y181">
        <v>0</v>
      </c>
      <c r="Z181">
        <v>0.3</v>
      </c>
      <c r="AA181">
        <v>0</v>
      </c>
      <c r="AB181">
        <v>3.7</v>
      </c>
      <c r="AC181">
        <v>0.3</v>
      </c>
      <c r="AD181">
        <v>0</v>
      </c>
      <c r="AE181">
        <v>0</v>
      </c>
      <c r="AF181">
        <v>3.7</v>
      </c>
      <c r="AG181">
        <v>7.4999999999999997E-2</v>
      </c>
      <c r="AH181">
        <v>4</v>
      </c>
      <c r="AI181">
        <v>2</v>
      </c>
      <c r="AJ181">
        <v>0</v>
      </c>
      <c r="AK181">
        <v>0</v>
      </c>
      <c r="AL181">
        <v>0.3</v>
      </c>
      <c r="AM181">
        <v>0</v>
      </c>
      <c r="AN181">
        <v>3.700000000000002</v>
      </c>
      <c r="AO181">
        <v>0</v>
      </c>
      <c r="AP181">
        <v>0.3</v>
      </c>
      <c r="AQ181">
        <v>0</v>
      </c>
      <c r="AR181">
        <v>3.700000000000002</v>
      </c>
      <c r="AS181">
        <v>7.4999999999999983E-2</v>
      </c>
      <c r="AT181">
        <v>4</v>
      </c>
      <c r="AU181">
        <v>0.40000000596046448</v>
      </c>
      <c r="AV181">
        <v>0.30000001192092901</v>
      </c>
      <c r="AW181">
        <v>0</v>
      </c>
      <c r="AX181">
        <v>0</v>
      </c>
      <c r="AY181">
        <v>0</v>
      </c>
      <c r="AZ181">
        <v>0.30000001192092901</v>
      </c>
      <c r="BA181">
        <v>0</v>
      </c>
      <c r="BB181">
        <v>0.40000000596046448</v>
      </c>
      <c r="BC181">
        <v>0.30000001192092901</v>
      </c>
      <c r="BD181">
        <v>0.40000000596046448</v>
      </c>
      <c r="BE181">
        <v>0.42857143465353498</v>
      </c>
      <c r="BF181">
        <v>0.57142856534646502</v>
      </c>
      <c r="BG181">
        <v>150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2023</v>
      </c>
      <c r="BO181">
        <v>1</v>
      </c>
      <c r="BP181">
        <v>1</v>
      </c>
      <c r="BQ181">
        <v>1</v>
      </c>
      <c r="BR181">
        <v>2023</v>
      </c>
      <c r="BS181">
        <v>2</v>
      </c>
      <c r="BT181">
        <v>1</v>
      </c>
      <c r="BU181">
        <v>1</v>
      </c>
      <c r="BV181">
        <v>2023</v>
      </c>
      <c r="BW181">
        <v>3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25">
      <c r="A182">
        <v>181</v>
      </c>
      <c r="B182" t="s">
        <v>810</v>
      </c>
      <c r="C182" t="s">
        <v>811</v>
      </c>
      <c r="D182" t="s">
        <v>812</v>
      </c>
      <c r="E182" t="s">
        <v>714</v>
      </c>
      <c r="F182" t="s">
        <v>310</v>
      </c>
      <c r="G182">
        <v>1</v>
      </c>
      <c r="H182">
        <v>1</v>
      </c>
      <c r="I182">
        <v>385</v>
      </c>
      <c r="J182">
        <v>0</v>
      </c>
      <c r="K182">
        <v>1</v>
      </c>
      <c r="L182">
        <v>21696.1</v>
      </c>
      <c r="M182">
        <v>7530</v>
      </c>
      <c r="N182">
        <v>23906.5</v>
      </c>
      <c r="O182">
        <v>558.6</v>
      </c>
      <c r="P182">
        <v>23808.9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0.43</v>
      </c>
      <c r="W182">
        <v>3</v>
      </c>
      <c r="X182">
        <v>0.43</v>
      </c>
      <c r="Y182">
        <v>0</v>
      </c>
      <c r="Z182">
        <v>0</v>
      </c>
      <c r="AA182">
        <v>0</v>
      </c>
      <c r="AB182">
        <v>0</v>
      </c>
      <c r="AC182">
        <v>0.43</v>
      </c>
      <c r="AD182">
        <v>0</v>
      </c>
      <c r="AE182">
        <v>0</v>
      </c>
      <c r="AF182">
        <v>0</v>
      </c>
      <c r="AG182">
        <v>1</v>
      </c>
      <c r="AH182">
        <v>0.43</v>
      </c>
      <c r="AI182">
        <v>3</v>
      </c>
      <c r="AJ182">
        <v>0.43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0.43</v>
      </c>
      <c r="AQ182">
        <v>0</v>
      </c>
      <c r="AR182">
        <v>0</v>
      </c>
      <c r="AS182">
        <v>1</v>
      </c>
      <c r="AT182">
        <v>0.43</v>
      </c>
      <c r="AU182">
        <v>0</v>
      </c>
      <c r="AV182">
        <v>0</v>
      </c>
      <c r="AW182">
        <v>0.43000000715255737</v>
      </c>
      <c r="AX182">
        <v>0</v>
      </c>
      <c r="AY182">
        <v>0</v>
      </c>
      <c r="AZ182">
        <v>0.23000000417232511</v>
      </c>
      <c r="BA182">
        <v>0.20000000298023221</v>
      </c>
      <c r="BB182">
        <v>0</v>
      </c>
      <c r="BC182">
        <v>0.23000000417232511</v>
      </c>
      <c r="BD182">
        <v>0.20000000298023221</v>
      </c>
      <c r="BE182">
        <v>0.5348837217361363</v>
      </c>
      <c r="BF182">
        <v>0.46511627826386359</v>
      </c>
      <c r="BG182">
        <v>150</v>
      </c>
      <c r="BH182">
        <v>0</v>
      </c>
      <c r="BI182">
        <v>0.23000000417232511</v>
      </c>
      <c r="BJ182">
        <v>0.20000000298023221</v>
      </c>
      <c r="BK182">
        <v>0</v>
      </c>
      <c r="BL182">
        <v>1</v>
      </c>
      <c r="BM182">
        <v>1</v>
      </c>
      <c r="BN182">
        <v>2023</v>
      </c>
      <c r="BO182">
        <v>1</v>
      </c>
      <c r="BP182">
        <v>1</v>
      </c>
      <c r="BQ182">
        <v>1</v>
      </c>
      <c r="BR182">
        <v>2023</v>
      </c>
      <c r="BS182">
        <v>2</v>
      </c>
      <c r="BT182">
        <v>1</v>
      </c>
      <c r="BU182">
        <v>1</v>
      </c>
      <c r="BV182">
        <v>2023</v>
      </c>
      <c r="BW182">
        <v>3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25">
      <c r="A183">
        <v>182</v>
      </c>
      <c r="B183" t="s">
        <v>813</v>
      </c>
      <c r="C183" t="s">
        <v>814</v>
      </c>
      <c r="D183" t="s">
        <v>815</v>
      </c>
      <c r="E183" t="s">
        <v>305</v>
      </c>
      <c r="F183" t="s">
        <v>127</v>
      </c>
      <c r="G183">
        <v>1</v>
      </c>
      <c r="H183">
        <v>1</v>
      </c>
      <c r="I183">
        <v>507</v>
      </c>
      <c r="J183">
        <v>0</v>
      </c>
      <c r="K183">
        <v>0</v>
      </c>
      <c r="L183">
        <v>23282.2</v>
      </c>
      <c r="M183">
        <v>19332.400000000001</v>
      </c>
      <c r="N183">
        <v>25492.6</v>
      </c>
      <c r="O183">
        <v>37.200000000000003</v>
      </c>
      <c r="P183">
        <v>25394.9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4.6500000000000004</v>
      </c>
      <c r="W183">
        <v>3</v>
      </c>
      <c r="X183">
        <v>0.4</v>
      </c>
      <c r="Y183">
        <v>0</v>
      </c>
      <c r="Z183">
        <v>1.1000000000000001</v>
      </c>
      <c r="AA183">
        <v>3.15</v>
      </c>
      <c r="AB183">
        <v>0</v>
      </c>
      <c r="AC183">
        <v>0</v>
      </c>
      <c r="AD183">
        <v>0</v>
      </c>
      <c r="AE183">
        <v>0.2</v>
      </c>
      <c r="AF183">
        <v>4.45</v>
      </c>
      <c r="AG183">
        <v>0</v>
      </c>
      <c r="AH183">
        <v>4.6500000000000004</v>
      </c>
      <c r="AI183">
        <v>3</v>
      </c>
      <c r="AJ183">
        <v>0.4</v>
      </c>
      <c r="AK183">
        <v>0</v>
      </c>
      <c r="AL183">
        <v>0.99999999999999989</v>
      </c>
      <c r="AM183">
        <v>3.2500000000000009</v>
      </c>
      <c r="AN183">
        <v>0</v>
      </c>
      <c r="AO183">
        <v>0</v>
      </c>
      <c r="AP183">
        <v>0</v>
      </c>
      <c r="AQ183">
        <v>0.2</v>
      </c>
      <c r="AR183">
        <v>4.45</v>
      </c>
      <c r="AS183">
        <v>0</v>
      </c>
      <c r="AT183">
        <v>4.6500000000000004</v>
      </c>
      <c r="AU183">
        <v>0.89999997615814209</v>
      </c>
      <c r="AV183">
        <v>0</v>
      </c>
      <c r="AW183">
        <v>0.60000002384185791</v>
      </c>
      <c r="AX183">
        <v>0</v>
      </c>
      <c r="AY183">
        <v>0</v>
      </c>
      <c r="AZ183">
        <v>0</v>
      </c>
      <c r="BA183">
        <v>0.40000000596046448</v>
      </c>
      <c r="BB183">
        <v>1.1000000238418579</v>
      </c>
      <c r="BC183">
        <v>0</v>
      </c>
      <c r="BD183">
        <v>1.5000000298023219</v>
      </c>
      <c r="BE183">
        <v>0</v>
      </c>
      <c r="BF183">
        <v>1</v>
      </c>
      <c r="BG183">
        <v>150</v>
      </c>
      <c r="BH183">
        <v>0</v>
      </c>
      <c r="BI183">
        <v>0</v>
      </c>
      <c r="BJ183">
        <v>0.40000000596046448</v>
      </c>
      <c r="BK183">
        <v>0.20000000298023221</v>
      </c>
      <c r="BL183">
        <v>0</v>
      </c>
      <c r="BM183">
        <v>0</v>
      </c>
      <c r="BP183">
        <v>0</v>
      </c>
      <c r="BQ183">
        <v>0</v>
      </c>
      <c r="BT183">
        <v>0</v>
      </c>
      <c r="BU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</row>
    <row r="184" spans="1:96" x14ac:dyDescent="0.25">
      <c r="A184">
        <v>183</v>
      </c>
      <c r="B184" t="s">
        <v>816</v>
      </c>
      <c r="C184" t="s">
        <v>817</v>
      </c>
      <c r="D184" t="s">
        <v>818</v>
      </c>
      <c r="E184" t="s">
        <v>819</v>
      </c>
      <c r="F184" t="s">
        <v>176</v>
      </c>
      <c r="G184">
        <v>1</v>
      </c>
      <c r="H184">
        <v>1</v>
      </c>
      <c r="I184">
        <v>216</v>
      </c>
      <c r="J184">
        <v>0</v>
      </c>
      <c r="K184">
        <v>1</v>
      </c>
      <c r="L184">
        <v>2846.7</v>
      </c>
      <c r="M184">
        <v>2090.9</v>
      </c>
      <c r="N184">
        <v>6585.1</v>
      </c>
      <c r="O184">
        <v>910.7</v>
      </c>
      <c r="P184">
        <v>8256.9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</v>
      </c>
      <c r="W184">
        <v>3</v>
      </c>
      <c r="X184">
        <v>0.46</v>
      </c>
      <c r="Y184">
        <v>0</v>
      </c>
      <c r="Z184">
        <v>0</v>
      </c>
      <c r="AA184">
        <v>0</v>
      </c>
      <c r="AB184">
        <v>0</v>
      </c>
      <c r="AC184">
        <v>0.46</v>
      </c>
      <c r="AD184">
        <v>0</v>
      </c>
      <c r="AE184">
        <v>0</v>
      </c>
      <c r="AF184">
        <v>0</v>
      </c>
      <c r="AG184">
        <v>1</v>
      </c>
      <c r="AH184">
        <v>0.46</v>
      </c>
      <c r="AI184">
        <v>3</v>
      </c>
      <c r="AJ184">
        <v>0.46</v>
      </c>
      <c r="AK184">
        <v>0</v>
      </c>
      <c r="AL184">
        <v>0</v>
      </c>
      <c r="AM184">
        <v>0</v>
      </c>
      <c r="AN184">
        <v>0</v>
      </c>
      <c r="AO184">
        <v>0.46</v>
      </c>
      <c r="AP184">
        <v>0</v>
      </c>
      <c r="AQ184">
        <v>0</v>
      </c>
      <c r="AR184">
        <v>0</v>
      </c>
      <c r="AS184">
        <v>1</v>
      </c>
      <c r="AT184">
        <v>0.46</v>
      </c>
      <c r="AU184">
        <v>0</v>
      </c>
      <c r="AV184">
        <v>0</v>
      </c>
      <c r="AW184">
        <v>0.46000000834465032</v>
      </c>
      <c r="AX184">
        <v>0</v>
      </c>
      <c r="AY184">
        <v>0.10000000149011611</v>
      </c>
      <c r="AZ184">
        <v>0.36000001430511469</v>
      </c>
      <c r="BA184">
        <v>0</v>
      </c>
      <c r="BB184">
        <v>0</v>
      </c>
      <c r="BC184">
        <v>0.46000001579523092</v>
      </c>
      <c r="BD184">
        <v>0</v>
      </c>
      <c r="BE184">
        <v>1</v>
      </c>
      <c r="BF184">
        <v>0</v>
      </c>
      <c r="BG184">
        <v>150</v>
      </c>
      <c r="BH184">
        <v>0.10000000149011611</v>
      </c>
      <c r="BI184">
        <v>0.36000001430511469</v>
      </c>
      <c r="BJ184">
        <v>0</v>
      </c>
      <c r="BK184">
        <v>0</v>
      </c>
      <c r="BL184">
        <v>0</v>
      </c>
      <c r="BM184">
        <v>0</v>
      </c>
      <c r="BP184">
        <v>0</v>
      </c>
      <c r="BQ184">
        <v>0</v>
      </c>
      <c r="BT184">
        <v>0</v>
      </c>
      <c r="BU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</row>
    <row r="185" spans="1:96" x14ac:dyDescent="0.25">
      <c r="A185">
        <v>184</v>
      </c>
      <c r="B185" t="s">
        <v>820</v>
      </c>
      <c r="C185" t="s">
        <v>821</v>
      </c>
      <c r="D185" t="s">
        <v>822</v>
      </c>
      <c r="E185" t="s">
        <v>354</v>
      </c>
      <c r="F185" t="s">
        <v>176</v>
      </c>
      <c r="G185">
        <v>1</v>
      </c>
      <c r="H185">
        <v>1</v>
      </c>
      <c r="I185">
        <v>259</v>
      </c>
      <c r="J185">
        <v>0</v>
      </c>
      <c r="K185">
        <v>0</v>
      </c>
      <c r="L185">
        <v>5125.6000000000004</v>
      </c>
      <c r="M185">
        <v>5156.3</v>
      </c>
      <c r="N185">
        <v>12297.5</v>
      </c>
      <c r="O185">
        <v>431.3</v>
      </c>
      <c r="P185">
        <v>13969.3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0.71</v>
      </c>
      <c r="W185">
        <v>3</v>
      </c>
      <c r="X185">
        <v>0.71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0.71</v>
      </c>
      <c r="AF185">
        <v>0</v>
      </c>
      <c r="AG185">
        <v>0</v>
      </c>
      <c r="AH185">
        <v>0.71</v>
      </c>
      <c r="AI185">
        <v>3</v>
      </c>
      <c r="AJ185">
        <v>0.71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0.2</v>
      </c>
      <c r="AQ185">
        <v>0.51</v>
      </c>
      <c r="AR185">
        <v>0</v>
      </c>
      <c r="AS185">
        <v>0.28169014084507038</v>
      </c>
      <c r="AT185">
        <v>0.71</v>
      </c>
      <c r="AU185">
        <v>0</v>
      </c>
      <c r="AV185">
        <v>0</v>
      </c>
      <c r="AW185">
        <v>0.70999997854232788</v>
      </c>
      <c r="AX185">
        <v>0</v>
      </c>
      <c r="AY185">
        <v>0</v>
      </c>
      <c r="AZ185">
        <v>0.20000000298023221</v>
      </c>
      <c r="BA185">
        <v>0.50999999046325684</v>
      </c>
      <c r="BB185">
        <v>0</v>
      </c>
      <c r="BC185">
        <v>0.20000000298023221</v>
      </c>
      <c r="BD185">
        <v>0.50999999046325684</v>
      </c>
      <c r="BE185">
        <v>0.28169014764385458</v>
      </c>
      <c r="BF185">
        <v>0.71830985235614542</v>
      </c>
      <c r="BG185">
        <v>150</v>
      </c>
      <c r="BH185">
        <v>0</v>
      </c>
      <c r="BI185">
        <v>0.20000000298023221</v>
      </c>
      <c r="BJ185">
        <v>0.50999999046325684</v>
      </c>
      <c r="BK185">
        <v>0</v>
      </c>
      <c r="BL185">
        <v>0</v>
      </c>
      <c r="BM185">
        <v>0</v>
      </c>
      <c r="BP185">
        <v>0</v>
      </c>
      <c r="BQ185">
        <v>0</v>
      </c>
      <c r="BT185">
        <v>0</v>
      </c>
      <c r="BU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25">
      <c r="A186">
        <v>185</v>
      </c>
      <c r="B186" t="s">
        <v>823</v>
      </c>
      <c r="C186" t="s">
        <v>824</v>
      </c>
      <c r="D186" t="s">
        <v>825</v>
      </c>
      <c r="E186" t="s">
        <v>826</v>
      </c>
      <c r="F186" t="s">
        <v>315</v>
      </c>
      <c r="G186">
        <v>2</v>
      </c>
      <c r="H186">
        <v>1</v>
      </c>
      <c r="I186">
        <v>1509</v>
      </c>
      <c r="J186">
        <v>1</v>
      </c>
      <c r="K186">
        <v>0</v>
      </c>
      <c r="O186">
        <v>2414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5.26</v>
      </c>
      <c r="W186">
        <v>3</v>
      </c>
      <c r="X186">
        <v>0</v>
      </c>
      <c r="Y186">
        <v>0</v>
      </c>
      <c r="Z186">
        <v>0</v>
      </c>
      <c r="AA186">
        <v>0.6</v>
      </c>
      <c r="AB186">
        <v>4.66</v>
      </c>
      <c r="AC186">
        <v>0</v>
      </c>
      <c r="AD186">
        <v>0</v>
      </c>
      <c r="AE186">
        <v>0</v>
      </c>
      <c r="AF186">
        <v>5.26</v>
      </c>
      <c r="AG186">
        <v>0</v>
      </c>
      <c r="AH186">
        <v>5.26</v>
      </c>
      <c r="AI186">
        <v>3</v>
      </c>
      <c r="AJ186">
        <v>0</v>
      </c>
      <c r="AK186">
        <v>0</v>
      </c>
      <c r="AL186">
        <v>0</v>
      </c>
      <c r="AM186">
        <v>0.3</v>
      </c>
      <c r="AN186">
        <v>4.9599999999999982</v>
      </c>
      <c r="AO186">
        <v>0</v>
      </c>
      <c r="AP186">
        <v>0</v>
      </c>
      <c r="AQ186">
        <v>0</v>
      </c>
      <c r="AR186">
        <v>5.2599999999999971</v>
      </c>
      <c r="AS186">
        <v>0</v>
      </c>
      <c r="AT186">
        <v>5.26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150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2021</v>
      </c>
      <c r="BO186">
        <v>3</v>
      </c>
      <c r="BP186">
        <v>1</v>
      </c>
      <c r="BQ186">
        <v>1</v>
      </c>
      <c r="BR186">
        <v>2021</v>
      </c>
      <c r="BS186">
        <v>4</v>
      </c>
      <c r="BT186">
        <v>1</v>
      </c>
      <c r="BU186">
        <v>1</v>
      </c>
      <c r="BV186">
        <v>2021</v>
      </c>
      <c r="BW186">
        <v>5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</row>
    <row r="187" spans="1:96" x14ac:dyDescent="0.25">
      <c r="A187">
        <v>186</v>
      </c>
      <c r="B187" t="s">
        <v>827</v>
      </c>
      <c r="C187" t="s">
        <v>828</v>
      </c>
      <c r="D187" t="s">
        <v>829</v>
      </c>
      <c r="E187" t="s">
        <v>830</v>
      </c>
      <c r="F187" t="s">
        <v>315</v>
      </c>
      <c r="G187">
        <v>2</v>
      </c>
      <c r="H187">
        <v>1</v>
      </c>
      <c r="I187">
        <v>702</v>
      </c>
      <c r="J187">
        <v>1</v>
      </c>
      <c r="K187">
        <v>0</v>
      </c>
      <c r="O187">
        <v>8055.3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17.11</v>
      </c>
      <c r="W187">
        <v>2.5</v>
      </c>
      <c r="X187">
        <v>0</v>
      </c>
      <c r="Y187">
        <v>0</v>
      </c>
      <c r="Z187">
        <v>0</v>
      </c>
      <c r="AA187">
        <v>0</v>
      </c>
      <c r="AB187">
        <v>17.11</v>
      </c>
      <c r="AC187">
        <v>0</v>
      </c>
      <c r="AD187">
        <v>0</v>
      </c>
      <c r="AE187">
        <v>0</v>
      </c>
      <c r="AF187">
        <v>17.11</v>
      </c>
      <c r="AG187">
        <v>0</v>
      </c>
      <c r="AH187">
        <v>17.11</v>
      </c>
      <c r="AI187">
        <v>3</v>
      </c>
      <c r="AJ187">
        <v>0</v>
      </c>
      <c r="AK187">
        <v>0</v>
      </c>
      <c r="AL187">
        <v>0</v>
      </c>
      <c r="AM187">
        <v>0</v>
      </c>
      <c r="AN187">
        <v>17.109999999999971</v>
      </c>
      <c r="AO187">
        <v>0</v>
      </c>
      <c r="AP187">
        <v>0</v>
      </c>
      <c r="AQ187">
        <v>0</v>
      </c>
      <c r="AR187">
        <v>17.109999999999971</v>
      </c>
      <c r="AS187">
        <v>0</v>
      </c>
      <c r="AT187">
        <v>17.11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150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P187">
        <v>1</v>
      </c>
      <c r="BQ187">
        <v>1</v>
      </c>
      <c r="BR187">
        <v>2024</v>
      </c>
      <c r="BS187">
        <v>1</v>
      </c>
      <c r="BT187">
        <v>1</v>
      </c>
      <c r="BU187">
        <v>1</v>
      </c>
      <c r="BV187">
        <v>2024</v>
      </c>
      <c r="BW187">
        <v>2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25">
      <c r="A188">
        <v>187</v>
      </c>
      <c r="B188" t="s">
        <v>831</v>
      </c>
      <c r="C188" t="s">
        <v>832</v>
      </c>
      <c r="D188" t="s">
        <v>833</v>
      </c>
      <c r="E188" t="s">
        <v>834</v>
      </c>
      <c r="F188" t="s">
        <v>100</v>
      </c>
      <c r="G188">
        <v>2</v>
      </c>
      <c r="H188">
        <v>1</v>
      </c>
      <c r="I188">
        <v>5063</v>
      </c>
      <c r="J188">
        <v>0</v>
      </c>
      <c r="K188">
        <v>1</v>
      </c>
      <c r="L188">
        <v>868.8</v>
      </c>
      <c r="M188">
        <v>979.1</v>
      </c>
      <c r="N188">
        <v>2413.4</v>
      </c>
      <c r="O188">
        <v>126.3</v>
      </c>
      <c r="P188">
        <v>28513.599999999999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0.32</v>
      </c>
      <c r="W188">
        <v>6</v>
      </c>
      <c r="X188">
        <v>0.32</v>
      </c>
      <c r="Y188">
        <v>0</v>
      </c>
      <c r="Z188">
        <v>0</v>
      </c>
      <c r="AA188">
        <v>0</v>
      </c>
      <c r="AB188">
        <v>0</v>
      </c>
      <c r="AC188">
        <v>0.32</v>
      </c>
      <c r="AD188">
        <v>0</v>
      </c>
      <c r="AE188">
        <v>0</v>
      </c>
      <c r="AF188">
        <v>0</v>
      </c>
      <c r="AG188">
        <v>1</v>
      </c>
      <c r="AH188">
        <v>0.32</v>
      </c>
      <c r="AI188">
        <v>6</v>
      </c>
      <c r="AJ188">
        <v>0.32000000000000012</v>
      </c>
      <c r="AK188">
        <v>0</v>
      </c>
      <c r="AL188">
        <v>0</v>
      </c>
      <c r="AM188">
        <v>0</v>
      </c>
      <c r="AN188">
        <v>0</v>
      </c>
      <c r="AO188">
        <v>0.32000000000000012</v>
      </c>
      <c r="AP188">
        <v>0</v>
      </c>
      <c r="AQ188">
        <v>0</v>
      </c>
      <c r="AR188">
        <v>0</v>
      </c>
      <c r="AS188">
        <v>1</v>
      </c>
      <c r="AT188">
        <v>0.32</v>
      </c>
      <c r="AU188">
        <v>0</v>
      </c>
      <c r="AV188">
        <v>0</v>
      </c>
      <c r="AW188">
        <v>0.31999999284744263</v>
      </c>
      <c r="AX188">
        <v>0</v>
      </c>
      <c r="AY188">
        <v>0.10000000149011611</v>
      </c>
      <c r="AZ188">
        <v>0.2199999988079071</v>
      </c>
      <c r="BA188">
        <v>0</v>
      </c>
      <c r="BB188">
        <v>0</v>
      </c>
      <c r="BC188">
        <v>0.32000000029802322</v>
      </c>
      <c r="BD188">
        <v>0</v>
      </c>
      <c r="BE188">
        <v>1</v>
      </c>
      <c r="BF188">
        <v>0</v>
      </c>
      <c r="BG188">
        <v>150</v>
      </c>
      <c r="BH188">
        <v>0.10000000149011611</v>
      </c>
      <c r="BI188">
        <v>0.2199999988079071</v>
      </c>
      <c r="BJ188">
        <v>0</v>
      </c>
      <c r="BK188">
        <v>0</v>
      </c>
      <c r="BL188">
        <v>0</v>
      </c>
      <c r="BM188">
        <v>0</v>
      </c>
      <c r="BP188">
        <v>0</v>
      </c>
      <c r="BQ188">
        <v>0</v>
      </c>
      <c r="BT188">
        <v>0</v>
      </c>
      <c r="BU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25">
      <c r="A189">
        <v>188</v>
      </c>
      <c r="B189" t="s">
        <v>835</v>
      </c>
      <c r="C189" t="s">
        <v>836</v>
      </c>
      <c r="D189" t="s">
        <v>837</v>
      </c>
      <c r="E189" t="s">
        <v>624</v>
      </c>
      <c r="F189" t="s">
        <v>315</v>
      </c>
      <c r="G189">
        <v>1</v>
      </c>
      <c r="H189">
        <v>1</v>
      </c>
      <c r="I189">
        <v>923</v>
      </c>
      <c r="J189">
        <v>0</v>
      </c>
      <c r="K189">
        <v>0</v>
      </c>
      <c r="L189">
        <v>747.7</v>
      </c>
      <c r="M189">
        <v>826.7</v>
      </c>
      <c r="N189">
        <v>1900.4</v>
      </c>
      <c r="O189">
        <v>218.6</v>
      </c>
      <c r="P189">
        <v>550.5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0.41</v>
      </c>
      <c r="W189">
        <v>3.5</v>
      </c>
      <c r="X189">
        <v>0.41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0.41</v>
      </c>
      <c r="AF189">
        <v>0</v>
      </c>
      <c r="AG189">
        <v>0</v>
      </c>
      <c r="AH189">
        <v>0.41</v>
      </c>
      <c r="AI189">
        <v>3.5</v>
      </c>
      <c r="AJ189">
        <v>0.41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0.41</v>
      </c>
      <c r="AQ189">
        <v>0</v>
      </c>
      <c r="AR189">
        <v>0</v>
      </c>
      <c r="AS189">
        <v>1</v>
      </c>
      <c r="AT189">
        <v>0.41</v>
      </c>
      <c r="AU189">
        <v>0</v>
      </c>
      <c r="AV189">
        <v>0</v>
      </c>
      <c r="AW189">
        <v>0.40999999642372131</v>
      </c>
      <c r="AX189">
        <v>0</v>
      </c>
      <c r="AY189">
        <v>0.40999999642372131</v>
      </c>
      <c r="AZ189">
        <v>0</v>
      </c>
      <c r="BA189">
        <v>0</v>
      </c>
      <c r="BB189">
        <v>0</v>
      </c>
      <c r="BC189">
        <v>0.40999999642372131</v>
      </c>
      <c r="BD189">
        <v>0</v>
      </c>
      <c r="BE189">
        <v>1</v>
      </c>
      <c r="BF189">
        <v>0</v>
      </c>
      <c r="BG189">
        <v>150</v>
      </c>
      <c r="BH189">
        <v>0.40999999642372131</v>
      </c>
      <c r="BI189">
        <v>0</v>
      </c>
      <c r="BJ189">
        <v>0</v>
      </c>
      <c r="BK189">
        <v>0</v>
      </c>
      <c r="BL189">
        <v>0</v>
      </c>
      <c r="BM189">
        <v>0</v>
      </c>
      <c r="BP189">
        <v>0</v>
      </c>
      <c r="BQ189">
        <v>0</v>
      </c>
      <c r="BT189">
        <v>0</v>
      </c>
      <c r="BU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25">
      <c r="A190">
        <v>189</v>
      </c>
      <c r="B190" t="s">
        <v>838</v>
      </c>
      <c r="C190" t="s">
        <v>839</v>
      </c>
      <c r="D190" t="s">
        <v>840</v>
      </c>
      <c r="E190" t="s">
        <v>841</v>
      </c>
      <c r="F190" t="s">
        <v>315</v>
      </c>
      <c r="G190">
        <v>2</v>
      </c>
      <c r="H190">
        <v>1</v>
      </c>
      <c r="I190">
        <v>1550</v>
      </c>
      <c r="J190">
        <v>1</v>
      </c>
      <c r="K190">
        <v>0</v>
      </c>
      <c r="L190">
        <v>0</v>
      </c>
      <c r="M190">
        <v>635.29999999999995</v>
      </c>
      <c r="N190">
        <v>1218.9000000000001</v>
      </c>
      <c r="O190">
        <v>374</v>
      </c>
      <c r="P190">
        <v>27832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0.53</v>
      </c>
      <c r="W190">
        <v>5</v>
      </c>
      <c r="X190">
        <v>0.53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0.53</v>
      </c>
      <c r="AE190">
        <v>0</v>
      </c>
      <c r="AF190">
        <v>0</v>
      </c>
      <c r="AG190">
        <v>1</v>
      </c>
      <c r="AH190">
        <v>0.53</v>
      </c>
      <c r="AI190">
        <v>5</v>
      </c>
      <c r="AJ190">
        <v>0.53</v>
      </c>
      <c r="AK190">
        <v>0</v>
      </c>
      <c r="AL190">
        <v>0</v>
      </c>
      <c r="AM190">
        <v>0</v>
      </c>
      <c r="AN190">
        <v>0</v>
      </c>
      <c r="AO190">
        <v>0.53</v>
      </c>
      <c r="AP190">
        <v>0</v>
      </c>
      <c r="AQ190">
        <v>0</v>
      </c>
      <c r="AR190">
        <v>0</v>
      </c>
      <c r="AS190">
        <v>1</v>
      </c>
      <c r="AT190">
        <v>0.53</v>
      </c>
      <c r="AU190">
        <v>0</v>
      </c>
      <c r="AV190">
        <v>0</v>
      </c>
      <c r="AW190">
        <v>0.52999997138977051</v>
      </c>
      <c r="AX190">
        <v>0</v>
      </c>
      <c r="AY190">
        <v>0.12999999523162839</v>
      </c>
      <c r="AZ190">
        <v>0.30000001192092901</v>
      </c>
      <c r="BA190">
        <v>0.10000000149011611</v>
      </c>
      <c r="BB190">
        <v>0</v>
      </c>
      <c r="BC190">
        <v>0.43000000715255737</v>
      </c>
      <c r="BD190">
        <v>0.10000000149011611</v>
      </c>
      <c r="BE190">
        <v>0.81132075498222078</v>
      </c>
      <c r="BF190">
        <v>0.1886792450177793</v>
      </c>
      <c r="BG190">
        <v>150</v>
      </c>
      <c r="BH190">
        <v>0.12999999523162839</v>
      </c>
      <c r="BI190">
        <v>0.30000001192092901</v>
      </c>
      <c r="BJ190">
        <v>0.10000000149011611</v>
      </c>
      <c r="BK190">
        <v>0</v>
      </c>
      <c r="BL190">
        <v>0</v>
      </c>
      <c r="BM190">
        <v>0</v>
      </c>
      <c r="BP190">
        <v>0</v>
      </c>
      <c r="BQ190">
        <v>0</v>
      </c>
      <c r="BT190">
        <v>0</v>
      </c>
      <c r="BU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</row>
    <row r="191" spans="1:96" x14ac:dyDescent="0.25">
      <c r="A191">
        <v>190</v>
      </c>
      <c r="B191" t="s">
        <v>842</v>
      </c>
      <c r="C191" t="s">
        <v>843</v>
      </c>
      <c r="D191" t="s">
        <v>844</v>
      </c>
      <c r="E191" t="s">
        <v>401</v>
      </c>
      <c r="F191" t="s">
        <v>100</v>
      </c>
      <c r="G191">
        <v>1</v>
      </c>
      <c r="H191">
        <v>1</v>
      </c>
      <c r="I191">
        <v>775</v>
      </c>
      <c r="J191">
        <v>0</v>
      </c>
      <c r="K191">
        <v>1</v>
      </c>
      <c r="L191">
        <v>3005.6</v>
      </c>
      <c r="M191">
        <v>1468.3</v>
      </c>
      <c r="N191">
        <v>4799.3</v>
      </c>
      <c r="O191">
        <v>181.9</v>
      </c>
      <c r="P191">
        <v>2936.4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0.28999999999999998</v>
      </c>
      <c r="W191">
        <v>3</v>
      </c>
      <c r="X191">
        <v>0.28999999999999998</v>
      </c>
      <c r="Y191">
        <v>0</v>
      </c>
      <c r="Z191">
        <v>0</v>
      </c>
      <c r="AA191">
        <v>0</v>
      </c>
      <c r="AB191">
        <v>0</v>
      </c>
      <c r="AC191">
        <v>0.28999999999999998</v>
      </c>
      <c r="AD191">
        <v>0</v>
      </c>
      <c r="AE191">
        <v>0</v>
      </c>
      <c r="AF191">
        <v>0</v>
      </c>
      <c r="AG191">
        <v>1</v>
      </c>
      <c r="AH191">
        <v>0.28999999999999998</v>
      </c>
      <c r="AI191">
        <v>3</v>
      </c>
      <c r="AJ191">
        <v>0.28999999999999998</v>
      </c>
      <c r="AK191">
        <v>0</v>
      </c>
      <c r="AL191">
        <v>0</v>
      </c>
      <c r="AM191">
        <v>0</v>
      </c>
      <c r="AN191">
        <v>0</v>
      </c>
      <c r="AO191">
        <v>0.28999999999999998</v>
      </c>
      <c r="AP191">
        <v>0</v>
      </c>
      <c r="AQ191">
        <v>0</v>
      </c>
      <c r="AR191">
        <v>0</v>
      </c>
      <c r="AS191">
        <v>1</v>
      </c>
      <c r="AT191">
        <v>0.28999999999999998</v>
      </c>
      <c r="AU191">
        <v>0</v>
      </c>
      <c r="AV191">
        <v>0</v>
      </c>
      <c r="AW191">
        <v>0.28999999165534968</v>
      </c>
      <c r="AX191">
        <v>0</v>
      </c>
      <c r="AY191">
        <v>0.28999999165534968</v>
      </c>
      <c r="AZ191">
        <v>0</v>
      </c>
      <c r="BA191">
        <v>0</v>
      </c>
      <c r="BB191">
        <v>0</v>
      </c>
      <c r="BC191">
        <v>0.28999999165534968</v>
      </c>
      <c r="BD191">
        <v>0</v>
      </c>
      <c r="BE191">
        <v>1</v>
      </c>
      <c r="BF191">
        <v>0</v>
      </c>
      <c r="BG191">
        <v>150</v>
      </c>
      <c r="BH191">
        <v>0.28999999165534968</v>
      </c>
      <c r="BI191">
        <v>0</v>
      </c>
      <c r="BJ191">
        <v>0</v>
      </c>
      <c r="BK191">
        <v>0</v>
      </c>
      <c r="BL191">
        <v>0</v>
      </c>
      <c r="BM191">
        <v>0</v>
      </c>
      <c r="BP191">
        <v>0</v>
      </c>
      <c r="BQ191">
        <v>0</v>
      </c>
      <c r="BT191">
        <v>0</v>
      </c>
      <c r="BU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</row>
    <row r="192" spans="1:96" x14ac:dyDescent="0.25">
      <c r="A192">
        <v>191</v>
      </c>
      <c r="B192" t="s">
        <v>845</v>
      </c>
      <c r="C192" t="s">
        <v>846</v>
      </c>
      <c r="D192" t="s">
        <v>847</v>
      </c>
      <c r="E192" t="s">
        <v>339</v>
      </c>
      <c r="F192" t="s">
        <v>310</v>
      </c>
      <c r="G192">
        <v>1</v>
      </c>
      <c r="H192">
        <v>1</v>
      </c>
      <c r="I192">
        <v>303</v>
      </c>
      <c r="J192">
        <v>0</v>
      </c>
      <c r="K192">
        <v>1</v>
      </c>
      <c r="L192">
        <v>13549.6</v>
      </c>
      <c r="M192">
        <v>9506.7999999999993</v>
      </c>
      <c r="N192">
        <v>15760</v>
      </c>
      <c r="O192">
        <v>3510.6</v>
      </c>
      <c r="P192">
        <v>15662.3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2.06</v>
      </c>
      <c r="W192">
        <v>3.5</v>
      </c>
      <c r="X192">
        <v>1.9</v>
      </c>
      <c r="Y192">
        <v>0</v>
      </c>
      <c r="Z192">
        <v>0</v>
      </c>
      <c r="AA192">
        <v>0.16</v>
      </c>
      <c r="AB192">
        <v>0</v>
      </c>
      <c r="AC192">
        <v>0</v>
      </c>
      <c r="AD192">
        <v>1.1000000000000001</v>
      </c>
      <c r="AE192">
        <v>0.8</v>
      </c>
      <c r="AF192">
        <v>0.16</v>
      </c>
      <c r="AG192">
        <v>0.53398058252427183</v>
      </c>
      <c r="AH192">
        <v>2.06</v>
      </c>
      <c r="AI192">
        <v>3.5</v>
      </c>
      <c r="AJ192">
        <v>1.900000000000001</v>
      </c>
      <c r="AK192">
        <v>0</v>
      </c>
      <c r="AL192">
        <v>0</v>
      </c>
      <c r="AM192">
        <v>0</v>
      </c>
      <c r="AN192">
        <v>0.16</v>
      </c>
      <c r="AO192">
        <v>0</v>
      </c>
      <c r="AP192">
        <v>1.1000000000000001</v>
      </c>
      <c r="AQ192">
        <v>0.79999999999999993</v>
      </c>
      <c r="AR192">
        <v>0.16</v>
      </c>
      <c r="AS192">
        <v>0.53398058252427172</v>
      </c>
      <c r="AT192">
        <v>2.06</v>
      </c>
      <c r="AU192">
        <v>0</v>
      </c>
      <c r="AV192">
        <v>0</v>
      </c>
      <c r="AW192">
        <v>0.56000000238418579</v>
      </c>
      <c r="AX192">
        <v>0</v>
      </c>
      <c r="AY192">
        <v>0.56000000238418579</v>
      </c>
      <c r="AZ192">
        <v>0</v>
      </c>
      <c r="BA192">
        <v>0</v>
      </c>
      <c r="BB192">
        <v>0</v>
      </c>
      <c r="BC192">
        <v>0.56000000238418579</v>
      </c>
      <c r="BD192">
        <v>0</v>
      </c>
      <c r="BE192">
        <v>1</v>
      </c>
      <c r="BF192">
        <v>0</v>
      </c>
      <c r="BG192">
        <v>150</v>
      </c>
      <c r="BH192">
        <v>0.56000000238418579</v>
      </c>
      <c r="BI192">
        <v>0</v>
      </c>
      <c r="BJ192">
        <v>0</v>
      </c>
      <c r="BK192">
        <v>0</v>
      </c>
      <c r="BL192">
        <v>0</v>
      </c>
      <c r="BM192">
        <v>0</v>
      </c>
      <c r="BP192">
        <v>0</v>
      </c>
      <c r="BQ192">
        <v>0</v>
      </c>
      <c r="BT192">
        <v>1</v>
      </c>
      <c r="BU192">
        <v>1</v>
      </c>
      <c r="BV192">
        <v>2025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25">
      <c r="A193">
        <v>192</v>
      </c>
      <c r="B193" t="s">
        <v>848</v>
      </c>
      <c r="C193" t="s">
        <v>849</v>
      </c>
      <c r="D193" t="s">
        <v>850</v>
      </c>
      <c r="E193" t="s">
        <v>851</v>
      </c>
      <c r="F193" t="s">
        <v>100</v>
      </c>
      <c r="G193">
        <v>2</v>
      </c>
      <c r="H193">
        <v>1</v>
      </c>
      <c r="I193">
        <v>5039</v>
      </c>
      <c r="J193">
        <v>0</v>
      </c>
      <c r="K193">
        <v>0</v>
      </c>
      <c r="L193">
        <v>1650.5</v>
      </c>
      <c r="M193">
        <v>975.7</v>
      </c>
      <c r="N193">
        <v>2943.6</v>
      </c>
      <c r="O193">
        <v>503.6</v>
      </c>
      <c r="P193">
        <v>1781.7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0.41</v>
      </c>
      <c r="W193">
        <v>3</v>
      </c>
      <c r="X193">
        <v>0.41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0.41</v>
      </c>
      <c r="AE193">
        <v>0</v>
      </c>
      <c r="AF193">
        <v>0</v>
      </c>
      <c r="AG193">
        <v>1</v>
      </c>
      <c r="AH193">
        <v>0.41</v>
      </c>
      <c r="AI193">
        <v>3</v>
      </c>
      <c r="AJ193">
        <v>0.41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0.41</v>
      </c>
      <c r="AQ193">
        <v>0</v>
      </c>
      <c r="AR193">
        <v>0</v>
      </c>
      <c r="AS193">
        <v>1</v>
      </c>
      <c r="AT193">
        <v>0.41</v>
      </c>
      <c r="AU193">
        <v>0</v>
      </c>
      <c r="AV193">
        <v>0</v>
      </c>
      <c r="AW193">
        <v>0.40999999642372131</v>
      </c>
      <c r="AX193">
        <v>0</v>
      </c>
      <c r="AY193">
        <v>0</v>
      </c>
      <c r="AZ193">
        <v>0.40999999642372131</v>
      </c>
      <c r="BA193">
        <v>0</v>
      </c>
      <c r="BB193">
        <v>0</v>
      </c>
      <c r="BC193">
        <v>0.40999999642372131</v>
      </c>
      <c r="BD193">
        <v>0</v>
      </c>
      <c r="BE193">
        <v>1</v>
      </c>
      <c r="BF193">
        <v>0</v>
      </c>
      <c r="BG193">
        <v>150</v>
      </c>
      <c r="BH193">
        <v>0</v>
      </c>
      <c r="BI193">
        <v>0.40999999642372131</v>
      </c>
      <c r="BJ193">
        <v>0</v>
      </c>
      <c r="BK193">
        <v>0</v>
      </c>
      <c r="BL193">
        <v>0</v>
      </c>
      <c r="BM193">
        <v>0</v>
      </c>
      <c r="BP193">
        <v>0</v>
      </c>
      <c r="BQ193">
        <v>0</v>
      </c>
      <c r="BT193">
        <v>0</v>
      </c>
      <c r="BU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x14ac:dyDescent="0.25">
      <c r="A194">
        <v>193</v>
      </c>
      <c r="B194" t="s">
        <v>852</v>
      </c>
      <c r="C194" t="s">
        <v>853</v>
      </c>
      <c r="D194" t="s">
        <v>854</v>
      </c>
      <c r="E194" t="s">
        <v>367</v>
      </c>
      <c r="F194" t="s">
        <v>100</v>
      </c>
      <c r="G194">
        <v>1</v>
      </c>
      <c r="H194">
        <v>1</v>
      </c>
      <c r="I194">
        <v>1142</v>
      </c>
      <c r="J194">
        <v>0</v>
      </c>
      <c r="K194">
        <v>0</v>
      </c>
      <c r="L194">
        <v>591.1</v>
      </c>
      <c r="M194">
        <v>980.3</v>
      </c>
      <c r="N194">
        <v>2783.1</v>
      </c>
      <c r="O194">
        <v>386.8</v>
      </c>
      <c r="P194">
        <v>920.2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0.38</v>
      </c>
      <c r="W194">
        <v>5</v>
      </c>
      <c r="X194">
        <v>0.38</v>
      </c>
      <c r="Y194">
        <v>0</v>
      </c>
      <c r="Z194">
        <v>0</v>
      </c>
      <c r="AA194">
        <v>0</v>
      </c>
      <c r="AB194">
        <v>0</v>
      </c>
      <c r="AC194">
        <v>0.38</v>
      </c>
      <c r="AD194">
        <v>0</v>
      </c>
      <c r="AE194">
        <v>0</v>
      </c>
      <c r="AF194">
        <v>0</v>
      </c>
      <c r="AG194">
        <v>1</v>
      </c>
      <c r="AH194">
        <v>0.38</v>
      </c>
      <c r="AI194">
        <v>5</v>
      </c>
      <c r="AJ194">
        <v>0.38000000000000012</v>
      </c>
      <c r="AK194">
        <v>0</v>
      </c>
      <c r="AL194">
        <v>0</v>
      </c>
      <c r="AM194">
        <v>0</v>
      </c>
      <c r="AN194">
        <v>0</v>
      </c>
      <c r="AO194">
        <v>0.2</v>
      </c>
      <c r="AP194">
        <v>0.18</v>
      </c>
      <c r="AQ194">
        <v>0</v>
      </c>
      <c r="AR194">
        <v>0</v>
      </c>
      <c r="AS194">
        <v>1</v>
      </c>
      <c r="AT194">
        <v>0.38</v>
      </c>
      <c r="AU194">
        <v>0</v>
      </c>
      <c r="AV194">
        <v>0</v>
      </c>
      <c r="AW194">
        <v>0.37999999523162842</v>
      </c>
      <c r="AX194">
        <v>0</v>
      </c>
      <c r="AY194">
        <v>0.20000000298023221</v>
      </c>
      <c r="AZ194">
        <v>0.1800000071525574</v>
      </c>
      <c r="BA194">
        <v>0</v>
      </c>
      <c r="BB194">
        <v>0</v>
      </c>
      <c r="BC194">
        <v>0.38000001013278961</v>
      </c>
      <c r="BD194">
        <v>0</v>
      </c>
      <c r="BE194">
        <v>1</v>
      </c>
      <c r="BF194">
        <v>0</v>
      </c>
      <c r="BG194">
        <v>150</v>
      </c>
      <c r="BH194">
        <v>0.20000000298023221</v>
      </c>
      <c r="BI194">
        <v>0.1800000071525574</v>
      </c>
      <c r="BJ194">
        <v>0</v>
      </c>
      <c r="BK194">
        <v>0</v>
      </c>
      <c r="BL194">
        <v>0</v>
      </c>
      <c r="BM194">
        <v>0</v>
      </c>
      <c r="BP194">
        <v>0</v>
      </c>
      <c r="BQ194">
        <v>0</v>
      </c>
      <c r="BT194">
        <v>0</v>
      </c>
      <c r="BU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</row>
    <row r="195" spans="1:96" x14ac:dyDescent="0.25">
      <c r="A195">
        <v>194</v>
      </c>
      <c r="B195" t="s">
        <v>855</v>
      </c>
      <c r="C195" t="s">
        <v>856</v>
      </c>
      <c r="D195" t="s">
        <v>857</v>
      </c>
      <c r="E195" t="s">
        <v>858</v>
      </c>
      <c r="F195" t="s">
        <v>127</v>
      </c>
      <c r="G195">
        <v>5</v>
      </c>
      <c r="H195">
        <v>1</v>
      </c>
      <c r="I195">
        <v>1863</v>
      </c>
      <c r="J195">
        <v>0</v>
      </c>
      <c r="K195">
        <v>1</v>
      </c>
      <c r="L195">
        <v>8440.6</v>
      </c>
      <c r="M195">
        <v>4490.8999999999996</v>
      </c>
      <c r="N195">
        <v>10651</v>
      </c>
      <c r="O195">
        <v>290.7</v>
      </c>
      <c r="P195">
        <v>10553.4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8.8800000000000008</v>
      </c>
      <c r="W195">
        <v>3.5</v>
      </c>
      <c r="X195">
        <v>8.8800000000000008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4.2</v>
      </c>
      <c r="AE195">
        <v>3.08</v>
      </c>
      <c r="AF195">
        <v>1.6</v>
      </c>
      <c r="AG195">
        <v>0.47297297297297303</v>
      </c>
      <c r="AH195">
        <v>8.8800000000000008</v>
      </c>
      <c r="AI195">
        <v>3.5</v>
      </c>
      <c r="AJ195">
        <v>8.8799999999999848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3.280000000000002</v>
      </c>
      <c r="AQ195">
        <v>3.200000000000002</v>
      </c>
      <c r="AR195">
        <v>2.4000000000000008</v>
      </c>
      <c r="AS195">
        <v>0.36936936936936943</v>
      </c>
      <c r="AT195">
        <v>8.8800000000000008</v>
      </c>
      <c r="AU195">
        <v>0</v>
      </c>
      <c r="AV195">
        <v>0</v>
      </c>
      <c r="AW195">
        <v>8.880000114440918</v>
      </c>
      <c r="AX195">
        <v>0</v>
      </c>
      <c r="AY195">
        <v>0</v>
      </c>
      <c r="AZ195">
        <v>2.4800000190734859</v>
      </c>
      <c r="BA195">
        <v>1.8999999761581421</v>
      </c>
      <c r="BB195">
        <v>4.5</v>
      </c>
      <c r="BC195">
        <v>2.4800000190734859</v>
      </c>
      <c r="BD195">
        <v>6.3999999761581421</v>
      </c>
      <c r="BE195">
        <v>0.27927928157716148</v>
      </c>
      <c r="BF195">
        <v>0.72072071842283858</v>
      </c>
      <c r="BG195">
        <v>150</v>
      </c>
      <c r="BH195">
        <v>0</v>
      </c>
      <c r="BI195">
        <v>2.4800000190734859</v>
      </c>
      <c r="BJ195">
        <v>1.8999999761581421</v>
      </c>
      <c r="BK195">
        <v>4.5</v>
      </c>
      <c r="BL195">
        <v>1</v>
      </c>
      <c r="BM195">
        <v>1</v>
      </c>
      <c r="BN195">
        <v>2021</v>
      </c>
      <c r="BO195">
        <v>3</v>
      </c>
      <c r="BP195">
        <v>1</v>
      </c>
      <c r="BQ195">
        <v>2</v>
      </c>
      <c r="BR195">
        <v>2024</v>
      </c>
      <c r="BS195">
        <v>1</v>
      </c>
      <c r="BT195">
        <v>1</v>
      </c>
      <c r="BU195">
        <v>3</v>
      </c>
      <c r="BV195">
        <v>2025</v>
      </c>
      <c r="BW195">
        <v>1</v>
      </c>
      <c r="BX195">
        <v>1</v>
      </c>
      <c r="BY195">
        <v>0</v>
      </c>
      <c r="BZ195">
        <v>0</v>
      </c>
      <c r="CA195">
        <v>1</v>
      </c>
      <c r="CB195">
        <v>1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</row>
    <row r="196" spans="1:96" x14ac:dyDescent="0.25">
      <c r="A196">
        <v>195</v>
      </c>
      <c r="B196" t="s">
        <v>859</v>
      </c>
      <c r="C196" t="s">
        <v>860</v>
      </c>
      <c r="D196" t="s">
        <v>861</v>
      </c>
      <c r="E196" t="s">
        <v>862</v>
      </c>
      <c r="F196" t="s">
        <v>105</v>
      </c>
      <c r="G196">
        <v>2</v>
      </c>
      <c r="H196">
        <v>1</v>
      </c>
      <c r="I196">
        <v>1190</v>
      </c>
      <c r="J196">
        <v>0</v>
      </c>
      <c r="K196">
        <v>1</v>
      </c>
      <c r="L196">
        <v>2158.3000000000002</v>
      </c>
      <c r="M196">
        <v>977.1</v>
      </c>
      <c r="N196">
        <v>5204.5</v>
      </c>
      <c r="O196">
        <v>1039.7</v>
      </c>
      <c r="P196">
        <v>5665.1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1.23</v>
      </c>
      <c r="W196">
        <v>3</v>
      </c>
      <c r="X196">
        <v>1.23</v>
      </c>
      <c r="Y196">
        <v>0</v>
      </c>
      <c r="Z196">
        <v>0</v>
      </c>
      <c r="AA196">
        <v>0</v>
      </c>
      <c r="AB196">
        <v>0</v>
      </c>
      <c r="AC196">
        <v>1.23</v>
      </c>
      <c r="AD196">
        <v>0</v>
      </c>
      <c r="AE196">
        <v>0</v>
      </c>
      <c r="AF196">
        <v>0</v>
      </c>
      <c r="AG196">
        <v>1</v>
      </c>
      <c r="AH196">
        <v>1.23</v>
      </c>
      <c r="AI196">
        <v>3</v>
      </c>
      <c r="AJ196">
        <v>1.23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0.23</v>
      </c>
      <c r="AQ196">
        <v>0.79999999999999993</v>
      </c>
      <c r="AR196">
        <v>0.2</v>
      </c>
      <c r="AS196">
        <v>0.18699186991869921</v>
      </c>
      <c r="AT196">
        <v>1.23</v>
      </c>
      <c r="AU196">
        <v>0</v>
      </c>
      <c r="AV196">
        <v>0</v>
      </c>
      <c r="AW196">
        <v>1.2300000190734861</v>
      </c>
      <c r="AX196">
        <v>0</v>
      </c>
      <c r="AY196">
        <v>0</v>
      </c>
      <c r="AZ196">
        <v>0.23000000417232511</v>
      </c>
      <c r="BA196">
        <v>0.5</v>
      </c>
      <c r="BB196">
        <v>0.5</v>
      </c>
      <c r="BC196">
        <v>0.23000000417232511</v>
      </c>
      <c r="BD196">
        <v>1</v>
      </c>
      <c r="BE196">
        <v>0.18699187267653189</v>
      </c>
      <c r="BF196">
        <v>0.81300812732346806</v>
      </c>
      <c r="BG196">
        <v>150</v>
      </c>
      <c r="BH196">
        <v>0</v>
      </c>
      <c r="BI196">
        <v>0.23000000417232511</v>
      </c>
      <c r="BJ196">
        <v>0.5</v>
      </c>
      <c r="BK196">
        <v>0.5</v>
      </c>
      <c r="BL196">
        <v>1</v>
      </c>
      <c r="BM196">
        <v>1</v>
      </c>
      <c r="BN196">
        <v>2023</v>
      </c>
      <c r="BO196">
        <v>1</v>
      </c>
      <c r="BP196">
        <v>1</v>
      </c>
      <c r="BQ196">
        <v>1</v>
      </c>
      <c r="BR196">
        <v>2023</v>
      </c>
      <c r="BS196">
        <v>2</v>
      </c>
      <c r="BT196">
        <v>1</v>
      </c>
      <c r="BU196">
        <v>2</v>
      </c>
      <c r="BV196">
        <v>2025</v>
      </c>
      <c r="BW196">
        <v>1</v>
      </c>
      <c r="BX196">
        <v>0</v>
      </c>
      <c r="BY196">
        <v>0</v>
      </c>
      <c r="BZ196">
        <v>1</v>
      </c>
      <c r="CA196">
        <v>0</v>
      </c>
      <c r="CB196">
        <v>1</v>
      </c>
      <c r="CC196">
        <v>0</v>
      </c>
      <c r="CD196">
        <v>0</v>
      </c>
      <c r="CE196">
        <v>1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</row>
    <row r="197" spans="1:96" x14ac:dyDescent="0.25">
      <c r="A197">
        <v>196</v>
      </c>
      <c r="B197" t="s">
        <v>863</v>
      </c>
      <c r="C197" t="s">
        <v>864</v>
      </c>
      <c r="D197" t="s">
        <v>865</v>
      </c>
      <c r="E197" t="s">
        <v>144</v>
      </c>
      <c r="F197" t="s">
        <v>100</v>
      </c>
      <c r="G197">
        <v>1</v>
      </c>
      <c r="H197">
        <v>1</v>
      </c>
      <c r="I197">
        <v>786</v>
      </c>
      <c r="J197">
        <v>0</v>
      </c>
      <c r="K197">
        <v>0</v>
      </c>
      <c r="L197">
        <v>5334</v>
      </c>
      <c r="M197">
        <v>4207.6000000000004</v>
      </c>
      <c r="N197">
        <v>6349.2</v>
      </c>
      <c r="O197">
        <v>481.1</v>
      </c>
      <c r="P197">
        <v>5015.7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0.68</v>
      </c>
      <c r="W197">
        <v>3</v>
      </c>
      <c r="X197">
        <v>0.68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0.68</v>
      </c>
      <c r="AE197">
        <v>0</v>
      </c>
      <c r="AF197">
        <v>0</v>
      </c>
      <c r="AG197">
        <v>1</v>
      </c>
      <c r="AH197">
        <v>0.68</v>
      </c>
      <c r="AI197">
        <v>3</v>
      </c>
      <c r="AJ197">
        <v>0.67999999999999994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0.67999999999999994</v>
      </c>
      <c r="AQ197">
        <v>0</v>
      </c>
      <c r="AR197">
        <v>0</v>
      </c>
      <c r="AS197">
        <v>1</v>
      </c>
      <c r="AT197">
        <v>0.68</v>
      </c>
      <c r="AU197">
        <v>0</v>
      </c>
      <c r="AV197">
        <v>0</v>
      </c>
      <c r="AW197">
        <v>0.68000000715255737</v>
      </c>
      <c r="AX197">
        <v>0</v>
      </c>
      <c r="AY197">
        <v>0</v>
      </c>
      <c r="AZ197">
        <v>0.47999998927116388</v>
      </c>
      <c r="BA197">
        <v>0.20000000298023221</v>
      </c>
      <c r="BB197">
        <v>0</v>
      </c>
      <c r="BC197">
        <v>0.47999998927116388</v>
      </c>
      <c r="BD197">
        <v>0.20000000298023221</v>
      </c>
      <c r="BE197">
        <v>0.70588234520700965</v>
      </c>
      <c r="BF197">
        <v>0.29411765479299029</v>
      </c>
      <c r="BG197">
        <v>150</v>
      </c>
      <c r="BH197">
        <v>0</v>
      </c>
      <c r="BI197">
        <v>0.47999998927116388</v>
      </c>
      <c r="BJ197">
        <v>0.20000000298023221</v>
      </c>
      <c r="BK197">
        <v>0</v>
      </c>
      <c r="BL197">
        <v>0</v>
      </c>
      <c r="BM197">
        <v>0</v>
      </c>
      <c r="BP197">
        <v>0</v>
      </c>
      <c r="BQ197">
        <v>0</v>
      </c>
      <c r="BT197">
        <v>0</v>
      </c>
      <c r="BU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25">
      <c r="A198">
        <v>197</v>
      </c>
      <c r="B198" t="s">
        <v>866</v>
      </c>
      <c r="C198" t="s">
        <v>867</v>
      </c>
      <c r="D198" t="s">
        <v>868</v>
      </c>
      <c r="E198" t="s">
        <v>869</v>
      </c>
      <c r="F198" t="s">
        <v>213</v>
      </c>
      <c r="G198">
        <v>2</v>
      </c>
      <c r="H198">
        <v>2</v>
      </c>
      <c r="I198">
        <v>1928</v>
      </c>
      <c r="J198">
        <v>0</v>
      </c>
      <c r="K198">
        <v>0</v>
      </c>
      <c r="L198">
        <v>4307.5</v>
      </c>
      <c r="M198">
        <v>3805.9</v>
      </c>
      <c r="N198">
        <v>4316.5</v>
      </c>
      <c r="O198">
        <v>79.2</v>
      </c>
      <c r="P198">
        <v>4625.8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2.23</v>
      </c>
      <c r="W198">
        <v>3</v>
      </c>
      <c r="X198">
        <v>2.23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2.0299999999999998</v>
      </c>
      <c r="AE198">
        <v>0.2</v>
      </c>
      <c r="AF198">
        <v>0</v>
      </c>
      <c r="AG198">
        <v>0.91031390134529144</v>
      </c>
      <c r="AH198">
        <v>2.23</v>
      </c>
      <c r="AI198">
        <v>3</v>
      </c>
      <c r="AJ198">
        <v>2.23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1.830000000000001</v>
      </c>
      <c r="AQ198">
        <v>0.4</v>
      </c>
      <c r="AR198">
        <v>0</v>
      </c>
      <c r="AS198">
        <v>0.820627802690583</v>
      </c>
      <c r="AT198">
        <v>2.23</v>
      </c>
      <c r="AU198">
        <v>0</v>
      </c>
      <c r="AV198">
        <v>0</v>
      </c>
      <c r="AW198">
        <v>2.2300000190734859</v>
      </c>
      <c r="AX198">
        <v>0</v>
      </c>
      <c r="AY198">
        <v>0</v>
      </c>
      <c r="AZ198">
        <v>1.929999947547913</v>
      </c>
      <c r="BA198">
        <v>0.30000001192092901</v>
      </c>
      <c r="BB198">
        <v>0</v>
      </c>
      <c r="BC198">
        <v>1.929999947547913</v>
      </c>
      <c r="BD198">
        <v>0.30000001192092901</v>
      </c>
      <c r="BE198">
        <v>0.86547084422710696</v>
      </c>
      <c r="BF198">
        <v>0.13452915577289301</v>
      </c>
      <c r="BG198">
        <v>150</v>
      </c>
      <c r="BH198">
        <v>0</v>
      </c>
      <c r="BI198">
        <v>1.929999947547913</v>
      </c>
      <c r="BJ198">
        <v>0.30000001192092901</v>
      </c>
      <c r="BK198">
        <v>0</v>
      </c>
      <c r="BL198">
        <v>0</v>
      </c>
      <c r="BM198">
        <v>0</v>
      </c>
      <c r="BP198">
        <v>0</v>
      </c>
      <c r="BQ198">
        <v>0</v>
      </c>
      <c r="BT198">
        <v>0</v>
      </c>
      <c r="BU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25">
      <c r="A199">
        <v>198</v>
      </c>
      <c r="B199" t="s">
        <v>870</v>
      </c>
      <c r="C199" t="s">
        <v>871</v>
      </c>
      <c r="D199" t="s">
        <v>872</v>
      </c>
      <c r="E199" t="s">
        <v>873</v>
      </c>
      <c r="F199" t="s">
        <v>127</v>
      </c>
      <c r="G199">
        <v>1</v>
      </c>
      <c r="H199">
        <v>1</v>
      </c>
      <c r="I199">
        <v>373</v>
      </c>
      <c r="J199">
        <v>0</v>
      </c>
      <c r="K199">
        <v>0</v>
      </c>
      <c r="L199">
        <v>8716.9</v>
      </c>
      <c r="M199">
        <v>4767.1000000000004</v>
      </c>
      <c r="N199">
        <v>10927.3</v>
      </c>
      <c r="O199">
        <v>566.9</v>
      </c>
      <c r="P199">
        <v>10829.6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0.22</v>
      </c>
      <c r="W199">
        <v>3</v>
      </c>
      <c r="X199">
        <v>0</v>
      </c>
      <c r="Y199">
        <v>0</v>
      </c>
      <c r="Z199">
        <v>0</v>
      </c>
      <c r="AA199">
        <v>0.22</v>
      </c>
      <c r="AB199">
        <v>0</v>
      </c>
      <c r="AC199">
        <v>0</v>
      </c>
      <c r="AD199">
        <v>0</v>
      </c>
      <c r="AE199">
        <v>0</v>
      </c>
      <c r="AF199">
        <v>0.22</v>
      </c>
      <c r="AG199">
        <v>0</v>
      </c>
      <c r="AH199">
        <v>0.22</v>
      </c>
      <c r="AI199">
        <v>3</v>
      </c>
      <c r="AJ199">
        <v>0</v>
      </c>
      <c r="AK199">
        <v>0</v>
      </c>
      <c r="AL199">
        <v>0</v>
      </c>
      <c r="AM199">
        <v>0.22</v>
      </c>
      <c r="AN199">
        <v>0</v>
      </c>
      <c r="AO199">
        <v>0</v>
      </c>
      <c r="AP199">
        <v>0</v>
      </c>
      <c r="AQ199">
        <v>0</v>
      </c>
      <c r="AR199">
        <v>0.22</v>
      </c>
      <c r="AS199">
        <v>0</v>
      </c>
      <c r="AT199">
        <v>0.22</v>
      </c>
      <c r="AU199">
        <v>0</v>
      </c>
      <c r="AV199">
        <v>0</v>
      </c>
      <c r="AW199">
        <v>0.2199999988079071</v>
      </c>
      <c r="AX199">
        <v>0</v>
      </c>
      <c r="AY199">
        <v>0.2199999988079071</v>
      </c>
      <c r="AZ199">
        <v>0</v>
      </c>
      <c r="BA199">
        <v>0</v>
      </c>
      <c r="BB199">
        <v>0</v>
      </c>
      <c r="BC199">
        <v>0.2199999988079071</v>
      </c>
      <c r="BD199">
        <v>0</v>
      </c>
      <c r="BE199">
        <v>1</v>
      </c>
      <c r="BF199">
        <v>0</v>
      </c>
      <c r="BG199">
        <v>150</v>
      </c>
      <c r="BH199">
        <v>0.2199999988079071</v>
      </c>
      <c r="BI199">
        <v>0</v>
      </c>
      <c r="BJ199">
        <v>0</v>
      </c>
      <c r="BK199">
        <v>0</v>
      </c>
      <c r="BL199">
        <v>1</v>
      </c>
      <c r="BM199">
        <v>2</v>
      </c>
      <c r="BN199">
        <v>2023</v>
      </c>
      <c r="BO199">
        <v>1</v>
      </c>
      <c r="BP199">
        <v>1</v>
      </c>
      <c r="BQ199">
        <v>2</v>
      </c>
      <c r="BR199">
        <v>2023</v>
      </c>
      <c r="BS199">
        <v>2</v>
      </c>
      <c r="BT199">
        <v>1</v>
      </c>
      <c r="BU199">
        <v>3</v>
      </c>
      <c r="BV199">
        <v>2025</v>
      </c>
      <c r="BW199">
        <v>1</v>
      </c>
      <c r="BX199">
        <v>1</v>
      </c>
      <c r="BY199">
        <v>0</v>
      </c>
      <c r="BZ199">
        <v>1</v>
      </c>
      <c r="CA199">
        <v>0</v>
      </c>
      <c r="CB199">
        <v>1</v>
      </c>
      <c r="CC199">
        <v>1</v>
      </c>
      <c r="CD199">
        <v>0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25">
      <c r="A200">
        <v>199</v>
      </c>
      <c r="B200" t="s">
        <v>874</v>
      </c>
      <c r="C200" t="s">
        <v>875</v>
      </c>
      <c r="D200" t="s">
        <v>876</v>
      </c>
      <c r="E200" t="s">
        <v>800</v>
      </c>
      <c r="F200" t="s">
        <v>127</v>
      </c>
      <c r="G200">
        <v>1</v>
      </c>
      <c r="H200">
        <v>1</v>
      </c>
      <c r="I200">
        <v>719</v>
      </c>
      <c r="J200">
        <v>0</v>
      </c>
      <c r="K200">
        <v>1</v>
      </c>
      <c r="L200">
        <v>8420.7999999999993</v>
      </c>
      <c r="M200">
        <v>4378.1000000000004</v>
      </c>
      <c r="N200">
        <v>10631.2</v>
      </c>
      <c r="O200">
        <v>1759.9</v>
      </c>
      <c r="P200">
        <v>10533.6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3.27</v>
      </c>
      <c r="W200">
        <v>3.5</v>
      </c>
      <c r="X200">
        <v>2.97</v>
      </c>
      <c r="Y200">
        <v>0</v>
      </c>
      <c r="Z200">
        <v>0</v>
      </c>
      <c r="AA200">
        <v>0.3</v>
      </c>
      <c r="AB200">
        <v>0</v>
      </c>
      <c r="AC200">
        <v>2.97</v>
      </c>
      <c r="AD200">
        <v>0</v>
      </c>
      <c r="AE200">
        <v>0</v>
      </c>
      <c r="AF200">
        <v>0.3</v>
      </c>
      <c r="AG200">
        <v>0.90825688073394506</v>
      </c>
      <c r="AH200">
        <v>3.27</v>
      </c>
      <c r="AI200">
        <v>3.5</v>
      </c>
      <c r="AJ200">
        <v>2.9700000000000011</v>
      </c>
      <c r="AK200">
        <v>0</v>
      </c>
      <c r="AL200">
        <v>0</v>
      </c>
      <c r="AM200">
        <v>0.3</v>
      </c>
      <c r="AN200">
        <v>0</v>
      </c>
      <c r="AO200">
        <v>0</v>
      </c>
      <c r="AP200">
        <v>2.4700000000000011</v>
      </c>
      <c r="AQ200">
        <v>0.4</v>
      </c>
      <c r="AR200">
        <v>0.4</v>
      </c>
      <c r="AS200">
        <v>0.7553516819571866</v>
      </c>
      <c r="AT200">
        <v>3.27</v>
      </c>
      <c r="AU200">
        <v>0</v>
      </c>
      <c r="AV200">
        <v>0</v>
      </c>
      <c r="AW200">
        <v>2.970000028610229</v>
      </c>
      <c r="AX200">
        <v>0</v>
      </c>
      <c r="AY200">
        <v>0</v>
      </c>
      <c r="AZ200">
        <v>2.5699999332427979</v>
      </c>
      <c r="BA200">
        <v>0.30000001192092901</v>
      </c>
      <c r="BB200">
        <v>0.10000000149011611</v>
      </c>
      <c r="BC200">
        <v>2.5699999332427979</v>
      </c>
      <c r="BD200">
        <v>0.40000001341104507</v>
      </c>
      <c r="BE200">
        <v>0.8653198583852818</v>
      </c>
      <c r="BF200">
        <v>0.1346801416147182</v>
      </c>
      <c r="BG200">
        <v>150</v>
      </c>
      <c r="BH200">
        <v>0</v>
      </c>
      <c r="BI200">
        <v>2.5699999332427979</v>
      </c>
      <c r="BJ200">
        <v>0.30000001192092901</v>
      </c>
      <c r="BK200">
        <v>0.10000000149011611</v>
      </c>
      <c r="BL200">
        <v>1</v>
      </c>
      <c r="BM200">
        <v>1</v>
      </c>
      <c r="BN200">
        <v>2022</v>
      </c>
      <c r="BO200">
        <v>2</v>
      </c>
      <c r="BP200">
        <v>1</v>
      </c>
      <c r="BQ200">
        <v>2</v>
      </c>
      <c r="BR200">
        <v>2024</v>
      </c>
      <c r="BS200">
        <v>1</v>
      </c>
      <c r="BT200">
        <v>1</v>
      </c>
      <c r="BU200">
        <v>2</v>
      </c>
      <c r="BV200">
        <v>2024</v>
      </c>
      <c r="BW200">
        <v>2</v>
      </c>
      <c r="BX200">
        <v>0</v>
      </c>
      <c r="BY200">
        <v>1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25">
      <c r="A201">
        <v>200</v>
      </c>
      <c r="B201" t="s">
        <v>877</v>
      </c>
      <c r="C201" t="s">
        <v>878</v>
      </c>
      <c r="D201" t="s">
        <v>879</v>
      </c>
      <c r="E201" t="s">
        <v>880</v>
      </c>
      <c r="F201" t="s">
        <v>176</v>
      </c>
      <c r="G201">
        <v>1</v>
      </c>
      <c r="H201">
        <v>1</v>
      </c>
      <c r="I201">
        <v>588</v>
      </c>
      <c r="J201">
        <v>0</v>
      </c>
      <c r="K201">
        <v>0</v>
      </c>
      <c r="L201">
        <v>4931.7</v>
      </c>
      <c r="M201">
        <v>2122.4</v>
      </c>
      <c r="N201">
        <v>6512</v>
      </c>
      <c r="O201">
        <v>2411.6</v>
      </c>
      <c r="P201">
        <v>8183.9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0.91</v>
      </c>
      <c r="W201">
        <v>3.5</v>
      </c>
      <c r="X201">
        <v>0.2</v>
      </c>
      <c r="Y201">
        <v>0</v>
      </c>
      <c r="Z201">
        <v>0</v>
      </c>
      <c r="AA201">
        <v>0.71</v>
      </c>
      <c r="AB201">
        <v>0</v>
      </c>
      <c r="AC201">
        <v>0.4</v>
      </c>
      <c r="AD201">
        <v>0</v>
      </c>
      <c r="AE201">
        <v>0</v>
      </c>
      <c r="AF201">
        <v>0.51</v>
      </c>
      <c r="AG201">
        <v>0.43956043956043961</v>
      </c>
      <c r="AH201">
        <v>0.91</v>
      </c>
      <c r="AI201">
        <v>3.5</v>
      </c>
      <c r="AJ201">
        <v>0.2</v>
      </c>
      <c r="AK201">
        <v>0</v>
      </c>
      <c r="AL201">
        <v>0</v>
      </c>
      <c r="AM201">
        <v>0.71</v>
      </c>
      <c r="AN201">
        <v>0</v>
      </c>
      <c r="AO201">
        <v>0</v>
      </c>
      <c r="AP201">
        <v>0.2</v>
      </c>
      <c r="AQ201">
        <v>0</v>
      </c>
      <c r="AR201">
        <v>0.71</v>
      </c>
      <c r="AS201">
        <v>0.2197802197802198</v>
      </c>
      <c r="AT201">
        <v>0.91</v>
      </c>
      <c r="AU201">
        <v>0</v>
      </c>
      <c r="AV201">
        <v>0</v>
      </c>
      <c r="AW201">
        <v>0.20000000298023221</v>
      </c>
      <c r="AX201">
        <v>0</v>
      </c>
      <c r="AY201">
        <v>0</v>
      </c>
      <c r="AZ201">
        <v>0.20000000298023221</v>
      </c>
      <c r="BA201">
        <v>0</v>
      </c>
      <c r="BB201">
        <v>0</v>
      </c>
      <c r="BC201">
        <v>0.20000000298023221</v>
      </c>
      <c r="BD201">
        <v>0</v>
      </c>
      <c r="BE201">
        <v>1</v>
      </c>
      <c r="BF201">
        <v>0</v>
      </c>
      <c r="BG201">
        <v>150</v>
      </c>
      <c r="BH201">
        <v>0</v>
      </c>
      <c r="BI201">
        <v>0.20000000298023221</v>
      </c>
      <c r="BJ201">
        <v>0</v>
      </c>
      <c r="BK201">
        <v>0</v>
      </c>
      <c r="BL201">
        <v>0</v>
      </c>
      <c r="BM201">
        <v>0</v>
      </c>
      <c r="BP201">
        <v>1</v>
      </c>
      <c r="BQ201">
        <v>1</v>
      </c>
      <c r="BR201">
        <v>2024</v>
      </c>
      <c r="BS201">
        <v>1</v>
      </c>
      <c r="BT201">
        <v>1</v>
      </c>
      <c r="BU201">
        <v>1</v>
      </c>
      <c r="BV201">
        <v>2024</v>
      </c>
      <c r="BW201">
        <v>2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1</v>
      </c>
    </row>
    <row r="202" spans="1:96" x14ac:dyDescent="0.25">
      <c r="A202">
        <v>201</v>
      </c>
      <c r="B202" t="s">
        <v>881</v>
      </c>
      <c r="C202" t="s">
        <v>882</v>
      </c>
      <c r="D202" t="s">
        <v>883</v>
      </c>
      <c r="E202" t="s">
        <v>880</v>
      </c>
      <c r="F202" t="s">
        <v>176</v>
      </c>
      <c r="G202">
        <v>1</v>
      </c>
      <c r="H202">
        <v>1</v>
      </c>
      <c r="I202">
        <v>588</v>
      </c>
      <c r="J202">
        <v>0</v>
      </c>
      <c r="K202">
        <v>0</v>
      </c>
      <c r="L202">
        <v>4610.6000000000004</v>
      </c>
      <c r="M202">
        <v>1457.8</v>
      </c>
      <c r="N202">
        <v>5847.5</v>
      </c>
      <c r="O202">
        <v>2090.4</v>
      </c>
      <c r="P202">
        <v>7519.3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1.96</v>
      </c>
      <c r="W202">
        <v>3.5</v>
      </c>
      <c r="X202">
        <v>1.96</v>
      </c>
      <c r="Y202">
        <v>0</v>
      </c>
      <c r="Z202">
        <v>0</v>
      </c>
      <c r="AA202">
        <v>0</v>
      </c>
      <c r="AB202">
        <v>0</v>
      </c>
      <c r="AC202">
        <v>1.96</v>
      </c>
      <c r="AD202">
        <v>0</v>
      </c>
      <c r="AE202">
        <v>0</v>
      </c>
      <c r="AF202">
        <v>0</v>
      </c>
      <c r="AG202">
        <v>1</v>
      </c>
      <c r="AH202">
        <v>1.96</v>
      </c>
      <c r="AI202">
        <v>3.5</v>
      </c>
      <c r="AJ202">
        <v>1.9600000000000011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1.9600000000000011</v>
      </c>
      <c r="AQ202">
        <v>0</v>
      </c>
      <c r="AR202">
        <v>0</v>
      </c>
      <c r="AS202">
        <v>1</v>
      </c>
      <c r="AT202">
        <v>1.96</v>
      </c>
      <c r="AU202">
        <v>0</v>
      </c>
      <c r="AV202">
        <v>0</v>
      </c>
      <c r="AW202">
        <v>1.9600000381469731</v>
      </c>
      <c r="AX202">
        <v>0</v>
      </c>
      <c r="AY202">
        <v>0.60000002384185791</v>
      </c>
      <c r="AZ202">
        <v>0.80000001192092896</v>
      </c>
      <c r="BA202">
        <v>0.46000000834465032</v>
      </c>
      <c r="BB202">
        <v>0.10000000149011611</v>
      </c>
      <c r="BC202">
        <v>1.4000000357627871</v>
      </c>
      <c r="BD202">
        <v>0.56000000983476639</v>
      </c>
      <c r="BE202">
        <v>0.71428571591484991</v>
      </c>
      <c r="BF202">
        <v>0.28571428408514998</v>
      </c>
      <c r="BG202">
        <v>150</v>
      </c>
      <c r="BH202">
        <v>0.60000002384185791</v>
      </c>
      <c r="BI202">
        <v>0.80000001192092896</v>
      </c>
      <c r="BJ202">
        <v>0.46000000834465032</v>
      </c>
      <c r="BK202">
        <v>0.10000000149011611</v>
      </c>
      <c r="BL202">
        <v>1</v>
      </c>
      <c r="BM202">
        <v>1</v>
      </c>
      <c r="BN202">
        <v>2022</v>
      </c>
      <c r="BO202">
        <v>2</v>
      </c>
      <c r="BP202">
        <v>1</v>
      </c>
      <c r="BQ202">
        <v>1</v>
      </c>
      <c r="BR202">
        <v>2022</v>
      </c>
      <c r="BS202">
        <v>3</v>
      </c>
      <c r="BT202">
        <v>1</v>
      </c>
      <c r="BU202">
        <v>1</v>
      </c>
      <c r="BV202">
        <v>2022</v>
      </c>
      <c r="BW202">
        <v>4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25">
      <c r="A203">
        <v>202</v>
      </c>
      <c r="B203" t="s">
        <v>884</v>
      </c>
      <c r="C203" t="s">
        <v>885</v>
      </c>
      <c r="D203" t="s">
        <v>886</v>
      </c>
      <c r="E203" t="s">
        <v>378</v>
      </c>
      <c r="F203" t="s">
        <v>105</v>
      </c>
      <c r="G203">
        <v>2</v>
      </c>
      <c r="H203">
        <v>1</v>
      </c>
      <c r="I203">
        <v>1247</v>
      </c>
      <c r="J203">
        <v>0</v>
      </c>
      <c r="K203">
        <v>0</v>
      </c>
      <c r="L203">
        <v>3337.8</v>
      </c>
      <c r="M203">
        <v>3247.5</v>
      </c>
      <c r="N203">
        <v>3308.3</v>
      </c>
      <c r="O203">
        <v>833.6</v>
      </c>
      <c r="P203">
        <v>4706.8999999999996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0.34</v>
      </c>
      <c r="W203">
        <v>3</v>
      </c>
      <c r="X203">
        <v>0</v>
      </c>
      <c r="Y203">
        <v>0</v>
      </c>
      <c r="Z203">
        <v>0</v>
      </c>
      <c r="AA203">
        <v>0.34</v>
      </c>
      <c r="AB203">
        <v>0</v>
      </c>
      <c r="AC203">
        <v>0</v>
      </c>
      <c r="AD203">
        <v>0</v>
      </c>
      <c r="AE203">
        <v>0</v>
      </c>
      <c r="AF203">
        <v>0.34</v>
      </c>
      <c r="AG203">
        <v>0</v>
      </c>
      <c r="AH203">
        <v>0.34</v>
      </c>
      <c r="AI203">
        <v>3</v>
      </c>
      <c r="AJ203">
        <v>0.34</v>
      </c>
      <c r="AK203">
        <v>0</v>
      </c>
      <c r="AL203">
        <v>0</v>
      </c>
      <c r="AM203">
        <v>0</v>
      </c>
      <c r="AN203">
        <v>0</v>
      </c>
      <c r="AO203">
        <v>0.34</v>
      </c>
      <c r="AP203">
        <v>0</v>
      </c>
      <c r="AQ203">
        <v>0</v>
      </c>
      <c r="AR203">
        <v>0</v>
      </c>
      <c r="AS203">
        <v>1</v>
      </c>
      <c r="AT203">
        <v>0.34</v>
      </c>
      <c r="AU203">
        <v>0</v>
      </c>
      <c r="AV203">
        <v>0</v>
      </c>
      <c r="AW203">
        <v>0.34000000357627869</v>
      </c>
      <c r="AX203">
        <v>0</v>
      </c>
      <c r="AY203">
        <v>0.239999994635582</v>
      </c>
      <c r="AZ203">
        <v>0.10000000149011611</v>
      </c>
      <c r="BA203">
        <v>0</v>
      </c>
      <c r="BB203">
        <v>0</v>
      </c>
      <c r="BC203">
        <v>0.33999999612569809</v>
      </c>
      <c r="BD203">
        <v>0</v>
      </c>
      <c r="BE203">
        <v>1</v>
      </c>
      <c r="BF203">
        <v>0</v>
      </c>
      <c r="BG203">
        <v>150</v>
      </c>
      <c r="BH203">
        <v>0.239999994635582</v>
      </c>
      <c r="BI203">
        <v>0.10000000149011611</v>
      </c>
      <c r="BJ203">
        <v>0</v>
      </c>
      <c r="BK203">
        <v>0</v>
      </c>
      <c r="BL203">
        <v>0</v>
      </c>
      <c r="BM203">
        <v>0</v>
      </c>
      <c r="BP203">
        <v>1</v>
      </c>
      <c r="BQ203">
        <v>1</v>
      </c>
      <c r="BR203">
        <v>2024</v>
      </c>
      <c r="BS203">
        <v>1</v>
      </c>
      <c r="BT203">
        <v>1</v>
      </c>
      <c r="BU203">
        <v>1</v>
      </c>
      <c r="BV203">
        <v>2024</v>
      </c>
      <c r="BW203">
        <v>2</v>
      </c>
      <c r="BX203">
        <v>0</v>
      </c>
      <c r="BY203">
        <v>0</v>
      </c>
      <c r="BZ203">
        <v>0</v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25">
      <c r="A204">
        <v>203</v>
      </c>
      <c r="B204" t="s">
        <v>887</v>
      </c>
      <c r="C204" t="s">
        <v>888</v>
      </c>
      <c r="D204" t="s">
        <v>889</v>
      </c>
      <c r="E204" t="s">
        <v>890</v>
      </c>
      <c r="F204" t="s">
        <v>891</v>
      </c>
      <c r="G204">
        <v>5</v>
      </c>
      <c r="H204">
        <v>2</v>
      </c>
      <c r="I204">
        <v>4562</v>
      </c>
      <c r="J204">
        <v>0</v>
      </c>
      <c r="K204">
        <v>0</v>
      </c>
      <c r="L204">
        <v>1580.3</v>
      </c>
      <c r="M204">
        <v>945</v>
      </c>
      <c r="N204">
        <v>2799.2</v>
      </c>
      <c r="O204">
        <v>422.7</v>
      </c>
      <c r="P204">
        <v>29412.3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1.82</v>
      </c>
      <c r="W204">
        <v>3</v>
      </c>
      <c r="X204">
        <v>1.4</v>
      </c>
      <c r="Y204">
        <v>0</v>
      </c>
      <c r="Z204">
        <v>0.42</v>
      </c>
      <c r="AA204">
        <v>0</v>
      </c>
      <c r="AB204">
        <v>0</v>
      </c>
      <c r="AC204">
        <v>0</v>
      </c>
      <c r="AD204">
        <v>0.6</v>
      </c>
      <c r="AE204">
        <v>0.6</v>
      </c>
      <c r="AF204">
        <v>0.62</v>
      </c>
      <c r="AG204">
        <v>0.32967032967032972</v>
      </c>
      <c r="AH204">
        <v>1.82</v>
      </c>
      <c r="AI204">
        <v>3</v>
      </c>
      <c r="AJ204">
        <v>1.4</v>
      </c>
      <c r="AK204">
        <v>0</v>
      </c>
      <c r="AL204">
        <v>0.42</v>
      </c>
      <c r="AM204">
        <v>0</v>
      </c>
      <c r="AN204">
        <v>0</v>
      </c>
      <c r="AO204">
        <v>0</v>
      </c>
      <c r="AP204">
        <v>0.42</v>
      </c>
      <c r="AQ204">
        <v>0.6</v>
      </c>
      <c r="AR204">
        <v>0.79999999999999993</v>
      </c>
      <c r="AS204">
        <v>0.23076923076923081</v>
      </c>
      <c r="AT204">
        <v>1.82</v>
      </c>
      <c r="AU204">
        <v>0</v>
      </c>
      <c r="AV204">
        <v>0.31999999284744263</v>
      </c>
      <c r="AW204">
        <v>1.5</v>
      </c>
      <c r="AX204">
        <v>0</v>
      </c>
      <c r="AY204">
        <v>0.20000000298023221</v>
      </c>
      <c r="AZ204">
        <v>0.80000001192092896</v>
      </c>
      <c r="BA204">
        <v>0.2199999988079071</v>
      </c>
      <c r="BB204">
        <v>0.60000002384185791</v>
      </c>
      <c r="BC204">
        <v>1.000000014901161</v>
      </c>
      <c r="BD204">
        <v>0.82000002264976501</v>
      </c>
      <c r="BE204">
        <v>0.54945054630152979</v>
      </c>
      <c r="BF204">
        <v>0.45054945369847021</v>
      </c>
      <c r="BG204">
        <v>150</v>
      </c>
      <c r="BH204">
        <v>0</v>
      </c>
      <c r="BI204">
        <v>0.69999998807907104</v>
      </c>
      <c r="BJ204">
        <v>0.20000000298023221</v>
      </c>
      <c r="BK204">
        <v>0.60000002384185791</v>
      </c>
      <c r="BL204">
        <v>0</v>
      </c>
      <c r="BM204">
        <v>0</v>
      </c>
      <c r="BP204">
        <v>0</v>
      </c>
      <c r="BQ204">
        <v>0</v>
      </c>
      <c r="BT204">
        <v>0</v>
      </c>
      <c r="BU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</row>
    <row r="205" spans="1:96" x14ac:dyDescent="0.25">
      <c r="A205">
        <v>204</v>
      </c>
      <c r="B205" t="s">
        <v>892</v>
      </c>
      <c r="C205" t="s">
        <v>893</v>
      </c>
      <c r="D205" t="s">
        <v>894</v>
      </c>
      <c r="E205" t="s">
        <v>895</v>
      </c>
      <c r="F205" t="s">
        <v>363</v>
      </c>
      <c r="G205">
        <v>1</v>
      </c>
      <c r="H205">
        <v>1</v>
      </c>
      <c r="I205">
        <v>539</v>
      </c>
      <c r="J205">
        <v>0</v>
      </c>
      <c r="K205">
        <v>0</v>
      </c>
      <c r="L205">
        <v>1383.3</v>
      </c>
      <c r="M205">
        <v>748</v>
      </c>
      <c r="N205">
        <v>2602.1999999999998</v>
      </c>
      <c r="O205">
        <v>86.4</v>
      </c>
      <c r="P205">
        <v>29215.3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0.32</v>
      </c>
      <c r="W205">
        <v>3.5</v>
      </c>
      <c r="X205">
        <v>0.32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0.32</v>
      </c>
      <c r="AE205">
        <v>0</v>
      </c>
      <c r="AF205">
        <v>0</v>
      </c>
      <c r="AG205">
        <v>1</v>
      </c>
      <c r="AH205">
        <v>0.32</v>
      </c>
      <c r="AI205">
        <v>3.5</v>
      </c>
      <c r="AJ205">
        <v>0.32000000000000012</v>
      </c>
      <c r="AK205">
        <v>0</v>
      </c>
      <c r="AL205">
        <v>0</v>
      </c>
      <c r="AM205">
        <v>0</v>
      </c>
      <c r="AN205">
        <v>0</v>
      </c>
      <c r="AO205">
        <v>0.2</v>
      </c>
      <c r="AP205">
        <v>0.12</v>
      </c>
      <c r="AQ205">
        <v>0</v>
      </c>
      <c r="AR205">
        <v>0</v>
      </c>
      <c r="AS205">
        <v>1</v>
      </c>
      <c r="AT205">
        <v>0.32</v>
      </c>
      <c r="AU205">
        <v>0</v>
      </c>
      <c r="AV205">
        <v>0</v>
      </c>
      <c r="AW205">
        <v>0.31999999284744263</v>
      </c>
      <c r="AX205">
        <v>0</v>
      </c>
      <c r="AY205">
        <v>0</v>
      </c>
      <c r="AZ205">
        <v>0.31999999284744263</v>
      </c>
      <c r="BA205">
        <v>0</v>
      </c>
      <c r="BB205">
        <v>0</v>
      </c>
      <c r="BC205">
        <v>0.31999999284744263</v>
      </c>
      <c r="BD205">
        <v>0</v>
      </c>
      <c r="BE205">
        <v>1</v>
      </c>
      <c r="BF205">
        <v>0</v>
      </c>
      <c r="BG205">
        <v>150</v>
      </c>
      <c r="BH205">
        <v>0</v>
      </c>
      <c r="BI205">
        <v>0.31999999284744263</v>
      </c>
      <c r="BJ205">
        <v>0</v>
      </c>
      <c r="BK205">
        <v>0</v>
      </c>
      <c r="BL205">
        <v>0</v>
      </c>
      <c r="BM205">
        <v>0</v>
      </c>
      <c r="BP205">
        <v>0</v>
      </c>
      <c r="BQ205">
        <v>0</v>
      </c>
      <c r="BT205">
        <v>0</v>
      </c>
      <c r="BU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</row>
    <row r="206" spans="1:96" x14ac:dyDescent="0.25">
      <c r="A206">
        <v>205</v>
      </c>
      <c r="B206" t="s">
        <v>896</v>
      </c>
      <c r="C206" t="s">
        <v>897</v>
      </c>
      <c r="D206" t="s">
        <v>898</v>
      </c>
      <c r="E206" t="s">
        <v>899</v>
      </c>
      <c r="F206" t="s">
        <v>363</v>
      </c>
      <c r="G206">
        <v>1</v>
      </c>
      <c r="H206">
        <v>1</v>
      </c>
      <c r="I206">
        <v>727</v>
      </c>
      <c r="J206">
        <v>0</v>
      </c>
      <c r="K206">
        <v>0</v>
      </c>
      <c r="L206">
        <v>1686.7</v>
      </c>
      <c r="M206">
        <v>1051.4000000000001</v>
      </c>
      <c r="N206">
        <v>2905.6</v>
      </c>
      <c r="O206">
        <v>177</v>
      </c>
      <c r="P206">
        <v>29518.7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0.28999999999999998</v>
      </c>
      <c r="W206">
        <v>3.5</v>
      </c>
      <c r="X206">
        <v>0.28999999999999998</v>
      </c>
      <c r="Y206">
        <v>0</v>
      </c>
      <c r="Z206">
        <v>0</v>
      </c>
      <c r="AA206">
        <v>0</v>
      </c>
      <c r="AB206">
        <v>0</v>
      </c>
      <c r="AC206">
        <v>0.28999999999999998</v>
      </c>
      <c r="AD206">
        <v>0</v>
      </c>
      <c r="AE206">
        <v>0</v>
      </c>
      <c r="AF206">
        <v>0</v>
      </c>
      <c r="AG206">
        <v>1</v>
      </c>
      <c r="AH206">
        <v>0.28999999999999998</v>
      </c>
      <c r="AI206">
        <v>3.5</v>
      </c>
      <c r="AJ206">
        <v>0.28999999999999998</v>
      </c>
      <c r="AK206">
        <v>0</v>
      </c>
      <c r="AL206">
        <v>0</v>
      </c>
      <c r="AM206">
        <v>0</v>
      </c>
      <c r="AN206">
        <v>0</v>
      </c>
      <c r="AO206">
        <v>0.28999999999999998</v>
      </c>
      <c r="AP206">
        <v>0</v>
      </c>
      <c r="AQ206">
        <v>0</v>
      </c>
      <c r="AR206">
        <v>0</v>
      </c>
      <c r="AS206">
        <v>1</v>
      </c>
      <c r="AT206">
        <v>0.28999999999999998</v>
      </c>
      <c r="AU206">
        <v>0</v>
      </c>
      <c r="AV206">
        <v>0</v>
      </c>
      <c r="AW206">
        <v>0.28999999165534968</v>
      </c>
      <c r="AX206">
        <v>0</v>
      </c>
      <c r="AY206">
        <v>0</v>
      </c>
      <c r="AZ206">
        <v>0.28999999165534968</v>
      </c>
      <c r="BA206">
        <v>0</v>
      </c>
      <c r="BB206">
        <v>0</v>
      </c>
      <c r="BC206">
        <v>0.28999999165534968</v>
      </c>
      <c r="BD206">
        <v>0</v>
      </c>
      <c r="BE206">
        <v>1</v>
      </c>
      <c r="BF206">
        <v>0</v>
      </c>
      <c r="BG206">
        <v>150</v>
      </c>
      <c r="BH206">
        <v>0</v>
      </c>
      <c r="BI206">
        <v>0.28999999165534968</v>
      </c>
      <c r="BJ206">
        <v>0</v>
      </c>
      <c r="BK206">
        <v>0</v>
      </c>
      <c r="BL206">
        <v>0</v>
      </c>
      <c r="BM206">
        <v>0</v>
      </c>
      <c r="BP206">
        <v>0</v>
      </c>
      <c r="BQ206">
        <v>0</v>
      </c>
      <c r="BT206">
        <v>0</v>
      </c>
      <c r="BU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x14ac:dyDescent="0.25">
      <c r="A207">
        <v>206</v>
      </c>
      <c r="B207" t="s">
        <v>900</v>
      </c>
      <c r="C207" t="s">
        <v>901</v>
      </c>
      <c r="D207" t="s">
        <v>902</v>
      </c>
      <c r="E207" t="s">
        <v>899</v>
      </c>
      <c r="F207" t="s">
        <v>363</v>
      </c>
      <c r="G207">
        <v>1</v>
      </c>
      <c r="H207">
        <v>1</v>
      </c>
      <c r="I207">
        <v>727</v>
      </c>
      <c r="J207">
        <v>0</v>
      </c>
      <c r="K207">
        <v>0</v>
      </c>
      <c r="L207">
        <v>1984.4</v>
      </c>
      <c r="M207">
        <v>1349.1</v>
      </c>
      <c r="N207">
        <v>3203.3</v>
      </c>
      <c r="O207">
        <v>201.1</v>
      </c>
      <c r="P207">
        <v>29816.400000000001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0.28000000000000003</v>
      </c>
      <c r="W207">
        <v>3.5</v>
      </c>
      <c r="X207">
        <v>0.28000000000000003</v>
      </c>
      <c r="Y207">
        <v>0</v>
      </c>
      <c r="Z207">
        <v>0</v>
      </c>
      <c r="AA207">
        <v>0</v>
      </c>
      <c r="AB207">
        <v>0</v>
      </c>
      <c r="AC207">
        <v>0.28000000000000003</v>
      </c>
      <c r="AD207">
        <v>0</v>
      </c>
      <c r="AE207">
        <v>0</v>
      </c>
      <c r="AF207">
        <v>0</v>
      </c>
      <c r="AG207">
        <v>1</v>
      </c>
      <c r="AH207">
        <v>0.28000000000000003</v>
      </c>
      <c r="AI207">
        <v>3.5</v>
      </c>
      <c r="AJ207">
        <v>0.28000000000000003</v>
      </c>
      <c r="AK207">
        <v>0</v>
      </c>
      <c r="AL207">
        <v>0</v>
      </c>
      <c r="AM207">
        <v>0</v>
      </c>
      <c r="AN207">
        <v>0</v>
      </c>
      <c r="AO207">
        <v>0.28000000000000003</v>
      </c>
      <c r="AP207">
        <v>0</v>
      </c>
      <c r="AQ207">
        <v>0</v>
      </c>
      <c r="AR207">
        <v>0</v>
      </c>
      <c r="AS207">
        <v>1</v>
      </c>
      <c r="AT207">
        <v>0.28000000000000003</v>
      </c>
      <c r="AU207">
        <v>0</v>
      </c>
      <c r="AV207">
        <v>0</v>
      </c>
      <c r="AW207">
        <v>0.2800000011920929</v>
      </c>
      <c r="AX207">
        <v>0</v>
      </c>
      <c r="AY207">
        <v>0</v>
      </c>
      <c r="AZ207">
        <v>0.2800000011920929</v>
      </c>
      <c r="BA207">
        <v>0</v>
      </c>
      <c r="BB207">
        <v>0</v>
      </c>
      <c r="BC207">
        <v>0.2800000011920929</v>
      </c>
      <c r="BD207">
        <v>0</v>
      </c>
      <c r="BE207">
        <v>1</v>
      </c>
      <c r="BF207">
        <v>0</v>
      </c>
      <c r="BG207">
        <v>150</v>
      </c>
      <c r="BH207">
        <v>0</v>
      </c>
      <c r="BI207">
        <v>0.2800000011920929</v>
      </c>
      <c r="BJ207">
        <v>0</v>
      </c>
      <c r="BK207">
        <v>0</v>
      </c>
      <c r="BL207">
        <v>0</v>
      </c>
      <c r="BM207">
        <v>0</v>
      </c>
      <c r="BP207">
        <v>0</v>
      </c>
      <c r="BQ207">
        <v>0</v>
      </c>
      <c r="BT207">
        <v>0</v>
      </c>
      <c r="BU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</row>
    <row r="208" spans="1:96" x14ac:dyDescent="0.25">
      <c r="A208">
        <v>207</v>
      </c>
      <c r="B208" t="s">
        <v>903</v>
      </c>
      <c r="C208" t="s">
        <v>904</v>
      </c>
      <c r="D208" t="s">
        <v>905</v>
      </c>
      <c r="E208" t="s">
        <v>869</v>
      </c>
      <c r="F208" t="s">
        <v>213</v>
      </c>
      <c r="G208">
        <v>2</v>
      </c>
      <c r="H208">
        <v>2</v>
      </c>
      <c r="I208">
        <v>1928</v>
      </c>
      <c r="J208">
        <v>0</v>
      </c>
      <c r="K208">
        <v>1</v>
      </c>
      <c r="L208">
        <v>2840</v>
      </c>
      <c r="M208">
        <v>2676.3</v>
      </c>
      <c r="N208">
        <v>2849.1</v>
      </c>
      <c r="O208">
        <v>1388.2</v>
      </c>
      <c r="P208">
        <v>3158.4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1.88</v>
      </c>
      <c r="W208">
        <v>3</v>
      </c>
      <c r="X208">
        <v>1.88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0.88</v>
      </c>
      <c r="AE208">
        <v>1</v>
      </c>
      <c r="AF208">
        <v>0</v>
      </c>
      <c r="AG208">
        <v>0.46808510638297868</v>
      </c>
      <c r="AH208">
        <v>1.88</v>
      </c>
      <c r="AI208">
        <v>3</v>
      </c>
      <c r="AJ208">
        <v>1.880000000000001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0.87999999999999989</v>
      </c>
      <c r="AQ208">
        <v>0.99999999999999989</v>
      </c>
      <c r="AR208">
        <v>0</v>
      </c>
      <c r="AS208">
        <v>0.46808510638297868</v>
      </c>
      <c r="AT208">
        <v>1.88</v>
      </c>
      <c r="AU208">
        <v>0</v>
      </c>
      <c r="AV208">
        <v>0</v>
      </c>
      <c r="AW208">
        <v>1.879999995231628</v>
      </c>
      <c r="AX208">
        <v>0</v>
      </c>
      <c r="AY208">
        <v>0</v>
      </c>
      <c r="AZ208">
        <v>0</v>
      </c>
      <c r="BA208">
        <v>1.580000042915344</v>
      </c>
      <c r="BB208">
        <v>0.30000001192092901</v>
      </c>
      <c r="BC208">
        <v>0</v>
      </c>
      <c r="BD208">
        <v>1.880000054836273</v>
      </c>
      <c r="BE208">
        <v>0</v>
      </c>
      <c r="BF208">
        <v>1</v>
      </c>
      <c r="BG208">
        <v>150</v>
      </c>
      <c r="BH208">
        <v>0</v>
      </c>
      <c r="BI208">
        <v>0</v>
      </c>
      <c r="BJ208">
        <v>1.580000042915344</v>
      </c>
      <c r="BK208">
        <v>0.30000001192092901</v>
      </c>
      <c r="BL208">
        <v>1</v>
      </c>
      <c r="BM208">
        <v>1</v>
      </c>
      <c r="BN208">
        <v>2021</v>
      </c>
      <c r="BO208">
        <v>3</v>
      </c>
      <c r="BP208">
        <v>1</v>
      </c>
      <c r="BQ208">
        <v>1</v>
      </c>
      <c r="BR208">
        <v>2021</v>
      </c>
      <c r="BS208">
        <v>4</v>
      </c>
      <c r="BT208">
        <v>1</v>
      </c>
      <c r="BU208">
        <v>2</v>
      </c>
      <c r="BV208">
        <v>2025</v>
      </c>
      <c r="BW208">
        <v>1</v>
      </c>
      <c r="BX208">
        <v>1</v>
      </c>
      <c r="BY208">
        <v>0</v>
      </c>
      <c r="BZ208">
        <v>0</v>
      </c>
      <c r="CA208">
        <v>0</v>
      </c>
      <c r="CB208">
        <v>1</v>
      </c>
      <c r="CC208">
        <v>1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25">
      <c r="A209">
        <v>208</v>
      </c>
      <c r="B209" t="s">
        <v>906</v>
      </c>
      <c r="C209" t="s">
        <v>907</v>
      </c>
      <c r="D209" t="s">
        <v>908</v>
      </c>
      <c r="E209" t="s">
        <v>909</v>
      </c>
      <c r="F209" t="s">
        <v>494</v>
      </c>
      <c r="G209">
        <v>4</v>
      </c>
      <c r="H209">
        <v>3</v>
      </c>
      <c r="I209">
        <v>2676</v>
      </c>
      <c r="J209">
        <v>0</v>
      </c>
      <c r="K209">
        <v>0</v>
      </c>
      <c r="L209">
        <v>4054.2</v>
      </c>
      <c r="M209">
        <v>4204.3</v>
      </c>
      <c r="N209">
        <v>2890.5</v>
      </c>
      <c r="O209">
        <v>737.7</v>
      </c>
      <c r="P209">
        <v>4372.5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1.28</v>
      </c>
      <c r="W209">
        <v>3</v>
      </c>
      <c r="X209">
        <v>0</v>
      </c>
      <c r="Y209">
        <v>0</v>
      </c>
      <c r="Z209">
        <v>0.2</v>
      </c>
      <c r="AA209">
        <v>0.3</v>
      </c>
      <c r="AB209">
        <v>0.78</v>
      </c>
      <c r="AC209">
        <v>0.2</v>
      </c>
      <c r="AD209">
        <v>0</v>
      </c>
      <c r="AE209">
        <v>0</v>
      </c>
      <c r="AF209">
        <v>1.08</v>
      </c>
      <c r="AG209">
        <v>0.15625</v>
      </c>
      <c r="AH209">
        <v>1.28</v>
      </c>
      <c r="AI209">
        <v>3</v>
      </c>
      <c r="AJ209">
        <v>0</v>
      </c>
      <c r="AK209">
        <v>0</v>
      </c>
      <c r="AL209">
        <v>0.6</v>
      </c>
      <c r="AM209">
        <v>0.67999999999999994</v>
      </c>
      <c r="AN209">
        <v>0</v>
      </c>
      <c r="AO209">
        <v>0.2</v>
      </c>
      <c r="AP209">
        <v>0</v>
      </c>
      <c r="AQ209">
        <v>0</v>
      </c>
      <c r="AR209">
        <v>1.08</v>
      </c>
      <c r="AS209">
        <v>0.15625</v>
      </c>
      <c r="AT209">
        <v>1.28</v>
      </c>
      <c r="AU209">
        <v>0.47999998927116388</v>
      </c>
      <c r="AV209">
        <v>0.40000000596046448</v>
      </c>
      <c r="AW209">
        <v>0</v>
      </c>
      <c r="AX209">
        <v>0</v>
      </c>
      <c r="AY209">
        <v>0.40000000596046448</v>
      </c>
      <c r="AZ209">
        <v>0</v>
      </c>
      <c r="BA209">
        <v>0</v>
      </c>
      <c r="BB209">
        <v>0.47999998927116388</v>
      </c>
      <c r="BC209">
        <v>0.40000000596046448</v>
      </c>
      <c r="BD209">
        <v>0.47999998927116388</v>
      </c>
      <c r="BE209">
        <v>0.45454546378171151</v>
      </c>
      <c r="BF209">
        <v>0.54545453621828843</v>
      </c>
      <c r="BG209">
        <v>150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2023</v>
      </c>
      <c r="BO209">
        <v>1</v>
      </c>
      <c r="BP209">
        <v>1</v>
      </c>
      <c r="BQ209">
        <v>1</v>
      </c>
      <c r="BR209">
        <v>2023</v>
      </c>
      <c r="BS209">
        <v>2</v>
      </c>
      <c r="BT209">
        <v>1</v>
      </c>
      <c r="BU209">
        <v>2</v>
      </c>
      <c r="BV209">
        <v>2025</v>
      </c>
      <c r="BW209">
        <v>1</v>
      </c>
      <c r="BX209">
        <v>0</v>
      </c>
      <c r="BY209">
        <v>0</v>
      </c>
      <c r="BZ209">
        <v>1</v>
      </c>
      <c r="CA209">
        <v>0</v>
      </c>
      <c r="CB209">
        <v>1</v>
      </c>
      <c r="CC209">
        <v>0</v>
      </c>
      <c r="CD209">
        <v>0</v>
      </c>
      <c r="CE209">
        <v>1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x14ac:dyDescent="0.25">
      <c r="A210">
        <v>209</v>
      </c>
      <c r="B210" t="s">
        <v>910</v>
      </c>
      <c r="C210" t="s">
        <v>911</v>
      </c>
      <c r="D210" t="s">
        <v>912</v>
      </c>
      <c r="E210" t="s">
        <v>378</v>
      </c>
      <c r="F210" t="s">
        <v>105</v>
      </c>
      <c r="G210">
        <v>2</v>
      </c>
      <c r="H210">
        <v>1</v>
      </c>
      <c r="I210">
        <v>1247</v>
      </c>
      <c r="J210">
        <v>0</v>
      </c>
      <c r="K210">
        <v>1</v>
      </c>
      <c r="L210">
        <v>1763</v>
      </c>
      <c r="M210">
        <v>1586</v>
      </c>
      <c r="N210">
        <v>4835.5</v>
      </c>
      <c r="O210">
        <v>899.9</v>
      </c>
      <c r="P210">
        <v>6027.3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0.83</v>
      </c>
      <c r="W210">
        <v>3</v>
      </c>
      <c r="X210">
        <v>0.83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0.23</v>
      </c>
      <c r="AF210">
        <v>0.6</v>
      </c>
      <c r="AG210">
        <v>0</v>
      </c>
      <c r="AH210">
        <v>0.83</v>
      </c>
      <c r="AI210">
        <v>3</v>
      </c>
      <c r="AJ210">
        <v>0.83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0.83</v>
      </c>
      <c r="AS210">
        <v>0</v>
      </c>
      <c r="AT210">
        <v>0.83</v>
      </c>
      <c r="AU210">
        <v>0</v>
      </c>
      <c r="AV210">
        <v>0</v>
      </c>
      <c r="AW210">
        <v>0.82999998331069946</v>
      </c>
      <c r="AX210">
        <v>0</v>
      </c>
      <c r="AY210">
        <v>0</v>
      </c>
      <c r="AZ210">
        <v>0</v>
      </c>
      <c r="BA210">
        <v>0</v>
      </c>
      <c r="BB210">
        <v>0.82999998331069946</v>
      </c>
      <c r="BC210">
        <v>0</v>
      </c>
      <c r="BD210">
        <v>0.82999998331069946</v>
      </c>
      <c r="BE210">
        <v>0</v>
      </c>
      <c r="BF210">
        <v>1</v>
      </c>
      <c r="BG210">
        <v>150</v>
      </c>
      <c r="BH210">
        <v>0</v>
      </c>
      <c r="BI210">
        <v>0</v>
      </c>
      <c r="BJ210">
        <v>0</v>
      </c>
      <c r="BK210">
        <v>0.82999998331069946</v>
      </c>
      <c r="BL210">
        <v>0</v>
      </c>
      <c r="BM210">
        <v>0</v>
      </c>
      <c r="BP210">
        <v>0</v>
      </c>
      <c r="BQ210">
        <v>0</v>
      </c>
      <c r="BT210">
        <v>0</v>
      </c>
      <c r="BU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25">
      <c r="A211">
        <v>210</v>
      </c>
      <c r="B211" t="s">
        <v>913</v>
      </c>
      <c r="C211" t="s">
        <v>914</v>
      </c>
      <c r="D211" t="s">
        <v>915</v>
      </c>
      <c r="E211" t="s">
        <v>916</v>
      </c>
      <c r="F211" t="s">
        <v>891</v>
      </c>
      <c r="G211">
        <v>9</v>
      </c>
      <c r="H211">
        <v>2</v>
      </c>
      <c r="I211">
        <v>9090</v>
      </c>
      <c r="J211">
        <v>0</v>
      </c>
      <c r="K211">
        <v>0</v>
      </c>
      <c r="L211">
        <v>758.6</v>
      </c>
      <c r="M211">
        <v>294.89999999999998</v>
      </c>
      <c r="N211">
        <v>1977.5</v>
      </c>
      <c r="O211">
        <v>153.4</v>
      </c>
      <c r="P211">
        <v>28590.6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7.33</v>
      </c>
      <c r="W211">
        <v>3.5</v>
      </c>
      <c r="X211">
        <v>7.33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6.8</v>
      </c>
      <c r="AE211">
        <v>0.53</v>
      </c>
      <c r="AF211">
        <v>0</v>
      </c>
      <c r="AG211">
        <v>0.92769440654843105</v>
      </c>
      <c r="AH211">
        <v>7.33</v>
      </c>
      <c r="AI211">
        <v>3.5</v>
      </c>
      <c r="AJ211">
        <v>7.3299999999999903</v>
      </c>
      <c r="AK211">
        <v>0</v>
      </c>
      <c r="AL211">
        <v>0</v>
      </c>
      <c r="AM211">
        <v>0</v>
      </c>
      <c r="AN211">
        <v>0</v>
      </c>
      <c r="AO211">
        <v>0.4</v>
      </c>
      <c r="AP211">
        <v>6.199999999999994</v>
      </c>
      <c r="AQ211">
        <v>0.53</v>
      </c>
      <c r="AR211">
        <v>0.2</v>
      </c>
      <c r="AS211">
        <v>0.90040927694406536</v>
      </c>
      <c r="AT211">
        <v>7.33</v>
      </c>
      <c r="AU211">
        <v>0</v>
      </c>
      <c r="AV211">
        <v>0</v>
      </c>
      <c r="AW211">
        <v>7.3299999237060547</v>
      </c>
      <c r="AX211">
        <v>0</v>
      </c>
      <c r="AY211">
        <v>0.20000000298023221</v>
      </c>
      <c r="AZ211">
        <v>5.0999999046325684</v>
      </c>
      <c r="BA211">
        <v>1.529999971389771</v>
      </c>
      <c r="BB211">
        <v>0.5</v>
      </c>
      <c r="BC211">
        <v>5.2999999076128006</v>
      </c>
      <c r="BD211">
        <v>2.029999971389771</v>
      </c>
      <c r="BE211">
        <v>0.72305593384730005</v>
      </c>
      <c r="BF211">
        <v>0.27694406615270001</v>
      </c>
      <c r="BG211">
        <v>150</v>
      </c>
      <c r="BH211">
        <v>0.20000000298023221</v>
      </c>
      <c r="BI211">
        <v>5.0999999046325684</v>
      </c>
      <c r="BJ211">
        <v>1.529999971389771</v>
      </c>
      <c r="BK211">
        <v>0.5</v>
      </c>
      <c r="BL211">
        <v>1</v>
      </c>
      <c r="BM211">
        <v>2</v>
      </c>
      <c r="BN211">
        <v>2023</v>
      </c>
      <c r="BO211">
        <v>1</v>
      </c>
      <c r="BP211">
        <v>1</v>
      </c>
      <c r="BQ211">
        <v>2</v>
      </c>
      <c r="BR211">
        <v>2023</v>
      </c>
      <c r="BS211">
        <v>2</v>
      </c>
      <c r="BT211">
        <v>1</v>
      </c>
      <c r="BU211">
        <v>2</v>
      </c>
      <c r="BV211">
        <v>2023</v>
      </c>
      <c r="BW211">
        <v>3</v>
      </c>
      <c r="BX211">
        <v>0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25">
      <c r="A212">
        <v>211</v>
      </c>
      <c r="B212" t="s">
        <v>917</v>
      </c>
      <c r="C212" t="s">
        <v>918</v>
      </c>
      <c r="D212" t="s">
        <v>919</v>
      </c>
      <c r="E212" t="s">
        <v>920</v>
      </c>
      <c r="F212" t="s">
        <v>363</v>
      </c>
      <c r="G212">
        <v>3</v>
      </c>
      <c r="H212">
        <v>1</v>
      </c>
      <c r="I212">
        <v>1745</v>
      </c>
      <c r="J212">
        <v>0</v>
      </c>
      <c r="K212">
        <v>0</v>
      </c>
      <c r="L212">
        <v>2988.9</v>
      </c>
      <c r="M212">
        <v>2353.5</v>
      </c>
      <c r="N212">
        <v>4207.7</v>
      </c>
      <c r="O212">
        <v>525.79999999999995</v>
      </c>
      <c r="P212">
        <v>30820.9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1.65</v>
      </c>
      <c r="W212">
        <v>3.5</v>
      </c>
      <c r="X212">
        <v>0</v>
      </c>
      <c r="Y212">
        <v>0</v>
      </c>
      <c r="Z212">
        <v>0</v>
      </c>
      <c r="AA212">
        <v>0.65</v>
      </c>
      <c r="AB212">
        <v>1</v>
      </c>
      <c r="AC212">
        <v>0</v>
      </c>
      <c r="AD212">
        <v>0</v>
      </c>
      <c r="AE212">
        <v>0</v>
      </c>
      <c r="AF212">
        <v>1.65</v>
      </c>
      <c r="AG212">
        <v>0</v>
      </c>
      <c r="AH212">
        <v>1.65</v>
      </c>
      <c r="AI212">
        <v>3.5</v>
      </c>
      <c r="AJ212">
        <v>0</v>
      </c>
      <c r="AK212">
        <v>0</v>
      </c>
      <c r="AL212">
        <v>0</v>
      </c>
      <c r="AM212">
        <v>0.65</v>
      </c>
      <c r="AN212">
        <v>0.99999999999999989</v>
      </c>
      <c r="AO212">
        <v>0</v>
      </c>
      <c r="AP212">
        <v>0</v>
      </c>
      <c r="AQ212">
        <v>0</v>
      </c>
      <c r="AR212">
        <v>1.65</v>
      </c>
      <c r="AS212">
        <v>0</v>
      </c>
      <c r="AT212">
        <v>1.65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150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P212">
        <v>0</v>
      </c>
      <c r="BQ212">
        <v>0</v>
      </c>
      <c r="BT212">
        <v>0</v>
      </c>
      <c r="BU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</row>
    <row r="213" spans="1:96" x14ac:dyDescent="0.25">
      <c r="A213">
        <v>212</v>
      </c>
      <c r="B213" t="s">
        <v>470</v>
      </c>
      <c r="C213" t="s">
        <v>921</v>
      </c>
      <c r="D213" t="s">
        <v>922</v>
      </c>
      <c r="E213" t="s">
        <v>149</v>
      </c>
      <c r="F213" t="s">
        <v>149</v>
      </c>
      <c r="G213">
        <v>1</v>
      </c>
      <c r="H213">
        <v>1</v>
      </c>
      <c r="I213">
        <v>760</v>
      </c>
      <c r="J213">
        <v>0</v>
      </c>
      <c r="K213">
        <v>1</v>
      </c>
      <c r="L213">
        <v>697.1</v>
      </c>
      <c r="M213">
        <v>91.6</v>
      </c>
      <c r="N213">
        <v>10456.299999999999</v>
      </c>
      <c r="O213">
        <v>136.6</v>
      </c>
      <c r="P213">
        <v>8593.4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0.44</v>
      </c>
      <c r="W213">
        <v>3</v>
      </c>
      <c r="X213">
        <v>0.44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0.44</v>
      </c>
      <c r="AE213">
        <v>0</v>
      </c>
      <c r="AF213">
        <v>0</v>
      </c>
      <c r="AG213">
        <v>1</v>
      </c>
      <c r="AH213">
        <v>0.44</v>
      </c>
      <c r="AI213">
        <v>3</v>
      </c>
      <c r="AJ213">
        <v>0.44</v>
      </c>
      <c r="AK213">
        <v>0</v>
      </c>
      <c r="AL213">
        <v>0</v>
      </c>
      <c r="AM213">
        <v>0</v>
      </c>
      <c r="AN213">
        <v>0</v>
      </c>
      <c r="AO213">
        <v>0.44</v>
      </c>
      <c r="AP213">
        <v>0</v>
      </c>
      <c r="AQ213">
        <v>0</v>
      </c>
      <c r="AR213">
        <v>0</v>
      </c>
      <c r="AS213">
        <v>1</v>
      </c>
      <c r="AT213">
        <v>0.44</v>
      </c>
      <c r="AU213">
        <v>0</v>
      </c>
      <c r="AV213">
        <v>0</v>
      </c>
      <c r="AW213">
        <v>0.43999999761581421</v>
      </c>
      <c r="AX213">
        <v>0</v>
      </c>
      <c r="AY213">
        <v>0.30000001192092901</v>
      </c>
      <c r="AZ213">
        <v>3.9999999105930328E-2</v>
      </c>
      <c r="BA213">
        <v>0</v>
      </c>
      <c r="BB213">
        <v>0.10000000149011611</v>
      </c>
      <c r="BC213">
        <v>0.34000001102685928</v>
      </c>
      <c r="BD213">
        <v>0.10000000149011611</v>
      </c>
      <c r="BE213">
        <v>0.77272727580602496</v>
      </c>
      <c r="BF213">
        <v>0.22727272419397501</v>
      </c>
      <c r="BG213">
        <v>150</v>
      </c>
      <c r="BH213">
        <v>0.30000001192092901</v>
      </c>
      <c r="BI213">
        <v>3.9999999105930328E-2</v>
      </c>
      <c r="BJ213">
        <v>0</v>
      </c>
      <c r="BK213">
        <v>0.10000000149011611</v>
      </c>
      <c r="BL213">
        <v>0</v>
      </c>
      <c r="BM213">
        <v>0</v>
      </c>
      <c r="BP213">
        <v>0</v>
      </c>
      <c r="BQ213">
        <v>0</v>
      </c>
      <c r="BT213">
        <v>0</v>
      </c>
      <c r="BU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25">
      <c r="A214">
        <v>213</v>
      </c>
      <c r="B214" t="s">
        <v>923</v>
      </c>
      <c r="C214" t="s">
        <v>924</v>
      </c>
      <c r="D214" t="s">
        <v>925</v>
      </c>
      <c r="E214" t="s">
        <v>926</v>
      </c>
      <c r="F214" t="s">
        <v>208</v>
      </c>
      <c r="G214">
        <v>2</v>
      </c>
      <c r="H214">
        <v>2</v>
      </c>
      <c r="I214">
        <v>1110</v>
      </c>
      <c r="J214">
        <v>0</v>
      </c>
      <c r="K214">
        <v>0</v>
      </c>
      <c r="L214">
        <v>4859.2</v>
      </c>
      <c r="M214">
        <v>4797.5</v>
      </c>
      <c r="N214">
        <v>10089.200000000001</v>
      </c>
      <c r="O214">
        <v>920.4</v>
      </c>
      <c r="P214">
        <v>8226.2999999999993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1.07</v>
      </c>
      <c r="W214">
        <v>3</v>
      </c>
      <c r="X214">
        <v>1.07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0.27</v>
      </c>
      <c r="AE214">
        <v>0.8</v>
      </c>
      <c r="AF214">
        <v>0</v>
      </c>
      <c r="AG214">
        <v>0.25233644859813092</v>
      </c>
      <c r="AH214">
        <v>1.07</v>
      </c>
      <c r="AI214">
        <v>3</v>
      </c>
      <c r="AJ214">
        <v>1.07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7.0000000000000007E-2</v>
      </c>
      <c r="AQ214">
        <v>0.99999999999999989</v>
      </c>
      <c r="AR214">
        <v>0</v>
      </c>
      <c r="AS214">
        <v>6.5420560747663573E-2</v>
      </c>
      <c r="AT214">
        <v>1.07</v>
      </c>
      <c r="AU214">
        <v>0</v>
      </c>
      <c r="AV214">
        <v>0</v>
      </c>
      <c r="AW214">
        <v>1.070000052452087</v>
      </c>
      <c r="AX214">
        <v>0</v>
      </c>
      <c r="AY214">
        <v>0</v>
      </c>
      <c r="AZ214">
        <v>7.0000000298023224E-2</v>
      </c>
      <c r="BA214">
        <v>0.5</v>
      </c>
      <c r="BB214">
        <v>0.5</v>
      </c>
      <c r="BC214">
        <v>7.0000000298023224E-2</v>
      </c>
      <c r="BD214">
        <v>1</v>
      </c>
      <c r="BE214">
        <v>6.5420561007968572E-2</v>
      </c>
      <c r="BF214">
        <v>0.93457943899203144</v>
      </c>
      <c r="BG214">
        <v>150</v>
      </c>
      <c r="BH214">
        <v>0</v>
      </c>
      <c r="BI214">
        <v>7.0000000298023224E-2</v>
      </c>
      <c r="BJ214">
        <v>0.5</v>
      </c>
      <c r="BK214">
        <v>0.5</v>
      </c>
      <c r="BL214">
        <v>0</v>
      </c>
      <c r="BM214">
        <v>0</v>
      </c>
      <c r="BP214">
        <v>1</v>
      </c>
      <c r="BQ214">
        <v>1</v>
      </c>
      <c r="BR214">
        <v>2024</v>
      </c>
      <c r="BS214">
        <v>1</v>
      </c>
      <c r="BT214">
        <v>1</v>
      </c>
      <c r="BU214">
        <v>1</v>
      </c>
      <c r="BV214">
        <v>2024</v>
      </c>
      <c r="BW214">
        <v>2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25">
      <c r="A215">
        <v>214</v>
      </c>
      <c r="B215" t="s">
        <v>927</v>
      </c>
      <c r="C215" t="s">
        <v>928</v>
      </c>
      <c r="D215" t="s">
        <v>929</v>
      </c>
      <c r="E215" t="s">
        <v>930</v>
      </c>
      <c r="F215" t="s">
        <v>100</v>
      </c>
      <c r="G215">
        <v>2</v>
      </c>
      <c r="H215">
        <v>1</v>
      </c>
      <c r="I215">
        <v>4566</v>
      </c>
      <c r="J215">
        <v>0</v>
      </c>
      <c r="K215">
        <v>1</v>
      </c>
      <c r="L215">
        <v>0</v>
      </c>
      <c r="M215">
        <v>674.8</v>
      </c>
      <c r="N215">
        <v>1817.8</v>
      </c>
      <c r="O215">
        <v>490.3</v>
      </c>
      <c r="P215">
        <v>318.3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0.56000000000000005</v>
      </c>
      <c r="W215">
        <v>12</v>
      </c>
      <c r="X215">
        <v>0.56000000000000005</v>
      </c>
      <c r="Y215">
        <v>0</v>
      </c>
      <c r="Z215">
        <v>0</v>
      </c>
      <c r="AA215">
        <v>0</v>
      </c>
      <c r="AB215">
        <v>0</v>
      </c>
      <c r="AC215">
        <v>0.56000000000000005</v>
      </c>
      <c r="AD215">
        <v>0</v>
      </c>
      <c r="AE215">
        <v>0</v>
      </c>
      <c r="AF215">
        <v>0</v>
      </c>
      <c r="AG215">
        <v>1</v>
      </c>
      <c r="AH215">
        <v>0.56000000000000005</v>
      </c>
      <c r="AI215">
        <v>12</v>
      </c>
      <c r="AJ215">
        <v>0.56000000000000005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0.56000000000000005</v>
      </c>
      <c r="AQ215">
        <v>0</v>
      </c>
      <c r="AR215">
        <v>0</v>
      </c>
      <c r="AS215">
        <v>1</v>
      </c>
      <c r="AT215">
        <v>0.56000000000000005</v>
      </c>
      <c r="AU215">
        <v>0</v>
      </c>
      <c r="AV215">
        <v>0</v>
      </c>
      <c r="AW215">
        <v>0.56000000238418579</v>
      </c>
      <c r="AX215">
        <v>0</v>
      </c>
      <c r="AY215">
        <v>0</v>
      </c>
      <c r="AZ215">
        <v>0.36000001430511469</v>
      </c>
      <c r="BA215">
        <v>0.20000000298023221</v>
      </c>
      <c r="BB215">
        <v>0</v>
      </c>
      <c r="BC215">
        <v>0.36000001430511469</v>
      </c>
      <c r="BD215">
        <v>0.20000000298023221</v>
      </c>
      <c r="BE215">
        <v>0.64285714855911757</v>
      </c>
      <c r="BF215">
        <v>0.35714285144088243</v>
      </c>
      <c r="BG215">
        <v>200</v>
      </c>
      <c r="BH215">
        <v>0</v>
      </c>
      <c r="BI215">
        <v>0.36000001430511469</v>
      </c>
      <c r="BJ215">
        <v>0.20000000298023221</v>
      </c>
      <c r="BK215">
        <v>0</v>
      </c>
      <c r="BL215">
        <v>0</v>
      </c>
      <c r="BM215">
        <v>0</v>
      </c>
      <c r="BP215">
        <v>0</v>
      </c>
      <c r="BQ215">
        <v>0</v>
      </c>
      <c r="BT215">
        <v>0</v>
      </c>
      <c r="BU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1</v>
      </c>
      <c r="CR215">
        <v>0</v>
      </c>
    </row>
    <row r="216" spans="1:96" x14ac:dyDescent="0.25">
      <c r="A216">
        <v>215</v>
      </c>
      <c r="B216" t="s">
        <v>931</v>
      </c>
      <c r="C216" t="s">
        <v>932</v>
      </c>
      <c r="D216" t="s">
        <v>933</v>
      </c>
      <c r="E216" t="s">
        <v>571</v>
      </c>
      <c r="F216" t="s">
        <v>203</v>
      </c>
      <c r="G216">
        <v>2</v>
      </c>
      <c r="H216">
        <v>2</v>
      </c>
      <c r="I216">
        <v>2100</v>
      </c>
      <c r="J216">
        <v>1</v>
      </c>
      <c r="K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3.67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3.67</v>
      </c>
      <c r="AC216">
        <v>0</v>
      </c>
      <c r="AD216">
        <v>0</v>
      </c>
      <c r="AE216">
        <v>0</v>
      </c>
      <c r="AF216">
        <v>3.67</v>
      </c>
      <c r="AG216">
        <v>0</v>
      </c>
      <c r="AH216">
        <v>3.67</v>
      </c>
      <c r="AI216">
        <v>3</v>
      </c>
      <c r="AJ216">
        <v>0</v>
      </c>
      <c r="AK216">
        <v>0</v>
      </c>
      <c r="AL216">
        <v>0</v>
      </c>
      <c r="AM216">
        <v>0</v>
      </c>
      <c r="AN216">
        <v>3.6700000000000021</v>
      </c>
      <c r="AO216">
        <v>0</v>
      </c>
      <c r="AP216">
        <v>0</v>
      </c>
      <c r="AQ216">
        <v>0</v>
      </c>
      <c r="AR216">
        <v>3.6700000000000021</v>
      </c>
      <c r="AS216">
        <v>0</v>
      </c>
      <c r="AT216">
        <v>3.67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150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2</v>
      </c>
      <c r="BN216">
        <v>2023</v>
      </c>
      <c r="BO216">
        <v>1</v>
      </c>
      <c r="BP216">
        <v>1</v>
      </c>
      <c r="BQ216">
        <v>2</v>
      </c>
      <c r="BR216">
        <v>2023</v>
      </c>
      <c r="BS216">
        <v>2</v>
      </c>
      <c r="BT216">
        <v>1</v>
      </c>
      <c r="BU216">
        <v>2</v>
      </c>
      <c r="BV216">
        <v>2023</v>
      </c>
      <c r="BW216">
        <v>3</v>
      </c>
      <c r="BX216">
        <v>0</v>
      </c>
      <c r="BY216">
        <v>1</v>
      </c>
      <c r="BZ216">
        <v>1</v>
      </c>
      <c r="CA216">
        <v>0</v>
      </c>
      <c r="CB216">
        <v>0</v>
      </c>
      <c r="CC216">
        <v>0</v>
      </c>
      <c r="CD216">
        <v>1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</row>
    <row r="217" spans="1:96" x14ac:dyDescent="0.25">
      <c r="A217">
        <v>216</v>
      </c>
      <c r="B217" t="s">
        <v>934</v>
      </c>
      <c r="C217" t="s">
        <v>935</v>
      </c>
      <c r="D217" t="s">
        <v>936</v>
      </c>
      <c r="E217" t="s">
        <v>113</v>
      </c>
      <c r="F217" t="s">
        <v>100</v>
      </c>
      <c r="G217">
        <v>3</v>
      </c>
      <c r="H217">
        <v>1</v>
      </c>
      <c r="I217">
        <v>6205</v>
      </c>
      <c r="J217">
        <v>0</v>
      </c>
      <c r="K217">
        <v>1</v>
      </c>
      <c r="L217">
        <v>893.2</v>
      </c>
      <c r="M217">
        <v>814.5</v>
      </c>
      <c r="N217">
        <v>2455.1</v>
      </c>
      <c r="O217">
        <v>0</v>
      </c>
      <c r="P217">
        <v>592.20000000000005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1.0900000000000001</v>
      </c>
      <c r="W217">
        <v>5</v>
      </c>
      <c r="X217">
        <v>1.0900000000000001</v>
      </c>
      <c r="Y217">
        <v>0</v>
      </c>
      <c r="Z217">
        <v>0</v>
      </c>
      <c r="AA217">
        <v>0</v>
      </c>
      <c r="AB217">
        <v>0</v>
      </c>
      <c r="AC217">
        <v>1.0900000000000001</v>
      </c>
      <c r="AD217">
        <v>0</v>
      </c>
      <c r="AE217">
        <v>0</v>
      </c>
      <c r="AF217">
        <v>0</v>
      </c>
      <c r="AG217">
        <v>1</v>
      </c>
      <c r="AH217">
        <v>1.0900000000000001</v>
      </c>
      <c r="AI217">
        <v>5</v>
      </c>
      <c r="AJ217">
        <v>1.0900000000000001</v>
      </c>
      <c r="AK217">
        <v>0</v>
      </c>
      <c r="AL217">
        <v>0</v>
      </c>
      <c r="AM217">
        <v>0</v>
      </c>
      <c r="AN217">
        <v>0</v>
      </c>
      <c r="AO217">
        <v>1.0900000000000001</v>
      </c>
      <c r="AP217">
        <v>0</v>
      </c>
      <c r="AQ217">
        <v>0</v>
      </c>
      <c r="AR217">
        <v>0</v>
      </c>
      <c r="AS217">
        <v>1</v>
      </c>
      <c r="AT217">
        <v>1.0900000000000001</v>
      </c>
      <c r="AU217">
        <v>0</v>
      </c>
      <c r="AV217">
        <v>0</v>
      </c>
      <c r="AW217">
        <v>1.0900000333786011</v>
      </c>
      <c r="AX217">
        <v>0</v>
      </c>
      <c r="AY217">
        <v>0.80000001192092896</v>
      </c>
      <c r="AZ217">
        <v>0.28999999165534968</v>
      </c>
      <c r="BA217">
        <v>0</v>
      </c>
      <c r="BB217">
        <v>0</v>
      </c>
      <c r="BC217">
        <v>1.0900000035762789</v>
      </c>
      <c r="BD217">
        <v>0</v>
      </c>
      <c r="BE217">
        <v>1</v>
      </c>
      <c r="BF217">
        <v>0</v>
      </c>
      <c r="BG217">
        <v>150</v>
      </c>
      <c r="BH217">
        <v>0.80000001192092896</v>
      </c>
      <c r="BI217">
        <v>0.28999999165534968</v>
      </c>
      <c r="BJ217">
        <v>0</v>
      </c>
      <c r="BK217">
        <v>0</v>
      </c>
      <c r="BL217">
        <v>0</v>
      </c>
      <c r="BM217">
        <v>0</v>
      </c>
      <c r="BP217">
        <v>0</v>
      </c>
      <c r="BQ217">
        <v>0</v>
      </c>
      <c r="BT217">
        <v>0</v>
      </c>
      <c r="BU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25">
      <c r="A218">
        <v>217</v>
      </c>
      <c r="B218" t="s">
        <v>937</v>
      </c>
      <c r="C218" t="s">
        <v>938</v>
      </c>
      <c r="D218" t="s">
        <v>939</v>
      </c>
      <c r="E218" t="s">
        <v>940</v>
      </c>
      <c r="F218" t="s">
        <v>105</v>
      </c>
      <c r="G218">
        <v>3</v>
      </c>
      <c r="H218">
        <v>1</v>
      </c>
      <c r="I218">
        <v>1740</v>
      </c>
      <c r="J218">
        <v>0</v>
      </c>
      <c r="K218">
        <v>0</v>
      </c>
      <c r="L218">
        <v>4124.8999999999996</v>
      </c>
      <c r="M218">
        <v>3842.6</v>
      </c>
      <c r="N218">
        <v>7884.4</v>
      </c>
      <c r="O218">
        <v>520.9</v>
      </c>
      <c r="P218">
        <v>8049.1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1.56</v>
      </c>
      <c r="W218">
        <v>3.5</v>
      </c>
      <c r="X218">
        <v>1.56</v>
      </c>
      <c r="Y218">
        <v>0</v>
      </c>
      <c r="Z218">
        <v>0</v>
      </c>
      <c r="AA218">
        <v>0</v>
      </c>
      <c r="AB218">
        <v>0</v>
      </c>
      <c r="AC218">
        <v>1.56</v>
      </c>
      <c r="AD218">
        <v>0</v>
      </c>
      <c r="AE218">
        <v>0</v>
      </c>
      <c r="AF218">
        <v>0</v>
      </c>
      <c r="AG218">
        <v>1</v>
      </c>
      <c r="AH218">
        <v>1.56</v>
      </c>
      <c r="AI218">
        <v>3.5</v>
      </c>
      <c r="AJ218">
        <v>1.56</v>
      </c>
      <c r="AK218">
        <v>0</v>
      </c>
      <c r="AL218">
        <v>0</v>
      </c>
      <c r="AM218">
        <v>0</v>
      </c>
      <c r="AN218">
        <v>0</v>
      </c>
      <c r="AO218">
        <v>0.16</v>
      </c>
      <c r="AP218">
        <v>0.99999999999999989</v>
      </c>
      <c r="AQ218">
        <v>0.4</v>
      </c>
      <c r="AR218">
        <v>0</v>
      </c>
      <c r="AS218">
        <v>0.7435897435897435</v>
      </c>
      <c r="AT218">
        <v>1.56</v>
      </c>
      <c r="AU218">
        <v>0</v>
      </c>
      <c r="AV218">
        <v>0</v>
      </c>
      <c r="AW218">
        <v>1.559999942779541</v>
      </c>
      <c r="AX218">
        <v>0</v>
      </c>
      <c r="AY218">
        <v>0.10000000149011611</v>
      </c>
      <c r="AZ218">
        <v>1.1599999666213989</v>
      </c>
      <c r="BA218">
        <v>0.30000001192092901</v>
      </c>
      <c r="BB218">
        <v>0</v>
      </c>
      <c r="BC218">
        <v>1.259999968111515</v>
      </c>
      <c r="BD218">
        <v>0.30000001192092901</v>
      </c>
      <c r="BE218">
        <v>0.80769229758920269</v>
      </c>
      <c r="BF218">
        <v>0.19230770241079731</v>
      </c>
      <c r="BG218">
        <v>150</v>
      </c>
      <c r="BH218">
        <v>0.10000000149011611</v>
      </c>
      <c r="BI218">
        <v>1.1599999666213989</v>
      </c>
      <c r="BJ218">
        <v>0.30000001192092901</v>
      </c>
      <c r="BK218">
        <v>0</v>
      </c>
      <c r="BL218">
        <v>0</v>
      </c>
      <c r="BM218">
        <v>0</v>
      </c>
      <c r="BP218">
        <v>0</v>
      </c>
      <c r="BQ218">
        <v>0</v>
      </c>
      <c r="BT218">
        <v>0</v>
      </c>
      <c r="BU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25">
      <c r="A219">
        <v>218</v>
      </c>
      <c r="B219" t="s">
        <v>941</v>
      </c>
      <c r="C219" t="s">
        <v>942</v>
      </c>
      <c r="D219" t="s">
        <v>943</v>
      </c>
      <c r="E219" t="s">
        <v>136</v>
      </c>
      <c r="F219" t="s">
        <v>105</v>
      </c>
      <c r="G219">
        <v>2</v>
      </c>
      <c r="H219">
        <v>1</v>
      </c>
      <c r="I219">
        <v>1032</v>
      </c>
      <c r="J219">
        <v>0</v>
      </c>
      <c r="K219">
        <v>0</v>
      </c>
      <c r="L219">
        <v>6310.1</v>
      </c>
      <c r="M219">
        <v>6310.4</v>
      </c>
      <c r="N219">
        <v>10352.200000000001</v>
      </c>
      <c r="O219">
        <v>1321.3</v>
      </c>
      <c r="P219">
        <v>10516.9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4.78</v>
      </c>
      <c r="W219">
        <v>3.5</v>
      </c>
      <c r="X219">
        <v>4</v>
      </c>
      <c r="Y219">
        <v>0</v>
      </c>
      <c r="Z219">
        <v>0</v>
      </c>
      <c r="AA219">
        <v>0</v>
      </c>
      <c r="AB219">
        <v>0.78</v>
      </c>
      <c r="AC219">
        <v>2.9</v>
      </c>
      <c r="AD219">
        <v>0</v>
      </c>
      <c r="AE219">
        <v>0</v>
      </c>
      <c r="AF219">
        <v>1.88</v>
      </c>
      <c r="AG219">
        <v>0.60669456066945615</v>
      </c>
      <c r="AH219">
        <v>4.78</v>
      </c>
      <c r="AI219">
        <v>3.5</v>
      </c>
      <c r="AJ219">
        <v>4.0000000000000018</v>
      </c>
      <c r="AK219">
        <v>0</v>
      </c>
      <c r="AL219">
        <v>0</v>
      </c>
      <c r="AM219">
        <v>0</v>
      </c>
      <c r="AN219">
        <v>0.77999999999999992</v>
      </c>
      <c r="AO219">
        <v>0</v>
      </c>
      <c r="AP219">
        <v>2.600000000000001</v>
      </c>
      <c r="AQ219">
        <v>0.3</v>
      </c>
      <c r="AR219">
        <v>1.880000000000001</v>
      </c>
      <c r="AS219">
        <v>0.54393305439330542</v>
      </c>
      <c r="AT219">
        <v>4.78</v>
      </c>
      <c r="AU219">
        <v>0</v>
      </c>
      <c r="AV219">
        <v>0</v>
      </c>
      <c r="AW219">
        <v>4</v>
      </c>
      <c r="AX219">
        <v>0</v>
      </c>
      <c r="AY219">
        <v>0</v>
      </c>
      <c r="AZ219">
        <v>2.2999999523162842</v>
      </c>
      <c r="BA219">
        <v>0.30000001192092901</v>
      </c>
      <c r="BB219">
        <v>1.3999999761581421</v>
      </c>
      <c r="BC219">
        <v>2.2999999523162842</v>
      </c>
      <c r="BD219">
        <v>1.699999988079071</v>
      </c>
      <c r="BE219">
        <v>0.57499999664723866</v>
      </c>
      <c r="BF219">
        <v>0.42500000335276128</v>
      </c>
      <c r="BG219">
        <v>150</v>
      </c>
      <c r="BH219">
        <v>0</v>
      </c>
      <c r="BI219">
        <v>2.2999999523162842</v>
      </c>
      <c r="BJ219">
        <v>0.30000001192092901</v>
      </c>
      <c r="BK219">
        <v>1.3999999761581421</v>
      </c>
      <c r="BL219">
        <v>1</v>
      </c>
      <c r="BM219">
        <v>2</v>
      </c>
      <c r="BN219">
        <v>2023</v>
      </c>
      <c r="BO219">
        <v>1</v>
      </c>
      <c r="BP219">
        <v>1</v>
      </c>
      <c r="BQ219">
        <v>2</v>
      </c>
      <c r="BR219">
        <v>2023</v>
      </c>
      <c r="BS219">
        <v>2</v>
      </c>
      <c r="BT219">
        <v>1</v>
      </c>
      <c r="BU219">
        <v>2</v>
      </c>
      <c r="BV219">
        <v>2023</v>
      </c>
      <c r="BW219">
        <v>3</v>
      </c>
      <c r="BX219">
        <v>0</v>
      </c>
      <c r="BY219">
        <v>1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</row>
    <row r="220" spans="1:96" x14ac:dyDescent="0.25">
      <c r="A220">
        <v>219</v>
      </c>
      <c r="B220" t="s">
        <v>944</v>
      </c>
      <c r="C220" t="s">
        <v>945</v>
      </c>
      <c r="D220" t="s">
        <v>946</v>
      </c>
      <c r="E220" t="s">
        <v>947</v>
      </c>
      <c r="F220" t="s">
        <v>469</v>
      </c>
      <c r="G220">
        <v>2</v>
      </c>
      <c r="H220">
        <v>2</v>
      </c>
      <c r="I220">
        <v>845</v>
      </c>
      <c r="J220">
        <v>0</v>
      </c>
      <c r="K220">
        <v>0</v>
      </c>
      <c r="L220">
        <v>28635.1</v>
      </c>
      <c r="M220">
        <v>13269.5</v>
      </c>
      <c r="N220">
        <v>30845.5</v>
      </c>
      <c r="O220">
        <v>2194.1999999999998</v>
      </c>
      <c r="P220">
        <v>30747.8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4.45</v>
      </c>
      <c r="W220">
        <v>2</v>
      </c>
      <c r="X220">
        <v>0</v>
      </c>
      <c r="Y220">
        <v>0</v>
      </c>
      <c r="Z220">
        <v>4.45</v>
      </c>
      <c r="AA220">
        <v>0</v>
      </c>
      <c r="AB220">
        <v>0</v>
      </c>
      <c r="AC220">
        <v>0</v>
      </c>
      <c r="AD220">
        <v>4.45</v>
      </c>
      <c r="AE220">
        <v>0</v>
      </c>
      <c r="AF220">
        <v>0</v>
      </c>
      <c r="AG220">
        <v>1</v>
      </c>
      <c r="AH220">
        <v>4.45</v>
      </c>
      <c r="AI220">
        <v>2</v>
      </c>
      <c r="AJ220">
        <v>0</v>
      </c>
      <c r="AK220">
        <v>0</v>
      </c>
      <c r="AL220">
        <v>4.45</v>
      </c>
      <c r="AM220">
        <v>0</v>
      </c>
      <c r="AN220">
        <v>0</v>
      </c>
      <c r="AO220">
        <v>0</v>
      </c>
      <c r="AP220">
        <v>4.45</v>
      </c>
      <c r="AQ220">
        <v>0</v>
      </c>
      <c r="AR220">
        <v>0</v>
      </c>
      <c r="AS220">
        <v>1</v>
      </c>
      <c r="AT220">
        <v>4.45</v>
      </c>
      <c r="AU220">
        <v>4.4499998092651367</v>
      </c>
      <c r="AV220">
        <v>0</v>
      </c>
      <c r="AW220">
        <v>0</v>
      </c>
      <c r="AX220">
        <v>0</v>
      </c>
      <c r="AY220">
        <v>0</v>
      </c>
      <c r="AZ220">
        <v>4.4499998092651367</v>
      </c>
      <c r="BA220">
        <v>0</v>
      </c>
      <c r="BB220">
        <v>0</v>
      </c>
      <c r="BC220">
        <v>4.4499998092651367</v>
      </c>
      <c r="BD220">
        <v>0</v>
      </c>
      <c r="BE220">
        <v>1</v>
      </c>
      <c r="BF220">
        <v>0</v>
      </c>
      <c r="BG220">
        <v>150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P220">
        <v>0</v>
      </c>
      <c r="BQ220">
        <v>0</v>
      </c>
      <c r="BT220">
        <v>0</v>
      </c>
      <c r="BU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</row>
    <row r="221" spans="1:96" x14ac:dyDescent="0.25">
      <c r="A221">
        <v>220</v>
      </c>
      <c r="B221" t="s">
        <v>948</v>
      </c>
      <c r="C221" t="s">
        <v>949</v>
      </c>
      <c r="D221" t="s">
        <v>950</v>
      </c>
      <c r="E221" t="s">
        <v>425</v>
      </c>
      <c r="F221" t="s">
        <v>100</v>
      </c>
      <c r="G221">
        <v>1</v>
      </c>
      <c r="H221">
        <v>1</v>
      </c>
      <c r="I221">
        <v>630</v>
      </c>
      <c r="J221">
        <v>0</v>
      </c>
      <c r="K221">
        <v>0</v>
      </c>
      <c r="L221">
        <v>3405.1</v>
      </c>
      <c r="M221">
        <v>2185.5</v>
      </c>
      <c r="N221">
        <v>3038.5</v>
      </c>
      <c r="O221">
        <v>747.9</v>
      </c>
      <c r="P221">
        <v>3260.2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0.54</v>
      </c>
      <c r="W221">
        <v>3.5</v>
      </c>
      <c r="X221">
        <v>0.54</v>
      </c>
      <c r="Y221">
        <v>0</v>
      </c>
      <c r="Z221">
        <v>0</v>
      </c>
      <c r="AA221">
        <v>0</v>
      </c>
      <c r="AB221">
        <v>0</v>
      </c>
      <c r="AC221">
        <v>0.54</v>
      </c>
      <c r="AD221">
        <v>0</v>
      </c>
      <c r="AE221">
        <v>0</v>
      </c>
      <c r="AF221">
        <v>0</v>
      </c>
      <c r="AG221">
        <v>1</v>
      </c>
      <c r="AH221">
        <v>0.54</v>
      </c>
      <c r="AI221">
        <v>3.5</v>
      </c>
      <c r="AJ221">
        <v>0.54</v>
      </c>
      <c r="AK221">
        <v>0</v>
      </c>
      <c r="AL221">
        <v>0</v>
      </c>
      <c r="AM221">
        <v>0</v>
      </c>
      <c r="AN221">
        <v>0</v>
      </c>
      <c r="AO221">
        <v>0.54</v>
      </c>
      <c r="AP221">
        <v>0</v>
      </c>
      <c r="AQ221">
        <v>0</v>
      </c>
      <c r="AR221">
        <v>0</v>
      </c>
      <c r="AS221">
        <v>1</v>
      </c>
      <c r="AT221">
        <v>0.54</v>
      </c>
      <c r="AU221">
        <v>0</v>
      </c>
      <c r="AV221">
        <v>0</v>
      </c>
      <c r="AW221">
        <v>0.54000002145767212</v>
      </c>
      <c r="AX221">
        <v>0</v>
      </c>
      <c r="AY221">
        <v>0</v>
      </c>
      <c r="AZ221">
        <v>0.54000002145767212</v>
      </c>
      <c r="BA221">
        <v>0</v>
      </c>
      <c r="BB221">
        <v>0</v>
      </c>
      <c r="BC221">
        <v>0.54000002145767212</v>
      </c>
      <c r="BD221">
        <v>0</v>
      </c>
      <c r="BE221">
        <v>1</v>
      </c>
      <c r="BF221">
        <v>0</v>
      </c>
      <c r="BG221">
        <v>150</v>
      </c>
      <c r="BH221">
        <v>0</v>
      </c>
      <c r="BI221">
        <v>0.54000002145767212</v>
      </c>
      <c r="BJ221">
        <v>0</v>
      </c>
      <c r="BK221">
        <v>0</v>
      </c>
      <c r="BL221">
        <v>1</v>
      </c>
      <c r="BM221">
        <v>1</v>
      </c>
      <c r="BN221">
        <v>2023</v>
      </c>
      <c r="BO221">
        <v>1</v>
      </c>
      <c r="BP221">
        <v>1</v>
      </c>
      <c r="BQ221">
        <v>1</v>
      </c>
      <c r="BR221">
        <v>2023</v>
      </c>
      <c r="BS221">
        <v>2</v>
      </c>
      <c r="BT221">
        <v>1</v>
      </c>
      <c r="BU221">
        <v>1</v>
      </c>
      <c r="BV221">
        <v>2023</v>
      </c>
      <c r="BW221">
        <v>3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25">
      <c r="A222">
        <v>221</v>
      </c>
      <c r="B222" t="s">
        <v>951</v>
      </c>
      <c r="C222" t="s">
        <v>952</v>
      </c>
      <c r="D222" t="s">
        <v>953</v>
      </c>
      <c r="E222" t="s">
        <v>954</v>
      </c>
      <c r="F222" t="s">
        <v>100</v>
      </c>
      <c r="G222">
        <v>2</v>
      </c>
      <c r="H222">
        <v>1</v>
      </c>
      <c r="I222">
        <v>1206</v>
      </c>
      <c r="J222">
        <v>0</v>
      </c>
      <c r="K222">
        <v>1</v>
      </c>
      <c r="L222">
        <v>3079.3</v>
      </c>
      <c r="M222">
        <v>2176.6999999999998</v>
      </c>
      <c r="N222">
        <v>3029.6</v>
      </c>
      <c r="O222">
        <v>422.1</v>
      </c>
      <c r="P222">
        <v>2934.4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3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3</v>
      </c>
      <c r="AJ222">
        <v>0.99999999999999989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0.4</v>
      </c>
      <c r="AQ222">
        <v>0.6</v>
      </c>
      <c r="AR222">
        <v>0</v>
      </c>
      <c r="AS222">
        <v>0.4</v>
      </c>
      <c r="AT222">
        <v>1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0.30000001192092901</v>
      </c>
      <c r="BA222">
        <v>0.69999998807907104</v>
      </c>
      <c r="BB222">
        <v>0</v>
      </c>
      <c r="BC222">
        <v>0.30000001192092901</v>
      </c>
      <c r="BD222">
        <v>0.69999998807907104</v>
      </c>
      <c r="BE222">
        <v>0.30000001192092901</v>
      </c>
      <c r="BF222">
        <v>0.69999998807907104</v>
      </c>
      <c r="BG222">
        <v>150</v>
      </c>
      <c r="BH222">
        <v>0</v>
      </c>
      <c r="BI222">
        <v>0.30000001192092901</v>
      </c>
      <c r="BJ222">
        <v>0.69999998807907104</v>
      </c>
      <c r="BK222">
        <v>0</v>
      </c>
      <c r="BL222">
        <v>0</v>
      </c>
      <c r="BM222">
        <v>0</v>
      </c>
      <c r="BP222">
        <v>1</v>
      </c>
      <c r="BQ222">
        <v>1</v>
      </c>
      <c r="BR222">
        <v>2024</v>
      </c>
      <c r="BS222">
        <v>1</v>
      </c>
      <c r="BT222">
        <v>1</v>
      </c>
      <c r="BU222">
        <v>1</v>
      </c>
      <c r="BV222">
        <v>2024</v>
      </c>
      <c r="BW222">
        <v>2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25">
      <c r="A223">
        <v>222</v>
      </c>
      <c r="B223" t="s">
        <v>955</v>
      </c>
      <c r="C223" t="s">
        <v>956</v>
      </c>
      <c r="D223" t="s">
        <v>957</v>
      </c>
      <c r="E223" t="s">
        <v>958</v>
      </c>
      <c r="F223" t="s">
        <v>539</v>
      </c>
      <c r="G223">
        <v>3</v>
      </c>
      <c r="H223">
        <v>2</v>
      </c>
      <c r="I223">
        <v>1228</v>
      </c>
      <c r="J223">
        <v>0</v>
      </c>
      <c r="K223">
        <v>0</v>
      </c>
      <c r="L223">
        <v>5059.3999999999996</v>
      </c>
      <c r="M223">
        <v>2680.7</v>
      </c>
      <c r="N223">
        <v>3895.7</v>
      </c>
      <c r="O223">
        <v>796.2</v>
      </c>
      <c r="P223">
        <v>5377.7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1.46</v>
      </c>
      <c r="W223">
        <v>3</v>
      </c>
      <c r="X223">
        <v>0</v>
      </c>
      <c r="Y223">
        <v>0</v>
      </c>
      <c r="Z223">
        <v>0</v>
      </c>
      <c r="AA223">
        <v>1.46</v>
      </c>
      <c r="AB223">
        <v>0</v>
      </c>
      <c r="AC223">
        <v>0</v>
      </c>
      <c r="AD223">
        <v>0</v>
      </c>
      <c r="AE223">
        <v>0</v>
      </c>
      <c r="AF223">
        <v>1.46</v>
      </c>
      <c r="AG223">
        <v>0</v>
      </c>
      <c r="AH223">
        <v>1.46</v>
      </c>
      <c r="AI223">
        <v>3</v>
      </c>
      <c r="AJ223">
        <v>1.46</v>
      </c>
      <c r="AK223">
        <v>0</v>
      </c>
      <c r="AL223">
        <v>0</v>
      </c>
      <c r="AM223">
        <v>0</v>
      </c>
      <c r="AN223">
        <v>0</v>
      </c>
      <c r="AO223">
        <v>1.46</v>
      </c>
      <c r="AP223">
        <v>0</v>
      </c>
      <c r="AQ223">
        <v>0</v>
      </c>
      <c r="AR223">
        <v>0</v>
      </c>
      <c r="AS223">
        <v>1</v>
      </c>
      <c r="AT223">
        <v>1.46</v>
      </c>
      <c r="AU223">
        <v>0</v>
      </c>
      <c r="AV223">
        <v>0</v>
      </c>
      <c r="AW223">
        <v>1.4600000381469731</v>
      </c>
      <c r="AX223">
        <v>0</v>
      </c>
      <c r="AY223">
        <v>1.4600000381469731</v>
      </c>
      <c r="AZ223">
        <v>0</v>
      </c>
      <c r="BA223">
        <v>0</v>
      </c>
      <c r="BB223">
        <v>0</v>
      </c>
      <c r="BC223">
        <v>1.4600000381469731</v>
      </c>
      <c r="BD223">
        <v>0</v>
      </c>
      <c r="BE223">
        <v>1</v>
      </c>
      <c r="BF223">
        <v>0</v>
      </c>
      <c r="BG223">
        <v>150</v>
      </c>
      <c r="BH223">
        <v>1.4600000381469731</v>
      </c>
      <c r="BI223">
        <v>0</v>
      </c>
      <c r="BJ223">
        <v>0</v>
      </c>
      <c r="BK223">
        <v>0</v>
      </c>
      <c r="BL223">
        <v>0</v>
      </c>
      <c r="BM223">
        <v>0</v>
      </c>
      <c r="BP223">
        <v>1</v>
      </c>
      <c r="BQ223">
        <v>1</v>
      </c>
      <c r="BR223">
        <v>2024</v>
      </c>
      <c r="BS223">
        <v>1</v>
      </c>
      <c r="BT223">
        <v>1</v>
      </c>
      <c r="BU223">
        <v>1</v>
      </c>
      <c r="BV223">
        <v>2024</v>
      </c>
      <c r="BW223">
        <v>2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25">
      <c r="A224">
        <v>223</v>
      </c>
      <c r="B224" t="s">
        <v>959</v>
      </c>
      <c r="C224" t="s">
        <v>960</v>
      </c>
      <c r="D224" t="s">
        <v>961</v>
      </c>
      <c r="E224" t="s">
        <v>960</v>
      </c>
      <c r="F224" t="s">
        <v>363</v>
      </c>
      <c r="G224">
        <v>1</v>
      </c>
      <c r="H224">
        <v>1</v>
      </c>
      <c r="I224">
        <v>659</v>
      </c>
      <c r="J224">
        <v>0</v>
      </c>
      <c r="K224">
        <v>0</v>
      </c>
      <c r="L224">
        <v>2530.5</v>
      </c>
      <c r="M224">
        <v>1895.1</v>
      </c>
      <c r="N224">
        <v>3749.4</v>
      </c>
      <c r="O224">
        <v>0</v>
      </c>
      <c r="P224">
        <v>30362.5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0.3</v>
      </c>
      <c r="W224">
        <v>3</v>
      </c>
      <c r="X224">
        <v>0.2</v>
      </c>
      <c r="Y224">
        <v>0</v>
      </c>
      <c r="Z224">
        <v>0</v>
      </c>
      <c r="AA224">
        <v>0.1</v>
      </c>
      <c r="AB224">
        <v>0</v>
      </c>
      <c r="AC224">
        <v>0</v>
      </c>
      <c r="AD224">
        <v>0</v>
      </c>
      <c r="AE224">
        <v>0</v>
      </c>
      <c r="AF224">
        <v>0.3</v>
      </c>
      <c r="AG224">
        <v>0</v>
      </c>
      <c r="AH224">
        <v>0.3</v>
      </c>
      <c r="AI224">
        <v>3</v>
      </c>
      <c r="AJ224">
        <v>0.1</v>
      </c>
      <c r="AK224">
        <v>0</v>
      </c>
      <c r="AL224">
        <v>0</v>
      </c>
      <c r="AM224">
        <v>0.2</v>
      </c>
      <c r="AN224">
        <v>0</v>
      </c>
      <c r="AO224">
        <v>0</v>
      </c>
      <c r="AP224">
        <v>0</v>
      </c>
      <c r="AQ224">
        <v>0</v>
      </c>
      <c r="AR224">
        <v>0.3</v>
      </c>
      <c r="AS224">
        <v>0</v>
      </c>
      <c r="AT224">
        <v>0.3</v>
      </c>
      <c r="AU224">
        <v>0</v>
      </c>
      <c r="AV224">
        <v>0</v>
      </c>
      <c r="AW224">
        <v>0.20000000298023221</v>
      </c>
      <c r="AX224">
        <v>0</v>
      </c>
      <c r="AY224">
        <v>0</v>
      </c>
      <c r="AZ224">
        <v>0</v>
      </c>
      <c r="BA224">
        <v>0</v>
      </c>
      <c r="BB224">
        <v>0.20000000298023221</v>
      </c>
      <c r="BC224">
        <v>0</v>
      </c>
      <c r="BD224">
        <v>0.20000000298023221</v>
      </c>
      <c r="BE224">
        <v>0</v>
      </c>
      <c r="BF224">
        <v>1</v>
      </c>
      <c r="BG224">
        <v>150</v>
      </c>
      <c r="BH224">
        <v>0</v>
      </c>
      <c r="BI224">
        <v>0</v>
      </c>
      <c r="BJ224">
        <v>0</v>
      </c>
      <c r="BK224">
        <v>0.20000000298023221</v>
      </c>
      <c r="BL224">
        <v>0</v>
      </c>
      <c r="BM224">
        <v>0</v>
      </c>
      <c r="BP224">
        <v>0</v>
      </c>
      <c r="BQ224">
        <v>0</v>
      </c>
      <c r="BT224">
        <v>0</v>
      </c>
      <c r="BU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x14ac:dyDescent="0.25">
      <c r="A225">
        <v>224</v>
      </c>
      <c r="B225" t="s">
        <v>962</v>
      </c>
      <c r="C225" t="s">
        <v>963</v>
      </c>
      <c r="D225" t="s">
        <v>964</v>
      </c>
      <c r="E225" t="s">
        <v>194</v>
      </c>
      <c r="F225" t="s">
        <v>100</v>
      </c>
      <c r="G225">
        <v>1</v>
      </c>
      <c r="H225">
        <v>1</v>
      </c>
      <c r="I225">
        <v>1874</v>
      </c>
      <c r="J225">
        <v>0</v>
      </c>
      <c r="K225">
        <v>1</v>
      </c>
      <c r="L225">
        <v>1676.9</v>
      </c>
      <c r="M225">
        <v>1687.3</v>
      </c>
      <c r="N225">
        <v>3221.4</v>
      </c>
      <c r="O225">
        <v>154.5</v>
      </c>
      <c r="P225">
        <v>1358.5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0.66</v>
      </c>
      <c r="W225">
        <v>3.5</v>
      </c>
      <c r="X225">
        <v>0.66</v>
      </c>
      <c r="Y225">
        <v>0</v>
      </c>
      <c r="Z225">
        <v>0</v>
      </c>
      <c r="AA225">
        <v>0</v>
      </c>
      <c r="AB225">
        <v>0</v>
      </c>
      <c r="AC225">
        <v>0.66</v>
      </c>
      <c r="AD225">
        <v>0</v>
      </c>
      <c r="AE225">
        <v>0</v>
      </c>
      <c r="AF225">
        <v>0</v>
      </c>
      <c r="AG225">
        <v>1</v>
      </c>
      <c r="AH225">
        <v>0.66</v>
      </c>
      <c r="AI225">
        <v>3.5</v>
      </c>
      <c r="AJ225">
        <v>0.65999999999999992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0.65999999999999992</v>
      </c>
      <c r="AQ225">
        <v>0</v>
      </c>
      <c r="AR225">
        <v>0</v>
      </c>
      <c r="AS225">
        <v>1</v>
      </c>
      <c r="AT225">
        <v>0.66</v>
      </c>
      <c r="AU225">
        <v>0</v>
      </c>
      <c r="AV225">
        <v>0</v>
      </c>
      <c r="AW225">
        <v>0.6600000262260437</v>
      </c>
      <c r="AX225">
        <v>0</v>
      </c>
      <c r="AY225">
        <v>0</v>
      </c>
      <c r="AZ225">
        <v>0.6600000262260437</v>
      </c>
      <c r="BA225">
        <v>0</v>
      </c>
      <c r="BB225">
        <v>0</v>
      </c>
      <c r="BC225">
        <v>0.6600000262260437</v>
      </c>
      <c r="BD225">
        <v>0</v>
      </c>
      <c r="BE225">
        <v>1</v>
      </c>
      <c r="BF225">
        <v>0</v>
      </c>
      <c r="BG225">
        <v>150</v>
      </c>
      <c r="BH225">
        <v>0</v>
      </c>
      <c r="BI225">
        <v>0.6600000262260437</v>
      </c>
      <c r="BJ225">
        <v>0</v>
      </c>
      <c r="BK225">
        <v>0</v>
      </c>
      <c r="BL225">
        <v>1</v>
      </c>
      <c r="BM225">
        <v>2</v>
      </c>
      <c r="BN225">
        <v>2023</v>
      </c>
      <c r="BO225">
        <v>1</v>
      </c>
      <c r="BP225">
        <v>1</v>
      </c>
      <c r="BQ225">
        <v>2</v>
      </c>
      <c r="BR225">
        <v>2023</v>
      </c>
      <c r="BS225">
        <v>2</v>
      </c>
      <c r="BT225">
        <v>1</v>
      </c>
      <c r="BU225">
        <v>2</v>
      </c>
      <c r="BV225">
        <v>2023</v>
      </c>
      <c r="BW225">
        <v>3</v>
      </c>
      <c r="BX225">
        <v>0</v>
      </c>
      <c r="BY225">
        <v>1</v>
      </c>
      <c r="BZ225">
        <v>1</v>
      </c>
      <c r="CA225">
        <v>0</v>
      </c>
      <c r="CB225">
        <v>0</v>
      </c>
      <c r="CC225">
        <v>0</v>
      </c>
      <c r="CD225">
        <v>1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</row>
    <row r="226" spans="1:96" x14ac:dyDescent="0.25">
      <c r="A226">
        <v>225</v>
      </c>
      <c r="B226" t="s">
        <v>965</v>
      </c>
      <c r="C226" t="s">
        <v>966</v>
      </c>
      <c r="D226" t="s">
        <v>967</v>
      </c>
      <c r="E226" t="s">
        <v>140</v>
      </c>
      <c r="F226" t="s">
        <v>100</v>
      </c>
      <c r="G226">
        <v>2</v>
      </c>
      <c r="H226">
        <v>1</v>
      </c>
      <c r="I226">
        <v>4331</v>
      </c>
      <c r="J226">
        <v>0</v>
      </c>
      <c r="K226">
        <v>0</v>
      </c>
      <c r="L226">
        <v>1039.5999999999999</v>
      </c>
      <c r="M226">
        <v>538.9</v>
      </c>
      <c r="N226">
        <v>2730.8</v>
      </c>
      <c r="O226">
        <v>61.8</v>
      </c>
      <c r="P226">
        <v>867.9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0.28000000000000003</v>
      </c>
      <c r="W226">
        <v>6</v>
      </c>
      <c r="X226">
        <v>0.28000000000000003</v>
      </c>
      <c r="Y226">
        <v>0</v>
      </c>
      <c r="Z226">
        <v>0</v>
      </c>
      <c r="AA226">
        <v>0</v>
      </c>
      <c r="AB226">
        <v>0</v>
      </c>
      <c r="AC226">
        <v>0.28000000000000003</v>
      </c>
      <c r="AD226">
        <v>0</v>
      </c>
      <c r="AE226">
        <v>0</v>
      </c>
      <c r="AF226">
        <v>0</v>
      </c>
      <c r="AG226">
        <v>1</v>
      </c>
      <c r="AH226">
        <v>0.28000000000000003</v>
      </c>
      <c r="AI226">
        <v>6</v>
      </c>
      <c r="AJ226">
        <v>0.28000000000000003</v>
      </c>
      <c r="AK226">
        <v>0</v>
      </c>
      <c r="AL226">
        <v>0</v>
      </c>
      <c r="AM226">
        <v>0</v>
      </c>
      <c r="AN226">
        <v>0</v>
      </c>
      <c r="AO226">
        <v>0.28000000000000003</v>
      </c>
      <c r="AP226">
        <v>0</v>
      </c>
      <c r="AQ226">
        <v>0</v>
      </c>
      <c r="AR226">
        <v>0</v>
      </c>
      <c r="AS226">
        <v>1</v>
      </c>
      <c r="AT226">
        <v>0.28000000000000003</v>
      </c>
      <c r="AU226">
        <v>0</v>
      </c>
      <c r="AV226">
        <v>0</v>
      </c>
      <c r="AW226">
        <v>0.2800000011920929</v>
      </c>
      <c r="AX226">
        <v>0</v>
      </c>
      <c r="AY226">
        <v>0.1800000071525574</v>
      </c>
      <c r="AZ226">
        <v>0.10000000149011611</v>
      </c>
      <c r="BA226">
        <v>0</v>
      </c>
      <c r="BB226">
        <v>0</v>
      </c>
      <c r="BC226">
        <v>0.28000000864267349</v>
      </c>
      <c r="BD226">
        <v>0</v>
      </c>
      <c r="BE226">
        <v>1</v>
      </c>
      <c r="BF226">
        <v>0</v>
      </c>
      <c r="BG226">
        <v>150</v>
      </c>
      <c r="BH226">
        <v>0.1800000071525574</v>
      </c>
      <c r="BI226">
        <v>0.10000000149011611</v>
      </c>
      <c r="BJ226">
        <v>0</v>
      </c>
      <c r="BK226">
        <v>0</v>
      </c>
      <c r="BL226">
        <v>0</v>
      </c>
      <c r="BM226">
        <v>0</v>
      </c>
      <c r="BP226">
        <v>0</v>
      </c>
      <c r="BQ226">
        <v>0</v>
      </c>
      <c r="BT226">
        <v>0</v>
      </c>
      <c r="BU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</row>
    <row r="227" spans="1:96" x14ac:dyDescent="0.25">
      <c r="A227">
        <v>226</v>
      </c>
      <c r="B227" t="s">
        <v>968</v>
      </c>
      <c r="C227" t="s">
        <v>969</v>
      </c>
      <c r="D227" t="s">
        <v>970</v>
      </c>
      <c r="E227" t="s">
        <v>705</v>
      </c>
      <c r="F227" t="s">
        <v>100</v>
      </c>
      <c r="G227">
        <v>1</v>
      </c>
      <c r="H227">
        <v>1</v>
      </c>
      <c r="I227">
        <v>3189</v>
      </c>
      <c r="J227">
        <v>0</v>
      </c>
      <c r="K227">
        <v>0</v>
      </c>
      <c r="L227">
        <v>199.3</v>
      </c>
      <c r="M227">
        <v>697.5</v>
      </c>
      <c r="N227">
        <v>1840.5</v>
      </c>
      <c r="O227">
        <v>513</v>
      </c>
      <c r="P227">
        <v>517.6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0.28000000000000003</v>
      </c>
      <c r="W227">
        <v>6</v>
      </c>
      <c r="X227">
        <v>0.28000000000000003</v>
      </c>
      <c r="Y227">
        <v>0</v>
      </c>
      <c r="Z227">
        <v>0</v>
      </c>
      <c r="AA227">
        <v>0</v>
      </c>
      <c r="AB227">
        <v>0</v>
      </c>
      <c r="AC227">
        <v>0.28000000000000003</v>
      </c>
      <c r="AD227">
        <v>0</v>
      </c>
      <c r="AE227">
        <v>0</v>
      </c>
      <c r="AF227">
        <v>0</v>
      </c>
      <c r="AG227">
        <v>1</v>
      </c>
      <c r="AH227">
        <v>0.28000000000000003</v>
      </c>
      <c r="AI227">
        <v>6</v>
      </c>
      <c r="AJ227">
        <v>0.28000000000000003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0.28000000000000003</v>
      </c>
      <c r="AQ227">
        <v>0</v>
      </c>
      <c r="AR227">
        <v>0</v>
      </c>
      <c r="AS227">
        <v>1</v>
      </c>
      <c r="AT227">
        <v>0.28000000000000003</v>
      </c>
      <c r="AU227">
        <v>0</v>
      </c>
      <c r="AV227">
        <v>0.2800000011920929</v>
      </c>
      <c r="AW227">
        <v>0</v>
      </c>
      <c r="AX227">
        <v>0</v>
      </c>
      <c r="AY227">
        <v>0.2800000011920929</v>
      </c>
      <c r="AZ227">
        <v>0</v>
      </c>
      <c r="BA227">
        <v>0</v>
      </c>
      <c r="BB227">
        <v>0</v>
      </c>
      <c r="BC227">
        <v>0.2800000011920929</v>
      </c>
      <c r="BD227">
        <v>0</v>
      </c>
      <c r="BE227">
        <v>1</v>
      </c>
      <c r="BF227">
        <v>0</v>
      </c>
      <c r="BG227">
        <v>300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P227">
        <v>0</v>
      </c>
      <c r="BQ227">
        <v>0</v>
      </c>
      <c r="BT227">
        <v>0</v>
      </c>
      <c r="BU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25">
      <c r="A228">
        <v>227</v>
      </c>
      <c r="B228" t="s">
        <v>971</v>
      </c>
      <c r="C228" t="s">
        <v>972</v>
      </c>
      <c r="D228" t="s">
        <v>973</v>
      </c>
      <c r="E228" t="s">
        <v>974</v>
      </c>
      <c r="F228" t="s">
        <v>100</v>
      </c>
      <c r="G228">
        <v>2</v>
      </c>
      <c r="H228">
        <v>1</v>
      </c>
      <c r="I228">
        <v>1993</v>
      </c>
      <c r="J228">
        <v>1</v>
      </c>
      <c r="K228">
        <v>0</v>
      </c>
      <c r="L228">
        <v>4711.6000000000004</v>
      </c>
      <c r="M228">
        <v>4644.3</v>
      </c>
      <c r="N228">
        <v>6120.5</v>
      </c>
      <c r="O228">
        <v>2055.4</v>
      </c>
      <c r="P228">
        <v>4446.8999999999996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1.05</v>
      </c>
      <c r="W228">
        <v>3</v>
      </c>
      <c r="X228">
        <v>1.05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1.05</v>
      </c>
      <c r="AE228">
        <v>0</v>
      </c>
      <c r="AF228">
        <v>0</v>
      </c>
      <c r="AG228">
        <v>1</v>
      </c>
      <c r="AH228">
        <v>1.05</v>
      </c>
      <c r="AI228">
        <v>3</v>
      </c>
      <c r="AJ228">
        <v>1.05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1.05</v>
      </c>
      <c r="AQ228">
        <v>0</v>
      </c>
      <c r="AR228">
        <v>0</v>
      </c>
      <c r="AS228">
        <v>1</v>
      </c>
      <c r="AT228">
        <v>1.05</v>
      </c>
      <c r="AU228">
        <v>0</v>
      </c>
      <c r="AV228">
        <v>0</v>
      </c>
      <c r="AW228">
        <v>1.049999952316284</v>
      </c>
      <c r="AX228">
        <v>0</v>
      </c>
      <c r="AY228">
        <v>0</v>
      </c>
      <c r="AZ228">
        <v>0.75</v>
      </c>
      <c r="BA228">
        <v>0.30000001192092901</v>
      </c>
      <c r="BB228">
        <v>0</v>
      </c>
      <c r="BC228">
        <v>0.75</v>
      </c>
      <c r="BD228">
        <v>0.30000001192092901</v>
      </c>
      <c r="BE228">
        <v>0.71428570617623888</v>
      </c>
      <c r="BF228">
        <v>0.28571429382376112</v>
      </c>
      <c r="BG228">
        <v>150</v>
      </c>
      <c r="BH228">
        <v>0</v>
      </c>
      <c r="BI228">
        <v>0.75</v>
      </c>
      <c r="BJ228">
        <v>0.30000001192092901</v>
      </c>
      <c r="BK228">
        <v>0</v>
      </c>
      <c r="BL228">
        <v>1</v>
      </c>
      <c r="BM228">
        <v>1</v>
      </c>
      <c r="BN228">
        <v>2023</v>
      </c>
      <c r="BO228">
        <v>1</v>
      </c>
      <c r="BP228">
        <v>1</v>
      </c>
      <c r="BQ228">
        <v>1</v>
      </c>
      <c r="BR228">
        <v>2023</v>
      </c>
      <c r="BS228">
        <v>2</v>
      </c>
      <c r="BT228">
        <v>1</v>
      </c>
      <c r="BU228">
        <v>1</v>
      </c>
      <c r="BV228">
        <v>2023</v>
      </c>
      <c r="BW228">
        <v>3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</row>
    <row r="229" spans="1:96" x14ac:dyDescent="0.25">
      <c r="A229">
        <v>228</v>
      </c>
      <c r="B229" t="s">
        <v>975</v>
      </c>
      <c r="C229" t="s">
        <v>976</v>
      </c>
      <c r="D229" t="s">
        <v>977</v>
      </c>
      <c r="E229" t="s">
        <v>978</v>
      </c>
      <c r="F229" t="s">
        <v>176</v>
      </c>
      <c r="G229">
        <v>2</v>
      </c>
      <c r="H229">
        <v>1</v>
      </c>
      <c r="I229">
        <v>774</v>
      </c>
      <c r="J229">
        <v>0</v>
      </c>
      <c r="K229">
        <v>1</v>
      </c>
      <c r="L229">
        <v>4197.2</v>
      </c>
      <c r="M229">
        <v>1316.8</v>
      </c>
      <c r="N229">
        <v>3994.9</v>
      </c>
      <c r="O229">
        <v>483.7</v>
      </c>
      <c r="P229">
        <v>5666.8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0.95</v>
      </c>
      <c r="W229">
        <v>3</v>
      </c>
      <c r="X229">
        <v>0.95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0.95</v>
      </c>
      <c r="AE229">
        <v>0</v>
      </c>
      <c r="AF229">
        <v>0</v>
      </c>
      <c r="AG229">
        <v>1</v>
      </c>
      <c r="AH229">
        <v>0.95</v>
      </c>
      <c r="AI229">
        <v>3</v>
      </c>
      <c r="AJ229">
        <v>0.95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0.55000000000000004</v>
      </c>
      <c r="AQ229">
        <v>0.4</v>
      </c>
      <c r="AR229">
        <v>0</v>
      </c>
      <c r="AS229">
        <v>0.57894736842105265</v>
      </c>
      <c r="AT229">
        <v>0.95</v>
      </c>
      <c r="AU229">
        <v>0</v>
      </c>
      <c r="AV229">
        <v>0</v>
      </c>
      <c r="AW229">
        <v>0.94999998807907104</v>
      </c>
      <c r="AX229">
        <v>0</v>
      </c>
      <c r="AY229">
        <v>0</v>
      </c>
      <c r="AZ229">
        <v>0.34999999403953552</v>
      </c>
      <c r="BA229">
        <v>0.40000000596046448</v>
      </c>
      <c r="BB229">
        <v>0.20000000298023221</v>
      </c>
      <c r="BC229">
        <v>0.34999999403953552</v>
      </c>
      <c r="BD229">
        <v>0.60000000894069672</v>
      </c>
      <c r="BE229">
        <v>0.3684210452016371</v>
      </c>
      <c r="BF229">
        <v>0.6315789547983629</v>
      </c>
      <c r="BG229">
        <v>150</v>
      </c>
      <c r="BH229">
        <v>0</v>
      </c>
      <c r="BI229">
        <v>0.34999999403953552</v>
      </c>
      <c r="BJ229">
        <v>0.40000000596046448</v>
      </c>
      <c r="BK229">
        <v>0.20000000298023221</v>
      </c>
      <c r="BL229">
        <v>0</v>
      </c>
      <c r="BM229">
        <v>0</v>
      </c>
      <c r="BP229">
        <v>0</v>
      </c>
      <c r="BQ229">
        <v>0</v>
      </c>
      <c r="BT229">
        <v>0</v>
      </c>
      <c r="BU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</row>
    <row r="230" spans="1:96" x14ac:dyDescent="0.25">
      <c r="A230">
        <v>229</v>
      </c>
      <c r="B230" t="s">
        <v>979</v>
      </c>
      <c r="C230" t="s">
        <v>980</v>
      </c>
      <c r="D230" t="s">
        <v>981</v>
      </c>
      <c r="E230" t="s">
        <v>705</v>
      </c>
      <c r="F230" t="s">
        <v>100</v>
      </c>
      <c r="G230">
        <v>1</v>
      </c>
      <c r="H230">
        <v>1</v>
      </c>
      <c r="I230">
        <v>3189</v>
      </c>
      <c r="J230">
        <v>0</v>
      </c>
      <c r="K230">
        <v>1</v>
      </c>
      <c r="L230">
        <v>575.9</v>
      </c>
      <c r="M230">
        <v>1149.0999999999999</v>
      </c>
      <c r="N230">
        <v>2120.5</v>
      </c>
      <c r="O230">
        <v>0</v>
      </c>
      <c r="P230">
        <v>257.60000000000002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0.26</v>
      </c>
      <c r="W230">
        <v>6</v>
      </c>
      <c r="X230">
        <v>0.26</v>
      </c>
      <c r="Y230">
        <v>0</v>
      </c>
      <c r="Z230">
        <v>0</v>
      </c>
      <c r="AA230">
        <v>0</v>
      </c>
      <c r="AB230">
        <v>0</v>
      </c>
      <c r="AC230">
        <v>0.26</v>
      </c>
      <c r="AD230">
        <v>0</v>
      </c>
      <c r="AE230">
        <v>0</v>
      </c>
      <c r="AF230">
        <v>0</v>
      </c>
      <c r="AG230">
        <v>1</v>
      </c>
      <c r="AH230">
        <v>0.26</v>
      </c>
      <c r="AI230">
        <v>6</v>
      </c>
      <c r="AJ230">
        <v>0.26</v>
      </c>
      <c r="AK230">
        <v>0</v>
      </c>
      <c r="AL230">
        <v>0</v>
      </c>
      <c r="AM230">
        <v>0</v>
      </c>
      <c r="AN230">
        <v>0</v>
      </c>
      <c r="AO230">
        <v>0.26</v>
      </c>
      <c r="AP230">
        <v>0</v>
      </c>
      <c r="AQ230">
        <v>0</v>
      </c>
      <c r="AR230">
        <v>0</v>
      </c>
      <c r="AS230">
        <v>1</v>
      </c>
      <c r="AT230">
        <v>0.26</v>
      </c>
      <c r="AU230">
        <v>0</v>
      </c>
      <c r="AV230">
        <v>0</v>
      </c>
      <c r="AW230">
        <v>0.25999999046325678</v>
      </c>
      <c r="AX230">
        <v>0</v>
      </c>
      <c r="AY230">
        <v>0.25999999046325678</v>
      </c>
      <c r="AZ230">
        <v>0</v>
      </c>
      <c r="BA230">
        <v>0</v>
      </c>
      <c r="BB230">
        <v>0</v>
      </c>
      <c r="BC230">
        <v>0.25999999046325678</v>
      </c>
      <c r="BD230">
        <v>0</v>
      </c>
      <c r="BE230">
        <v>1</v>
      </c>
      <c r="BF230">
        <v>0</v>
      </c>
      <c r="BG230">
        <v>150</v>
      </c>
      <c r="BH230">
        <v>0.25999999046325678</v>
      </c>
      <c r="BI230">
        <v>0</v>
      </c>
      <c r="BJ230">
        <v>0</v>
      </c>
      <c r="BK230">
        <v>0</v>
      </c>
      <c r="BL230">
        <v>0</v>
      </c>
      <c r="BM230">
        <v>0</v>
      </c>
      <c r="BP230">
        <v>0</v>
      </c>
      <c r="BQ230">
        <v>0</v>
      </c>
      <c r="BT230">
        <v>0</v>
      </c>
      <c r="BU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</row>
    <row r="231" spans="1:96" x14ac:dyDescent="0.25">
      <c r="A231">
        <v>230</v>
      </c>
      <c r="B231" t="s">
        <v>982</v>
      </c>
      <c r="C231" t="s">
        <v>983</v>
      </c>
      <c r="D231" t="s">
        <v>984</v>
      </c>
      <c r="E231" t="s">
        <v>350</v>
      </c>
      <c r="F231" t="s">
        <v>105</v>
      </c>
      <c r="G231">
        <v>1</v>
      </c>
      <c r="H231">
        <v>1</v>
      </c>
      <c r="I231">
        <v>404</v>
      </c>
      <c r="J231">
        <v>0</v>
      </c>
      <c r="K231">
        <v>1</v>
      </c>
      <c r="L231">
        <v>2164.6999999999998</v>
      </c>
      <c r="M231">
        <v>2573.4</v>
      </c>
      <c r="N231">
        <v>9202</v>
      </c>
      <c r="O231">
        <v>792.2</v>
      </c>
      <c r="P231">
        <v>10581.5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0.82</v>
      </c>
      <c r="W231">
        <v>3</v>
      </c>
      <c r="X231">
        <v>0.7</v>
      </c>
      <c r="Y231">
        <v>0</v>
      </c>
      <c r="Z231">
        <v>0</v>
      </c>
      <c r="AA231">
        <v>0.12</v>
      </c>
      <c r="AB231">
        <v>0</v>
      </c>
      <c r="AC231">
        <v>0</v>
      </c>
      <c r="AD231">
        <v>0</v>
      </c>
      <c r="AE231">
        <v>0</v>
      </c>
      <c r="AF231">
        <v>0.82</v>
      </c>
      <c r="AG231">
        <v>0</v>
      </c>
      <c r="AH231">
        <v>0.82</v>
      </c>
      <c r="AI231">
        <v>3</v>
      </c>
      <c r="AJ231">
        <v>0.79999999999999993</v>
      </c>
      <c r="AK231">
        <v>0</v>
      </c>
      <c r="AL231">
        <v>0</v>
      </c>
      <c r="AM231">
        <v>0</v>
      </c>
      <c r="AN231">
        <v>0.02</v>
      </c>
      <c r="AO231">
        <v>0.79999999999999993</v>
      </c>
      <c r="AP231">
        <v>0</v>
      </c>
      <c r="AQ231">
        <v>0</v>
      </c>
      <c r="AR231">
        <v>0.02</v>
      </c>
      <c r="AS231">
        <v>0.97560975609756095</v>
      </c>
      <c r="AT231">
        <v>0.82</v>
      </c>
      <c r="AU231">
        <v>0</v>
      </c>
      <c r="AV231">
        <v>0</v>
      </c>
      <c r="AW231">
        <v>0.69999998807907104</v>
      </c>
      <c r="AX231">
        <v>0</v>
      </c>
      <c r="AY231">
        <v>0.20000000298023221</v>
      </c>
      <c r="AZ231">
        <v>0.5</v>
      </c>
      <c r="BA231">
        <v>0</v>
      </c>
      <c r="BB231">
        <v>0</v>
      </c>
      <c r="BC231">
        <v>0.70000000298023224</v>
      </c>
      <c r="BD231">
        <v>0</v>
      </c>
      <c r="BE231">
        <v>1</v>
      </c>
      <c r="BF231">
        <v>0</v>
      </c>
      <c r="BG231">
        <v>150</v>
      </c>
      <c r="BH231">
        <v>0.20000000298023221</v>
      </c>
      <c r="BI231">
        <v>0.5</v>
      </c>
      <c r="BJ231">
        <v>0</v>
      </c>
      <c r="BK231">
        <v>0</v>
      </c>
      <c r="BL231">
        <v>0</v>
      </c>
      <c r="BM231">
        <v>0</v>
      </c>
      <c r="BP231">
        <v>1</v>
      </c>
      <c r="BQ231">
        <v>1</v>
      </c>
      <c r="BR231">
        <v>2024</v>
      </c>
      <c r="BS231">
        <v>1</v>
      </c>
      <c r="BT231">
        <v>1</v>
      </c>
      <c r="BU231">
        <v>1</v>
      </c>
      <c r="BV231">
        <v>2024</v>
      </c>
      <c r="BW231">
        <v>2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</row>
    <row r="232" spans="1:96" x14ac:dyDescent="0.25">
      <c r="A232">
        <v>231</v>
      </c>
      <c r="B232" t="s">
        <v>985</v>
      </c>
      <c r="C232" t="s">
        <v>986</v>
      </c>
      <c r="D232" t="s">
        <v>987</v>
      </c>
      <c r="E232" t="s">
        <v>266</v>
      </c>
      <c r="F232" t="s">
        <v>105</v>
      </c>
      <c r="G232">
        <v>2</v>
      </c>
      <c r="H232">
        <v>1</v>
      </c>
      <c r="I232">
        <v>1057</v>
      </c>
      <c r="J232">
        <v>0</v>
      </c>
      <c r="K232">
        <v>1</v>
      </c>
      <c r="L232">
        <v>2275.5</v>
      </c>
      <c r="M232">
        <v>697.9</v>
      </c>
      <c r="N232">
        <v>4925.3999999999996</v>
      </c>
      <c r="O232">
        <v>1137.2</v>
      </c>
      <c r="P232">
        <v>5385.9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0.36</v>
      </c>
      <c r="W232">
        <v>3</v>
      </c>
      <c r="X232">
        <v>0.36</v>
      </c>
      <c r="Y232">
        <v>0</v>
      </c>
      <c r="Z232">
        <v>0</v>
      </c>
      <c r="AA232">
        <v>0</v>
      </c>
      <c r="AB232">
        <v>0</v>
      </c>
      <c r="AC232">
        <v>0.36</v>
      </c>
      <c r="AD232">
        <v>0</v>
      </c>
      <c r="AE232">
        <v>0</v>
      </c>
      <c r="AF232">
        <v>0</v>
      </c>
      <c r="AG232">
        <v>1</v>
      </c>
      <c r="AH232">
        <v>0.36</v>
      </c>
      <c r="AI232">
        <v>3</v>
      </c>
      <c r="AJ232">
        <v>0.36</v>
      </c>
      <c r="AK232">
        <v>0</v>
      </c>
      <c r="AL232">
        <v>0</v>
      </c>
      <c r="AM232">
        <v>0</v>
      </c>
      <c r="AN232">
        <v>0</v>
      </c>
      <c r="AO232">
        <v>0.36</v>
      </c>
      <c r="AP232">
        <v>0</v>
      </c>
      <c r="AQ232">
        <v>0</v>
      </c>
      <c r="AR232">
        <v>0</v>
      </c>
      <c r="AS232">
        <v>1</v>
      </c>
      <c r="AT232">
        <v>0.36</v>
      </c>
      <c r="AU232">
        <v>0</v>
      </c>
      <c r="AV232">
        <v>0</v>
      </c>
      <c r="AW232">
        <v>0.36000001430511469</v>
      </c>
      <c r="AX232">
        <v>0</v>
      </c>
      <c r="AY232">
        <v>0.10000000149011611</v>
      </c>
      <c r="AZ232">
        <v>0.25999999046325678</v>
      </c>
      <c r="BA232">
        <v>0</v>
      </c>
      <c r="BB232">
        <v>0</v>
      </c>
      <c r="BC232">
        <v>0.35999999195337301</v>
      </c>
      <c r="BD232">
        <v>0</v>
      </c>
      <c r="BE232">
        <v>1</v>
      </c>
      <c r="BF232">
        <v>0</v>
      </c>
      <c r="BG232">
        <v>150</v>
      </c>
      <c r="BH232">
        <v>0.10000000149011611</v>
      </c>
      <c r="BI232">
        <v>0.25999999046325678</v>
      </c>
      <c r="BJ232">
        <v>0</v>
      </c>
      <c r="BK232">
        <v>0</v>
      </c>
      <c r="BL232">
        <v>0</v>
      </c>
      <c r="BM232">
        <v>0</v>
      </c>
      <c r="BP232">
        <v>0</v>
      </c>
      <c r="BQ232">
        <v>0</v>
      </c>
      <c r="BT232">
        <v>0</v>
      </c>
      <c r="BU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25">
      <c r="A233">
        <v>232</v>
      </c>
      <c r="B233" t="s">
        <v>988</v>
      </c>
      <c r="C233" t="s">
        <v>989</v>
      </c>
      <c r="D233" t="s">
        <v>990</v>
      </c>
      <c r="E233" t="s">
        <v>444</v>
      </c>
      <c r="F233" t="s">
        <v>363</v>
      </c>
      <c r="G233">
        <v>1</v>
      </c>
      <c r="H233">
        <v>1</v>
      </c>
      <c r="I233">
        <v>870</v>
      </c>
      <c r="J233">
        <v>1</v>
      </c>
      <c r="K233">
        <v>0</v>
      </c>
      <c r="L233">
        <v>1145.7</v>
      </c>
      <c r="M233">
        <v>907</v>
      </c>
      <c r="N233">
        <v>2364.5</v>
      </c>
      <c r="O233">
        <v>167.6</v>
      </c>
      <c r="P233">
        <v>28977.7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0.32</v>
      </c>
      <c r="W233">
        <v>3</v>
      </c>
      <c r="X233">
        <v>0.32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0.12</v>
      </c>
      <c r="AE233">
        <v>0.2</v>
      </c>
      <c r="AF233">
        <v>0</v>
      </c>
      <c r="AG233">
        <v>0.375</v>
      </c>
      <c r="AH233">
        <v>0.32</v>
      </c>
      <c r="AI233">
        <v>3</v>
      </c>
      <c r="AJ233">
        <v>0.32000000000000012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0.12</v>
      </c>
      <c r="AQ233">
        <v>0.2</v>
      </c>
      <c r="AR233">
        <v>0</v>
      </c>
      <c r="AS233">
        <v>0.375</v>
      </c>
      <c r="AT233">
        <v>0.32</v>
      </c>
      <c r="AU233">
        <v>0</v>
      </c>
      <c r="AV233">
        <v>0</v>
      </c>
      <c r="AW233">
        <v>0.31999999284744263</v>
      </c>
      <c r="AX233">
        <v>0</v>
      </c>
      <c r="AY233">
        <v>0.31999999284744263</v>
      </c>
      <c r="AZ233">
        <v>0</v>
      </c>
      <c r="BA233">
        <v>0</v>
      </c>
      <c r="BB233">
        <v>0</v>
      </c>
      <c r="BC233">
        <v>0.31999999284744263</v>
      </c>
      <c r="BD233">
        <v>0</v>
      </c>
      <c r="BE233">
        <v>1</v>
      </c>
      <c r="BF233">
        <v>0</v>
      </c>
      <c r="BG233">
        <v>150</v>
      </c>
      <c r="BH233">
        <v>0.31999999284744263</v>
      </c>
      <c r="BI233">
        <v>0</v>
      </c>
      <c r="BJ233">
        <v>0</v>
      </c>
      <c r="BK233">
        <v>0</v>
      </c>
      <c r="BL233">
        <v>0</v>
      </c>
      <c r="BM233">
        <v>0</v>
      </c>
      <c r="BP233">
        <v>0</v>
      </c>
      <c r="BQ233">
        <v>0</v>
      </c>
      <c r="BT233">
        <v>1</v>
      </c>
      <c r="BU233">
        <v>1</v>
      </c>
      <c r="BV233">
        <v>2025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</row>
    <row r="234" spans="1:96" x14ac:dyDescent="0.25">
      <c r="A234">
        <v>233</v>
      </c>
      <c r="B234" t="s">
        <v>991</v>
      </c>
      <c r="C234" t="s">
        <v>992</v>
      </c>
      <c r="D234" t="s">
        <v>993</v>
      </c>
      <c r="E234" t="s">
        <v>994</v>
      </c>
      <c r="F234" t="s">
        <v>363</v>
      </c>
      <c r="G234">
        <v>1</v>
      </c>
      <c r="H234">
        <v>1</v>
      </c>
      <c r="I234">
        <v>359</v>
      </c>
      <c r="J234">
        <v>0</v>
      </c>
      <c r="K234">
        <v>0</v>
      </c>
      <c r="L234">
        <v>3497.9</v>
      </c>
      <c r="M234">
        <v>2862.5</v>
      </c>
      <c r="N234">
        <v>4716.7</v>
      </c>
      <c r="O234">
        <v>1205.8</v>
      </c>
      <c r="P234">
        <v>31329.9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0.27</v>
      </c>
      <c r="W234">
        <v>3</v>
      </c>
      <c r="X234">
        <v>0.27</v>
      </c>
      <c r="Y234">
        <v>0</v>
      </c>
      <c r="Z234">
        <v>0</v>
      </c>
      <c r="AA234">
        <v>0</v>
      </c>
      <c r="AB234">
        <v>0</v>
      </c>
      <c r="AC234">
        <v>0.27</v>
      </c>
      <c r="AD234">
        <v>0</v>
      </c>
      <c r="AE234">
        <v>0</v>
      </c>
      <c r="AF234">
        <v>0</v>
      </c>
      <c r="AG234">
        <v>1</v>
      </c>
      <c r="AH234">
        <v>0.27</v>
      </c>
      <c r="AI234">
        <v>3</v>
      </c>
      <c r="AJ234">
        <v>0.27</v>
      </c>
      <c r="AK234">
        <v>0</v>
      </c>
      <c r="AL234">
        <v>0</v>
      </c>
      <c r="AM234">
        <v>0</v>
      </c>
      <c r="AN234">
        <v>0</v>
      </c>
      <c r="AO234">
        <v>0.27</v>
      </c>
      <c r="AP234">
        <v>0</v>
      </c>
      <c r="AQ234">
        <v>0</v>
      </c>
      <c r="AR234">
        <v>0</v>
      </c>
      <c r="AS234">
        <v>1</v>
      </c>
      <c r="AT234">
        <v>0.27</v>
      </c>
      <c r="AU234">
        <v>0</v>
      </c>
      <c r="AV234">
        <v>0</v>
      </c>
      <c r="AW234">
        <v>0.27000001072883612</v>
      </c>
      <c r="AX234">
        <v>0</v>
      </c>
      <c r="AY234">
        <v>0</v>
      </c>
      <c r="AZ234">
        <v>0.27000001072883612</v>
      </c>
      <c r="BA234">
        <v>0</v>
      </c>
      <c r="BB234">
        <v>0</v>
      </c>
      <c r="BC234">
        <v>0.27000001072883612</v>
      </c>
      <c r="BD234">
        <v>0</v>
      </c>
      <c r="BE234">
        <v>1</v>
      </c>
      <c r="BF234">
        <v>0</v>
      </c>
      <c r="BG234">
        <v>150</v>
      </c>
      <c r="BH234">
        <v>0</v>
      </c>
      <c r="BI234">
        <v>0.27000001072883612</v>
      </c>
      <c r="BJ234">
        <v>0</v>
      </c>
      <c r="BK234">
        <v>0</v>
      </c>
      <c r="BL234">
        <v>0</v>
      </c>
      <c r="BM234">
        <v>0</v>
      </c>
      <c r="BP234">
        <v>0</v>
      </c>
      <c r="BQ234">
        <v>0</v>
      </c>
      <c r="BT234">
        <v>0</v>
      </c>
      <c r="BU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25">
      <c r="A235">
        <v>234</v>
      </c>
      <c r="B235" t="s">
        <v>995</v>
      </c>
      <c r="C235" t="s">
        <v>996</v>
      </c>
      <c r="D235" t="s">
        <v>997</v>
      </c>
      <c r="E235" t="s">
        <v>998</v>
      </c>
      <c r="F235" t="s">
        <v>105</v>
      </c>
      <c r="G235">
        <v>2</v>
      </c>
      <c r="H235">
        <v>1</v>
      </c>
      <c r="I235">
        <v>1319</v>
      </c>
      <c r="J235">
        <v>0</v>
      </c>
      <c r="K235">
        <v>0</v>
      </c>
      <c r="L235">
        <v>2155.3000000000002</v>
      </c>
      <c r="M235">
        <v>2905.5</v>
      </c>
      <c r="N235">
        <v>7397.2</v>
      </c>
      <c r="O235">
        <v>688</v>
      </c>
      <c r="P235">
        <v>7561.9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0.82</v>
      </c>
      <c r="W235">
        <v>3</v>
      </c>
      <c r="X235">
        <v>0.82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0.82</v>
      </c>
      <c r="AE235">
        <v>0</v>
      </c>
      <c r="AF235">
        <v>0</v>
      </c>
      <c r="AG235">
        <v>1</v>
      </c>
      <c r="AH235">
        <v>0.82</v>
      </c>
      <c r="AI235">
        <v>3</v>
      </c>
      <c r="AJ235">
        <v>0.82</v>
      </c>
      <c r="AK235">
        <v>0</v>
      </c>
      <c r="AL235">
        <v>0</v>
      </c>
      <c r="AM235">
        <v>0</v>
      </c>
      <c r="AN235">
        <v>0</v>
      </c>
      <c r="AO235">
        <v>0.82</v>
      </c>
      <c r="AP235">
        <v>0</v>
      </c>
      <c r="AQ235">
        <v>0</v>
      </c>
      <c r="AR235">
        <v>0</v>
      </c>
      <c r="AS235">
        <v>1</v>
      </c>
      <c r="AT235">
        <v>0.82</v>
      </c>
      <c r="AU235">
        <v>0</v>
      </c>
      <c r="AV235">
        <v>0</v>
      </c>
      <c r="AW235">
        <v>0.81999999284744263</v>
      </c>
      <c r="AX235">
        <v>0</v>
      </c>
      <c r="AY235">
        <v>0.81999999284744263</v>
      </c>
      <c r="AZ235">
        <v>0</v>
      </c>
      <c r="BA235">
        <v>0</v>
      </c>
      <c r="BB235">
        <v>0</v>
      </c>
      <c r="BC235">
        <v>0.81999999284744263</v>
      </c>
      <c r="BD235">
        <v>0</v>
      </c>
      <c r="BE235">
        <v>1</v>
      </c>
      <c r="BF235">
        <v>0</v>
      </c>
      <c r="BG235">
        <v>150</v>
      </c>
      <c r="BH235">
        <v>0.81999999284744263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2023</v>
      </c>
      <c r="BO235">
        <v>1</v>
      </c>
      <c r="BP235">
        <v>1</v>
      </c>
      <c r="BQ235">
        <v>2</v>
      </c>
      <c r="BR235">
        <v>2024</v>
      </c>
      <c r="BS235">
        <v>1</v>
      </c>
      <c r="BT235">
        <v>1</v>
      </c>
      <c r="BU235">
        <v>2</v>
      </c>
      <c r="BV235">
        <v>2024</v>
      </c>
      <c r="BW235">
        <v>2</v>
      </c>
      <c r="BX235">
        <v>0</v>
      </c>
      <c r="BY235">
        <v>0</v>
      </c>
      <c r="BZ235">
        <v>1</v>
      </c>
      <c r="CA235">
        <v>1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</row>
    <row r="236" spans="1:96" x14ac:dyDescent="0.25">
      <c r="A236">
        <v>235</v>
      </c>
      <c r="B236" t="s">
        <v>999</v>
      </c>
      <c r="C236" t="s">
        <v>1000</v>
      </c>
      <c r="D236" t="s">
        <v>1001</v>
      </c>
      <c r="E236" t="s">
        <v>834</v>
      </c>
      <c r="F236" t="s">
        <v>100</v>
      </c>
      <c r="G236">
        <v>2</v>
      </c>
      <c r="H236">
        <v>1</v>
      </c>
      <c r="I236">
        <v>5063</v>
      </c>
      <c r="J236">
        <v>0</v>
      </c>
      <c r="K236">
        <v>1</v>
      </c>
      <c r="L236">
        <v>705.7</v>
      </c>
      <c r="M236">
        <v>1202.3</v>
      </c>
      <c r="N236">
        <v>2250.3000000000002</v>
      </c>
      <c r="O236">
        <v>328.4</v>
      </c>
      <c r="P236">
        <v>387.4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0.22</v>
      </c>
      <c r="W236">
        <v>4</v>
      </c>
      <c r="X236">
        <v>0.22</v>
      </c>
      <c r="Y236">
        <v>0</v>
      </c>
      <c r="Z236">
        <v>0</v>
      </c>
      <c r="AA236">
        <v>0</v>
      </c>
      <c r="AB236">
        <v>0</v>
      </c>
      <c r="AC236">
        <v>0.22</v>
      </c>
      <c r="AD236">
        <v>0</v>
      </c>
      <c r="AE236">
        <v>0</v>
      </c>
      <c r="AF236">
        <v>0</v>
      </c>
      <c r="AG236">
        <v>1</v>
      </c>
      <c r="AH236">
        <v>0.22</v>
      </c>
      <c r="AI236">
        <v>4</v>
      </c>
      <c r="AJ236">
        <v>0.22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0.22</v>
      </c>
      <c r="AQ236">
        <v>0</v>
      </c>
      <c r="AR236">
        <v>0</v>
      </c>
      <c r="AS236">
        <v>1</v>
      </c>
      <c r="AT236">
        <v>0.22</v>
      </c>
      <c r="AU236">
        <v>0</v>
      </c>
      <c r="AV236">
        <v>0</v>
      </c>
      <c r="AW236">
        <v>0.2199999988079071</v>
      </c>
      <c r="AX236">
        <v>0</v>
      </c>
      <c r="AY236">
        <v>0</v>
      </c>
      <c r="AZ236">
        <v>0.2199999988079071</v>
      </c>
      <c r="BA236">
        <v>0</v>
      </c>
      <c r="BB236">
        <v>0</v>
      </c>
      <c r="BC236">
        <v>0.2199999988079071</v>
      </c>
      <c r="BD236">
        <v>0</v>
      </c>
      <c r="BE236">
        <v>1</v>
      </c>
      <c r="BF236">
        <v>0</v>
      </c>
      <c r="BG236">
        <v>150</v>
      </c>
      <c r="BH236">
        <v>0</v>
      </c>
      <c r="BI236">
        <v>0.2199999988079071</v>
      </c>
      <c r="BJ236">
        <v>0</v>
      </c>
      <c r="BK236">
        <v>0</v>
      </c>
      <c r="BL236">
        <v>0</v>
      </c>
      <c r="BM236">
        <v>0</v>
      </c>
      <c r="BP236">
        <v>0</v>
      </c>
      <c r="BQ236">
        <v>0</v>
      </c>
      <c r="BT236">
        <v>0</v>
      </c>
      <c r="BU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</row>
    <row r="237" spans="1:96" x14ac:dyDescent="0.25">
      <c r="A237">
        <v>236</v>
      </c>
      <c r="B237" t="s">
        <v>1002</v>
      </c>
      <c r="C237" t="s">
        <v>1003</v>
      </c>
      <c r="D237" t="s">
        <v>1004</v>
      </c>
      <c r="E237" t="s">
        <v>1005</v>
      </c>
      <c r="F237" t="s">
        <v>100</v>
      </c>
      <c r="G237">
        <v>2</v>
      </c>
      <c r="H237">
        <v>1</v>
      </c>
      <c r="I237">
        <v>1117</v>
      </c>
      <c r="J237">
        <v>0</v>
      </c>
      <c r="L237">
        <v>2659.6</v>
      </c>
      <c r="M237">
        <v>2809.7</v>
      </c>
      <c r="N237">
        <v>3018.7</v>
      </c>
      <c r="O237">
        <v>1387.7</v>
      </c>
      <c r="P237">
        <v>2514.6999999999998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1.21</v>
      </c>
      <c r="W237">
        <v>3</v>
      </c>
      <c r="X237">
        <v>1</v>
      </c>
      <c r="Y237">
        <v>0</v>
      </c>
      <c r="Z237">
        <v>0</v>
      </c>
      <c r="AA237">
        <v>0.21</v>
      </c>
      <c r="AB237">
        <v>0</v>
      </c>
      <c r="AC237">
        <v>1</v>
      </c>
      <c r="AD237">
        <v>0</v>
      </c>
      <c r="AE237">
        <v>0</v>
      </c>
      <c r="AF237">
        <v>0.21</v>
      </c>
      <c r="AG237">
        <v>0.82644628099173556</v>
      </c>
      <c r="AH237">
        <v>1.21</v>
      </c>
      <c r="AI237">
        <v>3</v>
      </c>
      <c r="AJ237">
        <v>0.99999999999999989</v>
      </c>
      <c r="AK237">
        <v>0</v>
      </c>
      <c r="AL237">
        <v>0</v>
      </c>
      <c r="AM237">
        <v>0.21</v>
      </c>
      <c r="AN237">
        <v>0</v>
      </c>
      <c r="AO237">
        <v>0</v>
      </c>
      <c r="AP237">
        <v>0.4</v>
      </c>
      <c r="AQ237">
        <v>0.4</v>
      </c>
      <c r="AR237">
        <v>0.41</v>
      </c>
      <c r="AS237">
        <v>0.33057851239669422</v>
      </c>
      <c r="AT237">
        <v>1.21</v>
      </c>
      <c r="AU237">
        <v>0</v>
      </c>
      <c r="AV237">
        <v>0</v>
      </c>
      <c r="AW237">
        <v>1.2100000381469731</v>
      </c>
      <c r="AX237">
        <v>0</v>
      </c>
      <c r="AY237">
        <v>0</v>
      </c>
      <c r="AZ237">
        <v>0.60000002384185791</v>
      </c>
      <c r="BA237">
        <v>0.20000000298023221</v>
      </c>
      <c r="BB237">
        <v>0.40999999642372131</v>
      </c>
      <c r="BC237">
        <v>0.60000002384185791</v>
      </c>
      <c r="BD237">
        <v>0.60999999940395355</v>
      </c>
      <c r="BE237">
        <v>0.49586777877273469</v>
      </c>
      <c r="BF237">
        <v>0.50413222122726531</v>
      </c>
      <c r="BG237">
        <v>150</v>
      </c>
      <c r="BH237">
        <v>0</v>
      </c>
      <c r="BI237">
        <v>0.60000002384185791</v>
      </c>
      <c r="BJ237">
        <v>0.20000000298023221</v>
      </c>
      <c r="BK237">
        <v>0.40999999642372131</v>
      </c>
      <c r="BL237">
        <v>0</v>
      </c>
      <c r="BM237">
        <v>0</v>
      </c>
      <c r="BP237">
        <v>0</v>
      </c>
      <c r="BQ237">
        <v>0</v>
      </c>
      <c r="BT237">
        <v>0</v>
      </c>
      <c r="BU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25">
      <c r="A238">
        <v>237</v>
      </c>
      <c r="B238" t="s">
        <v>1006</v>
      </c>
      <c r="C238" t="s">
        <v>1007</v>
      </c>
      <c r="D238" t="s">
        <v>1008</v>
      </c>
      <c r="E238" t="s">
        <v>1009</v>
      </c>
      <c r="F238" t="s">
        <v>203</v>
      </c>
      <c r="G238">
        <v>3</v>
      </c>
      <c r="H238">
        <v>2</v>
      </c>
      <c r="I238">
        <v>1967</v>
      </c>
      <c r="J238">
        <v>0</v>
      </c>
      <c r="L238">
        <v>1539.1</v>
      </c>
      <c r="M238">
        <v>1398.4</v>
      </c>
      <c r="N238">
        <v>6968.4</v>
      </c>
      <c r="O238">
        <v>1114.5</v>
      </c>
      <c r="P238">
        <v>5105.5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1.18</v>
      </c>
      <c r="W238">
        <v>3.5</v>
      </c>
      <c r="X238">
        <v>1.18</v>
      </c>
      <c r="Y238">
        <v>0</v>
      </c>
      <c r="Z238">
        <v>0</v>
      </c>
      <c r="AA238">
        <v>0</v>
      </c>
      <c r="AB238">
        <v>0</v>
      </c>
      <c r="AC238">
        <v>1.18</v>
      </c>
      <c r="AD238">
        <v>0</v>
      </c>
      <c r="AE238">
        <v>0</v>
      </c>
      <c r="AF238">
        <v>0</v>
      </c>
      <c r="AG238">
        <v>1</v>
      </c>
      <c r="AH238">
        <v>1.18</v>
      </c>
      <c r="AI238">
        <v>3.5</v>
      </c>
      <c r="AJ238">
        <v>1.18</v>
      </c>
      <c r="AK238">
        <v>0</v>
      </c>
      <c r="AL238">
        <v>0</v>
      </c>
      <c r="AM238">
        <v>0</v>
      </c>
      <c r="AN238">
        <v>0</v>
      </c>
      <c r="AO238">
        <v>1.18</v>
      </c>
      <c r="AP238">
        <v>0</v>
      </c>
      <c r="AQ238">
        <v>0</v>
      </c>
      <c r="AR238">
        <v>0</v>
      </c>
      <c r="AS238">
        <v>1</v>
      </c>
      <c r="AT238">
        <v>1.18</v>
      </c>
      <c r="AU238">
        <v>0</v>
      </c>
      <c r="AV238">
        <v>0</v>
      </c>
      <c r="AW238">
        <v>1.179999947547913</v>
      </c>
      <c r="AX238">
        <v>0</v>
      </c>
      <c r="AY238">
        <v>0.98000001907348633</v>
      </c>
      <c r="AZ238">
        <v>0.10000000149011611</v>
      </c>
      <c r="BA238">
        <v>0.10000000149011611</v>
      </c>
      <c r="BB238">
        <v>0</v>
      </c>
      <c r="BC238">
        <v>1.080000020563602</v>
      </c>
      <c r="BD238">
        <v>0.10000000149011611</v>
      </c>
      <c r="BE238">
        <v>0.915254237609189</v>
      </c>
      <c r="BF238">
        <v>8.4745762390810955E-2</v>
      </c>
      <c r="BG238">
        <v>150</v>
      </c>
      <c r="BH238">
        <v>0.98000001907348633</v>
      </c>
      <c r="BI238">
        <v>0.10000000149011611</v>
      </c>
      <c r="BJ238">
        <v>0.10000000149011611</v>
      </c>
      <c r="BK238">
        <v>0</v>
      </c>
      <c r="BL238">
        <v>1</v>
      </c>
      <c r="BM238">
        <v>2</v>
      </c>
      <c r="BN238">
        <v>2022</v>
      </c>
      <c r="BO238">
        <v>2</v>
      </c>
      <c r="BP238">
        <v>1</v>
      </c>
      <c r="BQ238">
        <v>2</v>
      </c>
      <c r="BR238">
        <v>2022</v>
      </c>
      <c r="BS238">
        <v>3</v>
      </c>
      <c r="BT238">
        <v>1</v>
      </c>
      <c r="BU238">
        <v>2</v>
      </c>
      <c r="BV238">
        <v>2022</v>
      </c>
      <c r="BW238">
        <v>4</v>
      </c>
      <c r="BX238">
        <v>1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25">
      <c r="A239">
        <v>238</v>
      </c>
      <c r="B239" t="s">
        <v>1010</v>
      </c>
      <c r="C239" t="s">
        <v>1011</v>
      </c>
      <c r="D239" t="s">
        <v>1012</v>
      </c>
      <c r="E239" t="s">
        <v>136</v>
      </c>
      <c r="F239" t="s">
        <v>105</v>
      </c>
      <c r="G239">
        <v>2</v>
      </c>
      <c r="H239">
        <v>1</v>
      </c>
      <c r="I239">
        <v>1032</v>
      </c>
      <c r="J239">
        <v>0</v>
      </c>
      <c r="L239">
        <v>4019.5</v>
      </c>
      <c r="M239">
        <v>4023.5</v>
      </c>
      <c r="N239">
        <v>8065.3</v>
      </c>
      <c r="O239">
        <v>547.5</v>
      </c>
      <c r="P239">
        <v>8229.9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1.21</v>
      </c>
      <c r="W239">
        <v>3.5</v>
      </c>
      <c r="X239">
        <v>1.21</v>
      </c>
      <c r="Y239">
        <v>0</v>
      </c>
      <c r="Z239">
        <v>0</v>
      </c>
      <c r="AA239">
        <v>0</v>
      </c>
      <c r="AB239">
        <v>0</v>
      </c>
      <c r="AC239">
        <v>1.21</v>
      </c>
      <c r="AD239">
        <v>0</v>
      </c>
      <c r="AE239">
        <v>0</v>
      </c>
      <c r="AF239">
        <v>0</v>
      </c>
      <c r="AG239">
        <v>1</v>
      </c>
      <c r="AH239">
        <v>1.21</v>
      </c>
      <c r="AI239">
        <v>3.5</v>
      </c>
      <c r="AJ239">
        <v>1.21</v>
      </c>
      <c r="AK239">
        <v>0</v>
      </c>
      <c r="AL239">
        <v>0</v>
      </c>
      <c r="AM239">
        <v>0</v>
      </c>
      <c r="AN239">
        <v>0</v>
      </c>
      <c r="AO239">
        <v>1.21</v>
      </c>
      <c r="AP239">
        <v>0</v>
      </c>
      <c r="AQ239">
        <v>0</v>
      </c>
      <c r="AR239">
        <v>0</v>
      </c>
      <c r="AS239">
        <v>1</v>
      </c>
      <c r="AT239">
        <v>1.21</v>
      </c>
      <c r="AU239">
        <v>0</v>
      </c>
      <c r="AV239">
        <v>0</v>
      </c>
      <c r="AW239">
        <v>1.2100000381469731</v>
      </c>
      <c r="AX239">
        <v>0</v>
      </c>
      <c r="AY239">
        <v>1.2100000381469731</v>
      </c>
      <c r="AZ239">
        <v>0</v>
      </c>
      <c r="BA239">
        <v>0</v>
      </c>
      <c r="BB239">
        <v>0</v>
      </c>
      <c r="BC239">
        <v>1.2100000381469731</v>
      </c>
      <c r="BD239">
        <v>0</v>
      </c>
      <c r="BE239">
        <v>1</v>
      </c>
      <c r="BF239">
        <v>0</v>
      </c>
      <c r="BG239">
        <v>150</v>
      </c>
      <c r="BH239">
        <v>1.2100000381469731</v>
      </c>
      <c r="BI239">
        <v>0</v>
      </c>
      <c r="BJ239">
        <v>0</v>
      </c>
      <c r="BK239">
        <v>0</v>
      </c>
      <c r="BL239">
        <v>0</v>
      </c>
      <c r="BM239">
        <v>0</v>
      </c>
      <c r="BP239">
        <v>0</v>
      </c>
      <c r="BQ239">
        <v>0</v>
      </c>
      <c r="BT239">
        <v>0</v>
      </c>
      <c r="BU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25">
      <c r="A240">
        <v>239</v>
      </c>
      <c r="B240" t="s">
        <v>1013</v>
      </c>
      <c r="C240" t="s">
        <v>1014</v>
      </c>
      <c r="D240" t="s">
        <v>1015</v>
      </c>
      <c r="E240" t="s">
        <v>1016</v>
      </c>
      <c r="F240" t="s">
        <v>149</v>
      </c>
      <c r="G240">
        <v>3</v>
      </c>
      <c r="H240">
        <v>1</v>
      </c>
      <c r="I240">
        <v>2178</v>
      </c>
      <c r="J240">
        <v>0</v>
      </c>
      <c r="K240">
        <v>1</v>
      </c>
      <c r="L240">
        <v>1350.7</v>
      </c>
      <c r="M240">
        <v>2417.8000000000002</v>
      </c>
      <c r="N240">
        <v>9440.5</v>
      </c>
      <c r="O240">
        <v>1818.7</v>
      </c>
      <c r="P240">
        <v>7577.6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3.63</v>
      </c>
      <c r="W240">
        <v>3</v>
      </c>
      <c r="X240">
        <v>1.3</v>
      </c>
      <c r="Y240">
        <v>0</v>
      </c>
      <c r="Z240">
        <v>0</v>
      </c>
      <c r="AA240">
        <v>2.33</v>
      </c>
      <c r="AB240">
        <v>0</v>
      </c>
      <c r="AC240">
        <v>0</v>
      </c>
      <c r="AD240">
        <v>1.3</v>
      </c>
      <c r="AE240">
        <v>0</v>
      </c>
      <c r="AF240">
        <v>2.33</v>
      </c>
      <c r="AG240">
        <v>0.35812672176308541</v>
      </c>
      <c r="AH240">
        <v>3.63</v>
      </c>
      <c r="AI240">
        <v>3</v>
      </c>
      <c r="AJ240">
        <v>1.4</v>
      </c>
      <c r="AK240">
        <v>0</v>
      </c>
      <c r="AL240">
        <v>0</v>
      </c>
      <c r="AM240">
        <v>2.23</v>
      </c>
      <c r="AN240">
        <v>0</v>
      </c>
      <c r="AO240">
        <v>0</v>
      </c>
      <c r="AP240">
        <v>1.2</v>
      </c>
      <c r="AQ240">
        <v>0.1</v>
      </c>
      <c r="AR240">
        <v>2.330000000000001</v>
      </c>
      <c r="AS240">
        <v>0.33057851239669411</v>
      </c>
      <c r="AT240">
        <v>3.63</v>
      </c>
      <c r="AU240">
        <v>0</v>
      </c>
      <c r="AV240">
        <v>0</v>
      </c>
      <c r="AW240">
        <v>1.3999999761581421</v>
      </c>
      <c r="AX240">
        <v>0</v>
      </c>
      <c r="AY240">
        <v>0</v>
      </c>
      <c r="AZ240">
        <v>0.20000000298023221</v>
      </c>
      <c r="BA240">
        <v>1.1000000238418579</v>
      </c>
      <c r="BB240">
        <v>0.10000000149011611</v>
      </c>
      <c r="BC240">
        <v>0.20000000298023221</v>
      </c>
      <c r="BD240">
        <v>1.200000025331974</v>
      </c>
      <c r="BE240">
        <v>0.14285714209687961</v>
      </c>
      <c r="BF240">
        <v>0.8571428579031205</v>
      </c>
      <c r="BG240">
        <v>150</v>
      </c>
      <c r="BH240">
        <v>0</v>
      </c>
      <c r="BI240">
        <v>0.20000000298023221</v>
      </c>
      <c r="BJ240">
        <v>1.1000000238418579</v>
      </c>
      <c r="BK240">
        <v>0.10000000149011611</v>
      </c>
      <c r="BL240">
        <v>1</v>
      </c>
      <c r="BM240">
        <v>2</v>
      </c>
      <c r="BN240">
        <v>2023</v>
      </c>
      <c r="BO240">
        <v>1</v>
      </c>
      <c r="BP240">
        <v>1</v>
      </c>
      <c r="BQ240">
        <v>2</v>
      </c>
      <c r="BR240">
        <v>2023</v>
      </c>
      <c r="BS240">
        <v>2</v>
      </c>
      <c r="BT240">
        <v>1</v>
      </c>
      <c r="BU240">
        <v>2</v>
      </c>
      <c r="BV240">
        <v>2023</v>
      </c>
      <c r="BW240">
        <v>3</v>
      </c>
      <c r="BX240">
        <v>0</v>
      </c>
      <c r="BY240">
        <v>1</v>
      </c>
      <c r="BZ240">
        <v>1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</row>
    <row r="241" spans="1:96" x14ac:dyDescent="0.25">
      <c r="A241">
        <v>240</v>
      </c>
      <c r="B241" t="s">
        <v>1017</v>
      </c>
      <c r="C241" t="s">
        <v>1018</v>
      </c>
      <c r="D241" t="s">
        <v>1019</v>
      </c>
      <c r="E241" t="s">
        <v>586</v>
      </c>
      <c r="F241" t="s">
        <v>176</v>
      </c>
      <c r="G241">
        <v>1</v>
      </c>
      <c r="H241">
        <v>1</v>
      </c>
      <c r="I241">
        <v>837</v>
      </c>
      <c r="J241">
        <v>0</v>
      </c>
      <c r="L241">
        <v>1776.3</v>
      </c>
      <c r="M241">
        <v>1926.4</v>
      </c>
      <c r="N241">
        <v>41.4</v>
      </c>
      <c r="O241">
        <v>827.3</v>
      </c>
      <c r="P241">
        <v>1821.5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10</v>
      </c>
      <c r="X241">
        <v>0.1</v>
      </c>
      <c r="Y241">
        <v>0</v>
      </c>
      <c r="Z241">
        <v>0</v>
      </c>
      <c r="AA241">
        <v>0</v>
      </c>
      <c r="AB241">
        <v>0</v>
      </c>
      <c r="AC241">
        <v>0.1</v>
      </c>
      <c r="AD241">
        <v>0</v>
      </c>
      <c r="AE241">
        <v>0</v>
      </c>
      <c r="AF241">
        <v>0</v>
      </c>
      <c r="AG241">
        <v>1</v>
      </c>
      <c r="AH241">
        <v>0.1</v>
      </c>
      <c r="AI241">
        <v>10</v>
      </c>
      <c r="AJ241">
        <v>0</v>
      </c>
      <c r="AK241">
        <v>0</v>
      </c>
      <c r="AL241">
        <v>0</v>
      </c>
      <c r="AM241">
        <v>0.1</v>
      </c>
      <c r="AN241">
        <v>0</v>
      </c>
      <c r="AO241">
        <v>0</v>
      </c>
      <c r="AP241">
        <v>0</v>
      </c>
      <c r="AQ241">
        <v>0</v>
      </c>
      <c r="AR241">
        <v>0.1</v>
      </c>
      <c r="AS241">
        <v>0</v>
      </c>
      <c r="AT241">
        <v>0.1</v>
      </c>
      <c r="AU241">
        <v>0</v>
      </c>
      <c r="AV241">
        <v>0</v>
      </c>
      <c r="AW241">
        <v>0.10000000149011611</v>
      </c>
      <c r="AX241">
        <v>0</v>
      </c>
      <c r="AY241">
        <v>0</v>
      </c>
      <c r="AZ241">
        <v>0.10000000149011611</v>
      </c>
      <c r="BA241">
        <v>0</v>
      </c>
      <c r="BB241">
        <v>0</v>
      </c>
      <c r="BC241">
        <v>0.10000000149011611</v>
      </c>
      <c r="BD241">
        <v>0</v>
      </c>
      <c r="BE241">
        <v>1</v>
      </c>
      <c r="BF241">
        <v>0</v>
      </c>
      <c r="BG241">
        <v>150</v>
      </c>
      <c r="BH241">
        <v>0</v>
      </c>
      <c r="BI241">
        <v>0.10000000149011611</v>
      </c>
      <c r="BJ241">
        <v>0</v>
      </c>
      <c r="BK241">
        <v>0</v>
      </c>
      <c r="BL241">
        <v>0</v>
      </c>
      <c r="BM241">
        <v>0</v>
      </c>
      <c r="BP241">
        <v>0</v>
      </c>
      <c r="BQ241">
        <v>0</v>
      </c>
      <c r="BT241">
        <v>0</v>
      </c>
      <c r="BU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25">
      <c r="A242">
        <v>241</v>
      </c>
      <c r="B242" t="s">
        <v>1020</v>
      </c>
      <c r="C242" t="s">
        <v>1021</v>
      </c>
      <c r="D242" t="s">
        <v>1022</v>
      </c>
      <c r="E242" t="s">
        <v>456</v>
      </c>
      <c r="F242" t="s">
        <v>363</v>
      </c>
      <c r="G242">
        <v>1</v>
      </c>
      <c r="H242">
        <v>1</v>
      </c>
      <c r="I242">
        <v>670</v>
      </c>
      <c r="J242">
        <v>1</v>
      </c>
      <c r="L242">
        <v>6687</v>
      </c>
      <c r="M242">
        <v>9170.7000000000007</v>
      </c>
      <c r="N242">
        <v>14571.4</v>
      </c>
      <c r="O242">
        <v>2304.8000000000002</v>
      </c>
      <c r="P242">
        <v>41184.5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1.34</v>
      </c>
      <c r="W242">
        <v>2</v>
      </c>
      <c r="X242">
        <v>0</v>
      </c>
      <c r="Y242">
        <v>0</v>
      </c>
      <c r="Z242">
        <v>0.94</v>
      </c>
      <c r="AA242">
        <v>0</v>
      </c>
      <c r="AB242">
        <v>0.4</v>
      </c>
      <c r="AC242">
        <v>1.34</v>
      </c>
      <c r="AD242">
        <v>0</v>
      </c>
      <c r="AE242">
        <v>0</v>
      </c>
      <c r="AF242">
        <v>0</v>
      </c>
      <c r="AG242">
        <v>1</v>
      </c>
      <c r="AH242">
        <v>1.34</v>
      </c>
      <c r="AI242">
        <v>2</v>
      </c>
      <c r="AJ242">
        <v>0</v>
      </c>
      <c r="AK242">
        <v>0</v>
      </c>
      <c r="AL242">
        <v>1.34</v>
      </c>
      <c r="AM242">
        <v>0</v>
      </c>
      <c r="AN242">
        <v>0</v>
      </c>
      <c r="AO242">
        <v>0.84</v>
      </c>
      <c r="AP242">
        <v>0.2</v>
      </c>
      <c r="AQ242">
        <v>0</v>
      </c>
      <c r="AR242">
        <v>0.3</v>
      </c>
      <c r="AS242">
        <v>0.77611940298507465</v>
      </c>
      <c r="AT242">
        <v>1.34</v>
      </c>
      <c r="AU242">
        <v>1.0399999618530269</v>
      </c>
      <c r="AV242">
        <v>0</v>
      </c>
      <c r="AW242">
        <v>0</v>
      </c>
      <c r="AX242">
        <v>0</v>
      </c>
      <c r="AY242">
        <v>0</v>
      </c>
      <c r="AZ242">
        <v>0.34000000357627869</v>
      </c>
      <c r="BA242">
        <v>0.60000002384185791</v>
      </c>
      <c r="BB242">
        <v>0.10000000149011611</v>
      </c>
      <c r="BC242">
        <v>0.34000000357627869</v>
      </c>
      <c r="BD242">
        <v>0.70000002533197403</v>
      </c>
      <c r="BE242">
        <v>0.32692307127452302</v>
      </c>
      <c r="BF242">
        <v>0.67307692872547698</v>
      </c>
      <c r="BG242">
        <v>150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1</v>
      </c>
      <c r="BN242">
        <v>2023</v>
      </c>
      <c r="BO242">
        <v>1</v>
      </c>
      <c r="BP242">
        <v>1</v>
      </c>
      <c r="BQ242">
        <v>1</v>
      </c>
      <c r="BR242">
        <v>2023</v>
      </c>
      <c r="BS242">
        <v>2</v>
      </c>
      <c r="BT242">
        <v>1</v>
      </c>
      <c r="BU242">
        <v>1</v>
      </c>
      <c r="BV242">
        <v>2023</v>
      </c>
      <c r="BW242">
        <v>3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</row>
    <row r="243" spans="1:96" x14ac:dyDescent="0.25">
      <c r="A243">
        <v>242</v>
      </c>
      <c r="B243" t="s">
        <v>1023</v>
      </c>
      <c r="C243" t="s">
        <v>1024</v>
      </c>
      <c r="D243" t="s">
        <v>1025</v>
      </c>
      <c r="E243" t="s">
        <v>323</v>
      </c>
      <c r="F243" t="s">
        <v>100</v>
      </c>
      <c r="G243">
        <v>1</v>
      </c>
      <c r="H243">
        <v>1</v>
      </c>
      <c r="I243">
        <v>938</v>
      </c>
      <c r="J243">
        <v>0</v>
      </c>
      <c r="L243">
        <v>971.4</v>
      </c>
      <c r="M243">
        <v>1121.5</v>
      </c>
      <c r="N243">
        <v>1273</v>
      </c>
      <c r="O243">
        <v>333</v>
      </c>
      <c r="P243">
        <v>826.4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0.19</v>
      </c>
      <c r="W243">
        <v>3.5</v>
      </c>
      <c r="X243">
        <v>0.19</v>
      </c>
      <c r="Y243">
        <v>0</v>
      </c>
      <c r="Z243">
        <v>0</v>
      </c>
      <c r="AA243">
        <v>0</v>
      </c>
      <c r="AB243">
        <v>0</v>
      </c>
      <c r="AC243">
        <v>0.19</v>
      </c>
      <c r="AD243">
        <v>0</v>
      </c>
      <c r="AE243">
        <v>0</v>
      </c>
      <c r="AF243">
        <v>0</v>
      </c>
      <c r="AG243">
        <v>1</v>
      </c>
      <c r="AH243">
        <v>0.19</v>
      </c>
      <c r="AI243">
        <v>3.5</v>
      </c>
      <c r="AJ243">
        <v>0.19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0.19</v>
      </c>
      <c r="AR243">
        <v>0</v>
      </c>
      <c r="AS243">
        <v>0</v>
      </c>
      <c r="AT243">
        <v>0.19</v>
      </c>
      <c r="AU243">
        <v>0</v>
      </c>
      <c r="AV243">
        <v>0</v>
      </c>
      <c r="AW243">
        <v>0.18999999761581421</v>
      </c>
      <c r="AX243">
        <v>0</v>
      </c>
      <c r="AY243">
        <v>0</v>
      </c>
      <c r="AZ243">
        <v>0</v>
      </c>
      <c r="BA243">
        <v>0.18999999761581421</v>
      </c>
      <c r="BB243">
        <v>0</v>
      </c>
      <c r="BC243">
        <v>0</v>
      </c>
      <c r="BD243">
        <v>0.18999999761581421</v>
      </c>
      <c r="BE243">
        <v>0</v>
      </c>
      <c r="BF243">
        <v>1</v>
      </c>
      <c r="BG243">
        <v>150</v>
      </c>
      <c r="BH243">
        <v>0</v>
      </c>
      <c r="BI243">
        <v>0</v>
      </c>
      <c r="BJ243">
        <v>0.18999999761581421</v>
      </c>
      <c r="BK243">
        <v>0</v>
      </c>
      <c r="BL243">
        <v>0</v>
      </c>
      <c r="BM243">
        <v>0</v>
      </c>
      <c r="BP243">
        <v>0</v>
      </c>
      <c r="BQ243">
        <v>0</v>
      </c>
      <c r="BT243">
        <v>1</v>
      </c>
      <c r="BU243">
        <v>1</v>
      </c>
      <c r="BV243">
        <v>2025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</row>
    <row r="244" spans="1:96" x14ac:dyDescent="0.25">
      <c r="A244">
        <v>243</v>
      </c>
      <c r="B244" t="s">
        <v>1026</v>
      </c>
      <c r="C244" t="s">
        <v>1027</v>
      </c>
      <c r="D244" t="s">
        <v>1028</v>
      </c>
      <c r="E244" t="s">
        <v>895</v>
      </c>
      <c r="F244" t="s">
        <v>363</v>
      </c>
      <c r="G244">
        <v>1</v>
      </c>
      <c r="H244">
        <v>1</v>
      </c>
      <c r="I244">
        <v>539</v>
      </c>
      <c r="J244">
        <v>0</v>
      </c>
      <c r="L244">
        <v>1229.4000000000001</v>
      </c>
      <c r="M244">
        <v>594</v>
      </c>
      <c r="N244">
        <v>2448.3000000000002</v>
      </c>
      <c r="O244">
        <v>68.099999999999994</v>
      </c>
      <c r="P244">
        <v>29061.4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0.15</v>
      </c>
      <c r="W244">
        <v>3.5</v>
      </c>
      <c r="X244">
        <v>0.15</v>
      </c>
      <c r="Y244">
        <v>0</v>
      </c>
      <c r="Z244">
        <v>0</v>
      </c>
      <c r="AA244">
        <v>0</v>
      </c>
      <c r="AB244">
        <v>0</v>
      </c>
      <c r="AC244">
        <v>0.15</v>
      </c>
      <c r="AD244">
        <v>0</v>
      </c>
      <c r="AE244">
        <v>0</v>
      </c>
      <c r="AF244">
        <v>0</v>
      </c>
      <c r="AG244">
        <v>1</v>
      </c>
      <c r="AH244">
        <v>0.15</v>
      </c>
      <c r="AI244">
        <v>3.5</v>
      </c>
      <c r="AJ244">
        <v>0.15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0.15</v>
      </c>
      <c r="AQ244">
        <v>0</v>
      </c>
      <c r="AR244">
        <v>0</v>
      </c>
      <c r="AS244">
        <v>1</v>
      </c>
      <c r="AT244">
        <v>0.15</v>
      </c>
      <c r="AU244">
        <v>0</v>
      </c>
      <c r="AV244">
        <v>0</v>
      </c>
      <c r="AW244">
        <v>0.15000000596046451</v>
      </c>
      <c r="AX244">
        <v>0</v>
      </c>
      <c r="AY244">
        <v>0</v>
      </c>
      <c r="AZ244">
        <v>0.15000000596046451</v>
      </c>
      <c r="BA244">
        <v>0</v>
      </c>
      <c r="BB244">
        <v>0</v>
      </c>
      <c r="BC244">
        <v>0.15000000596046451</v>
      </c>
      <c r="BD244">
        <v>0</v>
      </c>
      <c r="BE244">
        <v>1</v>
      </c>
      <c r="BF244">
        <v>0</v>
      </c>
      <c r="BG244">
        <v>150</v>
      </c>
      <c r="BH244">
        <v>0</v>
      </c>
      <c r="BI244">
        <v>0.15000000596046451</v>
      </c>
      <c r="BJ244">
        <v>0</v>
      </c>
      <c r="BK244">
        <v>0</v>
      </c>
      <c r="BL244">
        <v>0</v>
      </c>
      <c r="BM244">
        <v>0</v>
      </c>
      <c r="BP244">
        <v>0</v>
      </c>
      <c r="BQ244">
        <v>0</v>
      </c>
      <c r="BT244">
        <v>0</v>
      </c>
      <c r="BU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</row>
    <row r="245" spans="1:96" x14ac:dyDescent="0.25">
      <c r="A245">
        <v>244</v>
      </c>
      <c r="B245" t="s">
        <v>1029</v>
      </c>
      <c r="C245" t="s">
        <v>1030</v>
      </c>
      <c r="D245" t="s">
        <v>1031</v>
      </c>
      <c r="E245" t="s">
        <v>800</v>
      </c>
      <c r="F245" t="s">
        <v>127</v>
      </c>
      <c r="G245">
        <v>1</v>
      </c>
      <c r="H245">
        <v>1</v>
      </c>
      <c r="I245">
        <v>719</v>
      </c>
      <c r="J245">
        <v>0</v>
      </c>
      <c r="K245">
        <v>1</v>
      </c>
      <c r="L245">
        <v>8162.8</v>
      </c>
      <c r="M245">
        <v>4120.1000000000004</v>
      </c>
      <c r="N245">
        <v>10373.200000000001</v>
      </c>
      <c r="O245">
        <v>1501.9</v>
      </c>
      <c r="P245">
        <v>10275.6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0.24</v>
      </c>
      <c r="W245">
        <v>3</v>
      </c>
      <c r="X245">
        <v>0.24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0.24</v>
      </c>
      <c r="AE245">
        <v>0</v>
      </c>
      <c r="AF245">
        <v>0</v>
      </c>
      <c r="AG245">
        <v>1</v>
      </c>
      <c r="AH245">
        <v>0.24</v>
      </c>
      <c r="AI245">
        <v>3</v>
      </c>
      <c r="AJ245">
        <v>0.24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0.24</v>
      </c>
      <c r="AQ245">
        <v>0</v>
      </c>
      <c r="AR245">
        <v>0</v>
      </c>
      <c r="AS245">
        <v>1</v>
      </c>
      <c r="AT245">
        <v>0.24</v>
      </c>
      <c r="AU245">
        <v>0</v>
      </c>
      <c r="AV245">
        <v>0</v>
      </c>
      <c r="AW245">
        <v>0.239999994635582</v>
      </c>
      <c r="AX245">
        <v>0</v>
      </c>
      <c r="AY245">
        <v>0</v>
      </c>
      <c r="AZ245">
        <v>0.14000000059604639</v>
      </c>
      <c r="BA245">
        <v>0.10000000149011611</v>
      </c>
      <c r="BB245">
        <v>0</v>
      </c>
      <c r="BC245">
        <v>0.14000000059604639</v>
      </c>
      <c r="BD245">
        <v>0.10000000149011611</v>
      </c>
      <c r="BE245">
        <v>0.58333333074632621</v>
      </c>
      <c r="BF245">
        <v>0.41666666925367379</v>
      </c>
      <c r="BG245">
        <v>150</v>
      </c>
      <c r="BH245">
        <v>0</v>
      </c>
      <c r="BI245">
        <v>0.14000000059604639</v>
      </c>
      <c r="BJ245">
        <v>0.10000000149011611</v>
      </c>
      <c r="BK245">
        <v>0</v>
      </c>
      <c r="BL245">
        <v>1</v>
      </c>
      <c r="BM245">
        <v>1</v>
      </c>
      <c r="BN245">
        <v>2021</v>
      </c>
      <c r="BO245">
        <v>3</v>
      </c>
      <c r="BP245">
        <v>1</v>
      </c>
      <c r="BQ245">
        <v>1</v>
      </c>
      <c r="BR245">
        <v>2021</v>
      </c>
      <c r="BS245">
        <v>4</v>
      </c>
      <c r="BT245">
        <v>1</v>
      </c>
      <c r="BU245">
        <v>1</v>
      </c>
      <c r="BV245">
        <v>2021</v>
      </c>
      <c r="BW245">
        <v>5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</row>
    <row r="246" spans="1:96" x14ac:dyDescent="0.25">
      <c r="A246">
        <v>245</v>
      </c>
      <c r="B246" t="s">
        <v>1032</v>
      </c>
      <c r="C246" t="s">
        <v>1033</v>
      </c>
      <c r="D246" t="s">
        <v>1034</v>
      </c>
      <c r="E246" t="s">
        <v>1035</v>
      </c>
      <c r="F246" t="s">
        <v>262</v>
      </c>
      <c r="G246">
        <v>5</v>
      </c>
      <c r="H246">
        <v>2</v>
      </c>
      <c r="I246">
        <v>2647</v>
      </c>
      <c r="J246">
        <v>0</v>
      </c>
      <c r="L246">
        <v>4267</v>
      </c>
      <c r="M246">
        <v>6331.9</v>
      </c>
      <c r="N246">
        <v>9887.5</v>
      </c>
      <c r="O246">
        <v>3256.1</v>
      </c>
      <c r="P246">
        <v>40166.6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8.5</v>
      </c>
      <c r="W246">
        <v>3.5</v>
      </c>
      <c r="X246">
        <v>8.5</v>
      </c>
      <c r="Y246">
        <v>0</v>
      </c>
      <c r="Z246">
        <v>0</v>
      </c>
      <c r="AA246">
        <v>0</v>
      </c>
      <c r="AB246">
        <v>0</v>
      </c>
      <c r="AC246">
        <v>0.9</v>
      </c>
      <c r="AD246">
        <v>1</v>
      </c>
      <c r="AE246">
        <v>1.6</v>
      </c>
      <c r="AF246">
        <v>5</v>
      </c>
      <c r="AG246">
        <v>0.22352941176470589</v>
      </c>
      <c r="AH246">
        <v>8.5</v>
      </c>
      <c r="AI246">
        <v>3.5</v>
      </c>
      <c r="AJ246">
        <v>8.4999999999999858</v>
      </c>
      <c r="AK246">
        <v>0</v>
      </c>
      <c r="AL246">
        <v>0</v>
      </c>
      <c r="AM246">
        <v>0</v>
      </c>
      <c r="AN246">
        <v>0</v>
      </c>
      <c r="AO246">
        <v>4.8999999999999986</v>
      </c>
      <c r="AP246">
        <v>0.79999999999999993</v>
      </c>
      <c r="AQ246">
        <v>0.79999999999999993</v>
      </c>
      <c r="AR246">
        <v>2</v>
      </c>
      <c r="AS246">
        <v>0.6705882352941176</v>
      </c>
      <c r="AT246">
        <v>8.5</v>
      </c>
      <c r="AU246">
        <v>0</v>
      </c>
      <c r="AV246">
        <v>0</v>
      </c>
      <c r="AW246">
        <v>8.5</v>
      </c>
      <c r="AX246">
        <v>0</v>
      </c>
      <c r="AY246">
        <v>5</v>
      </c>
      <c r="AZ246">
        <v>0.80000001192092896</v>
      </c>
      <c r="BA246">
        <v>0.69999998807907104</v>
      </c>
      <c r="BB246">
        <v>2</v>
      </c>
      <c r="BC246">
        <v>5.800000011920929</v>
      </c>
      <c r="BD246">
        <v>2.699999988079071</v>
      </c>
      <c r="BE246">
        <v>0.68235294257893286</v>
      </c>
      <c r="BF246">
        <v>0.31764705742106719</v>
      </c>
      <c r="BG246">
        <v>150</v>
      </c>
      <c r="BH246">
        <v>5</v>
      </c>
      <c r="BI246">
        <v>0.80000001192092896</v>
      </c>
      <c r="BJ246">
        <v>0.69999998807907104</v>
      </c>
      <c r="BK246">
        <v>2</v>
      </c>
      <c r="BL246">
        <v>1</v>
      </c>
      <c r="BM246">
        <v>2</v>
      </c>
      <c r="BN246">
        <v>2023</v>
      </c>
      <c r="BO246">
        <v>1</v>
      </c>
      <c r="BP246">
        <v>1</v>
      </c>
      <c r="BQ246">
        <v>3</v>
      </c>
      <c r="BR246">
        <v>2024</v>
      </c>
      <c r="BS246">
        <v>1</v>
      </c>
      <c r="BT246">
        <v>1</v>
      </c>
      <c r="BU246">
        <v>4</v>
      </c>
      <c r="BV246">
        <v>2025</v>
      </c>
      <c r="BW246">
        <v>1</v>
      </c>
      <c r="BX246">
        <v>0</v>
      </c>
      <c r="BY246">
        <v>1</v>
      </c>
      <c r="BZ246">
        <v>1</v>
      </c>
      <c r="CA246">
        <v>1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0</v>
      </c>
      <c r="CO246">
        <v>0</v>
      </c>
      <c r="CP246">
        <v>0</v>
      </c>
      <c r="CQ246">
        <v>1</v>
      </c>
      <c r="CR246">
        <v>0</v>
      </c>
    </row>
    <row r="247" spans="1:96" x14ac:dyDescent="0.25">
      <c r="A247">
        <v>246</v>
      </c>
      <c r="B247" t="s">
        <v>1036</v>
      </c>
      <c r="C247" t="s">
        <v>1037</v>
      </c>
      <c r="D247" t="s">
        <v>1038</v>
      </c>
      <c r="E247" t="s">
        <v>1039</v>
      </c>
      <c r="F247" t="s">
        <v>176</v>
      </c>
      <c r="G247">
        <v>2</v>
      </c>
      <c r="H247">
        <v>1</v>
      </c>
      <c r="I247">
        <v>567</v>
      </c>
      <c r="J247">
        <v>0</v>
      </c>
      <c r="L247">
        <v>1667.8</v>
      </c>
      <c r="M247">
        <v>1698.5</v>
      </c>
      <c r="N247">
        <v>6822.7</v>
      </c>
      <c r="O247">
        <v>319</v>
      </c>
      <c r="P247">
        <v>8494.6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2.11</v>
      </c>
      <c r="W247">
        <v>3</v>
      </c>
      <c r="X247">
        <v>2.11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</v>
      </c>
      <c r="AE247">
        <v>0.51</v>
      </c>
      <c r="AF247">
        <v>0.4</v>
      </c>
      <c r="AG247">
        <v>0.56872037914691942</v>
      </c>
      <c r="AH247">
        <v>2.11</v>
      </c>
      <c r="AI247">
        <v>3</v>
      </c>
      <c r="AJ247">
        <v>2.11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1.31</v>
      </c>
      <c r="AQ247">
        <v>0.4</v>
      </c>
      <c r="AR247">
        <v>0.4</v>
      </c>
      <c r="AS247">
        <v>0.62085308056872046</v>
      </c>
      <c r="AT247">
        <v>2.11</v>
      </c>
      <c r="AU247">
        <v>0</v>
      </c>
      <c r="AV247">
        <v>0</v>
      </c>
      <c r="AW247">
        <v>2.1099998950958252</v>
      </c>
      <c r="AX247">
        <v>0</v>
      </c>
      <c r="AY247">
        <v>0.5</v>
      </c>
      <c r="AZ247">
        <v>1.110000014305115</v>
      </c>
      <c r="BA247">
        <v>0.20000000298023221</v>
      </c>
      <c r="BB247">
        <v>0.30000001192092901</v>
      </c>
      <c r="BC247">
        <v>1.610000014305115</v>
      </c>
      <c r="BD247">
        <v>0.50000001490116119</v>
      </c>
      <c r="BE247">
        <v>0.76303317157334472</v>
      </c>
      <c r="BF247">
        <v>0.23696682842665531</v>
      </c>
      <c r="BG247">
        <v>150</v>
      </c>
      <c r="BH247">
        <v>0.5</v>
      </c>
      <c r="BI247">
        <v>1.110000014305115</v>
      </c>
      <c r="BJ247">
        <v>0.20000000298023221</v>
      </c>
      <c r="BK247">
        <v>0.30000001192092901</v>
      </c>
      <c r="BL247">
        <v>1</v>
      </c>
      <c r="BM247">
        <v>2</v>
      </c>
      <c r="BN247">
        <v>2023</v>
      </c>
      <c r="BO247">
        <v>1</v>
      </c>
      <c r="BP247">
        <v>1</v>
      </c>
      <c r="BQ247">
        <v>2</v>
      </c>
      <c r="BR247">
        <v>2023</v>
      </c>
      <c r="BS247">
        <v>2</v>
      </c>
      <c r="BT247">
        <v>1</v>
      </c>
      <c r="BU247">
        <v>2</v>
      </c>
      <c r="BV247">
        <v>2023</v>
      </c>
      <c r="BW247">
        <v>3</v>
      </c>
      <c r="BX247">
        <v>1</v>
      </c>
      <c r="BY247">
        <v>0</v>
      </c>
      <c r="BZ247">
        <v>1</v>
      </c>
      <c r="CA247">
        <v>0</v>
      </c>
      <c r="CB247">
        <v>0</v>
      </c>
      <c r="CC247">
        <v>1</v>
      </c>
      <c r="CD247">
        <v>0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1</v>
      </c>
      <c r="CQ247">
        <v>0</v>
      </c>
      <c r="CR247">
        <v>0</v>
      </c>
    </row>
    <row r="248" spans="1:96" x14ac:dyDescent="0.25">
      <c r="A248">
        <v>247</v>
      </c>
      <c r="B248" t="s">
        <v>1040</v>
      </c>
      <c r="C248" t="s">
        <v>1041</v>
      </c>
      <c r="D248" t="s">
        <v>1042</v>
      </c>
      <c r="E248" t="s">
        <v>624</v>
      </c>
      <c r="F248" t="s">
        <v>315</v>
      </c>
      <c r="G248">
        <v>1</v>
      </c>
      <c r="H248">
        <v>1</v>
      </c>
      <c r="I248">
        <v>923</v>
      </c>
      <c r="J248">
        <v>0</v>
      </c>
      <c r="L248">
        <v>330.2</v>
      </c>
      <c r="M248">
        <v>687.1</v>
      </c>
      <c r="N248">
        <v>1549.1</v>
      </c>
      <c r="O248">
        <v>293.3</v>
      </c>
      <c r="P248">
        <v>28162.2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0.37</v>
      </c>
      <c r="W248">
        <v>3</v>
      </c>
      <c r="X248">
        <v>0.37</v>
      </c>
      <c r="Y248">
        <v>0</v>
      </c>
      <c r="Z248">
        <v>0</v>
      </c>
      <c r="AA248">
        <v>0</v>
      </c>
      <c r="AB248">
        <v>0</v>
      </c>
      <c r="AC248">
        <v>0.37</v>
      </c>
      <c r="AD248">
        <v>0</v>
      </c>
      <c r="AE248">
        <v>0</v>
      </c>
      <c r="AF248">
        <v>0</v>
      </c>
      <c r="AG248">
        <v>1</v>
      </c>
      <c r="AH248">
        <v>0.37</v>
      </c>
      <c r="AI248">
        <v>3</v>
      </c>
      <c r="AJ248">
        <v>0.37000000000000011</v>
      </c>
      <c r="AK248">
        <v>0</v>
      </c>
      <c r="AL248">
        <v>0</v>
      </c>
      <c r="AM248">
        <v>0</v>
      </c>
      <c r="AN248">
        <v>0</v>
      </c>
      <c r="AO248">
        <v>0.37000000000000011</v>
      </c>
      <c r="AP248">
        <v>0</v>
      </c>
      <c r="AQ248">
        <v>0</v>
      </c>
      <c r="AR248">
        <v>0</v>
      </c>
      <c r="AS248">
        <v>1</v>
      </c>
      <c r="AT248">
        <v>0.37</v>
      </c>
      <c r="AU248">
        <v>0</v>
      </c>
      <c r="AV248">
        <v>0</v>
      </c>
      <c r="AW248">
        <v>0.37000000476837158</v>
      </c>
      <c r="AX248">
        <v>0</v>
      </c>
      <c r="AY248">
        <v>0.37000000476837158</v>
      </c>
      <c r="AZ248">
        <v>0</v>
      </c>
      <c r="BA248">
        <v>0</v>
      </c>
      <c r="BB248">
        <v>0</v>
      </c>
      <c r="BC248">
        <v>0.37000000476837158</v>
      </c>
      <c r="BD248">
        <v>0</v>
      </c>
      <c r="BE248">
        <v>1</v>
      </c>
      <c r="BF248">
        <v>0</v>
      </c>
      <c r="BG248">
        <v>150</v>
      </c>
      <c r="BH248">
        <v>0.37000000476837158</v>
      </c>
      <c r="BI248">
        <v>0</v>
      </c>
      <c r="BJ248">
        <v>0</v>
      </c>
      <c r="BK248">
        <v>0</v>
      </c>
      <c r="BL248">
        <v>0</v>
      </c>
      <c r="BM248">
        <v>0</v>
      </c>
      <c r="BP248">
        <v>0</v>
      </c>
      <c r="BQ248">
        <v>0</v>
      </c>
      <c r="BT248">
        <v>0</v>
      </c>
      <c r="BU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25">
      <c r="A249">
        <v>248</v>
      </c>
      <c r="B249" t="s">
        <v>1043</v>
      </c>
      <c r="C249" t="s">
        <v>1044</v>
      </c>
      <c r="D249" t="s">
        <v>1045</v>
      </c>
      <c r="E249" t="s">
        <v>332</v>
      </c>
      <c r="F249" t="s">
        <v>100</v>
      </c>
      <c r="G249">
        <v>2</v>
      </c>
      <c r="H249">
        <v>1</v>
      </c>
      <c r="I249">
        <v>1848</v>
      </c>
      <c r="J249">
        <v>1</v>
      </c>
      <c r="L249">
        <v>8527.2999999999993</v>
      </c>
      <c r="M249">
        <v>7774.8</v>
      </c>
      <c r="N249">
        <v>9936.2999999999993</v>
      </c>
      <c r="O249">
        <v>646</v>
      </c>
      <c r="P249">
        <v>8262.6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2.36</v>
      </c>
      <c r="W249">
        <v>3.5</v>
      </c>
      <c r="X249">
        <v>2.36</v>
      </c>
      <c r="Y249">
        <v>0</v>
      </c>
      <c r="Z249">
        <v>0</v>
      </c>
      <c r="AA249">
        <v>0</v>
      </c>
      <c r="AB249">
        <v>0</v>
      </c>
      <c r="AC249">
        <v>2.36</v>
      </c>
      <c r="AD249">
        <v>0</v>
      </c>
      <c r="AE249">
        <v>0</v>
      </c>
      <c r="AF249">
        <v>0</v>
      </c>
      <c r="AG249">
        <v>1</v>
      </c>
      <c r="AH249">
        <v>2.36</v>
      </c>
      <c r="AI249">
        <v>3.5</v>
      </c>
      <c r="AJ249">
        <v>2.3600000000000012</v>
      </c>
      <c r="AK249">
        <v>0</v>
      </c>
      <c r="AL249">
        <v>0</v>
      </c>
      <c r="AM249">
        <v>0</v>
      </c>
      <c r="AN249">
        <v>0</v>
      </c>
      <c r="AO249">
        <v>0.2</v>
      </c>
      <c r="AP249">
        <v>1.9600000000000011</v>
      </c>
      <c r="AQ249">
        <v>0.2</v>
      </c>
      <c r="AR249">
        <v>0</v>
      </c>
      <c r="AS249">
        <v>0.9152542372881356</v>
      </c>
      <c r="AT249">
        <v>2.36</v>
      </c>
      <c r="AU249">
        <v>5.9999998658895493E-2</v>
      </c>
      <c r="AV249">
        <v>0</v>
      </c>
      <c r="AW249">
        <v>2.2999999523162842</v>
      </c>
      <c r="AX249">
        <v>0</v>
      </c>
      <c r="AY249">
        <v>1.5</v>
      </c>
      <c r="AZ249">
        <v>0.86000001430511475</v>
      </c>
      <c r="BA249">
        <v>0</v>
      </c>
      <c r="BB249">
        <v>0</v>
      </c>
      <c r="BC249">
        <v>2.3600000143051152</v>
      </c>
      <c r="BD249">
        <v>0</v>
      </c>
      <c r="BE249">
        <v>1</v>
      </c>
      <c r="BF249">
        <v>0</v>
      </c>
      <c r="BG249">
        <v>150</v>
      </c>
      <c r="BH249">
        <v>1.5</v>
      </c>
      <c r="BI249">
        <v>0.80000001192092896</v>
      </c>
      <c r="BJ249">
        <v>0</v>
      </c>
      <c r="BK249">
        <v>0</v>
      </c>
      <c r="BL249">
        <v>0</v>
      </c>
      <c r="BM249">
        <v>0</v>
      </c>
      <c r="BP249">
        <v>0</v>
      </c>
      <c r="BQ249">
        <v>0</v>
      </c>
      <c r="BT249">
        <v>0</v>
      </c>
      <c r="BU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25">
      <c r="A250">
        <v>249</v>
      </c>
      <c r="B250" t="s">
        <v>1046</v>
      </c>
      <c r="C250" t="s">
        <v>1047</v>
      </c>
      <c r="D250" t="s">
        <v>1048</v>
      </c>
      <c r="E250" t="s">
        <v>1049</v>
      </c>
      <c r="F250" t="s">
        <v>363</v>
      </c>
      <c r="G250">
        <v>4</v>
      </c>
      <c r="H250">
        <v>1</v>
      </c>
      <c r="I250">
        <v>1766</v>
      </c>
      <c r="J250">
        <v>1</v>
      </c>
      <c r="L250">
        <v>1237.4000000000001</v>
      </c>
      <c r="M250">
        <v>1128.8</v>
      </c>
      <c r="N250">
        <v>806.8</v>
      </c>
      <c r="O250">
        <v>247.1</v>
      </c>
      <c r="P250">
        <v>28042.799999999999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2.1</v>
      </c>
      <c r="W250">
        <v>3.5</v>
      </c>
      <c r="X250">
        <v>2.1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0.7</v>
      </c>
      <c r="AE250">
        <v>1.2</v>
      </c>
      <c r="AF250">
        <v>0.2</v>
      </c>
      <c r="AG250">
        <v>0.33333333333333331</v>
      </c>
      <c r="AH250">
        <v>2.1</v>
      </c>
      <c r="AI250">
        <v>3.5</v>
      </c>
      <c r="AJ250">
        <v>2.100000000000001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0.5</v>
      </c>
      <c r="AQ250">
        <v>1.2</v>
      </c>
      <c r="AR250">
        <v>0.4</v>
      </c>
      <c r="AS250">
        <v>0.23809523809523811</v>
      </c>
      <c r="AT250">
        <v>2.1</v>
      </c>
      <c r="AU250">
        <v>0</v>
      </c>
      <c r="AV250">
        <v>0</v>
      </c>
      <c r="AW250">
        <v>2.0999999046325679</v>
      </c>
      <c r="AX250">
        <v>0</v>
      </c>
      <c r="AY250">
        <v>0.10000000149011611</v>
      </c>
      <c r="AZ250">
        <v>0.30000001192092901</v>
      </c>
      <c r="BA250">
        <v>1</v>
      </c>
      <c r="BB250">
        <v>0.69999998807907104</v>
      </c>
      <c r="BC250">
        <v>0.40000001341104507</v>
      </c>
      <c r="BD250">
        <v>1.699999988079071</v>
      </c>
      <c r="BE250">
        <v>0.1904761967272445</v>
      </c>
      <c r="BF250">
        <v>0.80952380327275553</v>
      </c>
      <c r="BG250">
        <v>150</v>
      </c>
      <c r="BH250">
        <v>0.10000000149011611</v>
      </c>
      <c r="BI250">
        <v>0.30000001192092901</v>
      </c>
      <c r="BJ250">
        <v>1</v>
      </c>
      <c r="BK250">
        <v>0.69999998807907104</v>
      </c>
      <c r="BL250">
        <v>0</v>
      </c>
      <c r="BM250">
        <v>0</v>
      </c>
      <c r="BP250">
        <v>0</v>
      </c>
      <c r="BQ250">
        <v>0</v>
      </c>
      <c r="BT250">
        <v>0</v>
      </c>
      <c r="BU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1</v>
      </c>
    </row>
    <row r="251" spans="1:96" x14ac:dyDescent="0.25">
      <c r="A251">
        <v>250</v>
      </c>
      <c r="B251" t="s">
        <v>1050</v>
      </c>
      <c r="C251" t="s">
        <v>1051</v>
      </c>
      <c r="D251" t="s">
        <v>1052</v>
      </c>
      <c r="E251" t="s">
        <v>194</v>
      </c>
      <c r="F251" t="s">
        <v>100</v>
      </c>
      <c r="G251">
        <v>1</v>
      </c>
      <c r="H251">
        <v>1</v>
      </c>
      <c r="I251">
        <v>1874</v>
      </c>
      <c r="J251">
        <v>0</v>
      </c>
      <c r="K251">
        <v>1</v>
      </c>
      <c r="L251">
        <v>978.5</v>
      </c>
      <c r="M251">
        <v>1471.4</v>
      </c>
      <c r="N251">
        <v>2523.1</v>
      </c>
      <c r="O251">
        <v>597.5</v>
      </c>
      <c r="P251">
        <v>660.2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</v>
      </c>
      <c r="W251">
        <v>6</v>
      </c>
      <c r="X251">
        <v>0.2</v>
      </c>
      <c r="Y251">
        <v>0</v>
      </c>
      <c r="Z251">
        <v>0</v>
      </c>
      <c r="AA251">
        <v>0</v>
      </c>
      <c r="AB251">
        <v>0</v>
      </c>
      <c r="AC251">
        <v>0.2</v>
      </c>
      <c r="AD251">
        <v>0</v>
      </c>
      <c r="AE251">
        <v>0</v>
      </c>
      <c r="AF251">
        <v>0</v>
      </c>
      <c r="AG251">
        <v>1</v>
      </c>
      <c r="AH251">
        <v>0.2</v>
      </c>
      <c r="AI251">
        <v>6</v>
      </c>
      <c r="AJ251">
        <v>0.2</v>
      </c>
      <c r="AK251">
        <v>0</v>
      </c>
      <c r="AL251">
        <v>0</v>
      </c>
      <c r="AM251">
        <v>0</v>
      </c>
      <c r="AN251">
        <v>0</v>
      </c>
      <c r="AO251">
        <v>0.2</v>
      </c>
      <c r="AP251">
        <v>0</v>
      </c>
      <c r="AQ251">
        <v>0</v>
      </c>
      <c r="AR251">
        <v>0</v>
      </c>
      <c r="AS251">
        <v>1</v>
      </c>
      <c r="AT251">
        <v>0.2</v>
      </c>
      <c r="AU251">
        <v>0</v>
      </c>
      <c r="AV251">
        <v>0</v>
      </c>
      <c r="AW251">
        <v>0.20000000298023221</v>
      </c>
      <c r="AX251">
        <v>0</v>
      </c>
      <c r="AY251">
        <v>0.20000000298023221</v>
      </c>
      <c r="AZ251">
        <v>0</v>
      </c>
      <c r="BA251">
        <v>0</v>
      </c>
      <c r="BB251">
        <v>0</v>
      </c>
      <c r="BC251">
        <v>0.20000000298023221</v>
      </c>
      <c r="BD251">
        <v>0</v>
      </c>
      <c r="BE251">
        <v>1</v>
      </c>
      <c r="BF251">
        <v>0</v>
      </c>
      <c r="BG251">
        <v>150</v>
      </c>
      <c r="BH251">
        <v>0.20000000298023221</v>
      </c>
      <c r="BI251">
        <v>0</v>
      </c>
      <c r="BJ251">
        <v>0</v>
      </c>
      <c r="BK251">
        <v>0</v>
      </c>
      <c r="BL251">
        <v>0</v>
      </c>
      <c r="BM251">
        <v>0</v>
      </c>
      <c r="BP251">
        <v>1</v>
      </c>
      <c r="BQ251">
        <v>1</v>
      </c>
      <c r="BR251">
        <v>2024</v>
      </c>
      <c r="BS251">
        <v>1</v>
      </c>
      <c r="BT251">
        <v>1</v>
      </c>
      <c r="BU251">
        <v>1</v>
      </c>
      <c r="BV251">
        <v>2024</v>
      </c>
      <c r="BW251">
        <v>2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</row>
    <row r="252" spans="1:96" x14ac:dyDescent="0.25">
      <c r="A252">
        <v>251</v>
      </c>
      <c r="B252" t="s">
        <v>1053</v>
      </c>
      <c r="C252" t="s">
        <v>1054</v>
      </c>
      <c r="D252" t="s">
        <v>1055</v>
      </c>
      <c r="E252" t="s">
        <v>448</v>
      </c>
      <c r="F252" t="s">
        <v>315</v>
      </c>
      <c r="G252">
        <v>1</v>
      </c>
      <c r="H252">
        <v>1</v>
      </c>
      <c r="I252">
        <v>706</v>
      </c>
      <c r="J252">
        <v>0</v>
      </c>
      <c r="L252">
        <v>1189.4000000000001</v>
      </c>
      <c r="M252">
        <v>691.1</v>
      </c>
      <c r="N252">
        <v>2147.9</v>
      </c>
      <c r="O252">
        <v>452.2</v>
      </c>
      <c r="P252">
        <v>28761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0.4</v>
      </c>
      <c r="W252">
        <v>3.5</v>
      </c>
      <c r="X252">
        <v>0.4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0.4</v>
      </c>
      <c r="AF252">
        <v>0</v>
      </c>
      <c r="AG252">
        <v>0</v>
      </c>
      <c r="AH252">
        <v>0.4</v>
      </c>
      <c r="AI252">
        <v>3.5</v>
      </c>
      <c r="AJ252">
        <v>0.4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0.4</v>
      </c>
      <c r="AR252">
        <v>0</v>
      </c>
      <c r="AS252">
        <v>0</v>
      </c>
      <c r="AT252">
        <v>0.4</v>
      </c>
      <c r="AU252">
        <v>0</v>
      </c>
      <c r="AV252">
        <v>0</v>
      </c>
      <c r="AW252">
        <v>0.40000000596046448</v>
      </c>
      <c r="AX252">
        <v>0</v>
      </c>
      <c r="AY252">
        <v>0.40000000596046448</v>
      </c>
      <c r="AZ252">
        <v>0</v>
      </c>
      <c r="BA252">
        <v>0</v>
      </c>
      <c r="BB252">
        <v>0</v>
      </c>
      <c r="BC252">
        <v>0.40000000596046448</v>
      </c>
      <c r="BD252">
        <v>0</v>
      </c>
      <c r="BE252">
        <v>1</v>
      </c>
      <c r="BF252">
        <v>0</v>
      </c>
      <c r="BG252">
        <v>150</v>
      </c>
      <c r="BH252">
        <v>0.40000000596046448</v>
      </c>
      <c r="BI252">
        <v>0</v>
      </c>
      <c r="BJ252">
        <v>0</v>
      </c>
      <c r="BK252">
        <v>0</v>
      </c>
      <c r="BL252">
        <v>0</v>
      </c>
      <c r="BM252">
        <v>0</v>
      </c>
      <c r="BP252">
        <v>0</v>
      </c>
      <c r="BQ252">
        <v>0</v>
      </c>
      <c r="BT252">
        <v>0</v>
      </c>
      <c r="BU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25">
      <c r="A253">
        <v>252</v>
      </c>
      <c r="B253" t="s">
        <v>1056</v>
      </c>
      <c r="C253" t="s">
        <v>1057</v>
      </c>
      <c r="D253" t="s">
        <v>1058</v>
      </c>
      <c r="E253" t="s">
        <v>1059</v>
      </c>
      <c r="F253" t="s">
        <v>185</v>
      </c>
      <c r="G253">
        <v>2</v>
      </c>
      <c r="H253">
        <v>1</v>
      </c>
      <c r="I253">
        <v>661</v>
      </c>
      <c r="J253">
        <v>0</v>
      </c>
      <c r="L253">
        <v>5869.6</v>
      </c>
      <c r="M253">
        <v>7934.5</v>
      </c>
      <c r="N253">
        <v>956069302</v>
      </c>
      <c r="O253">
        <v>2013.1</v>
      </c>
      <c r="P253">
        <v>47122.1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6.93</v>
      </c>
      <c r="W253">
        <v>3.5</v>
      </c>
      <c r="X253">
        <v>3.6</v>
      </c>
      <c r="Y253">
        <v>0</v>
      </c>
      <c r="Z253">
        <v>1.5</v>
      </c>
      <c r="AA253">
        <v>0</v>
      </c>
      <c r="AB253">
        <v>1.83</v>
      </c>
      <c r="AC253">
        <v>2</v>
      </c>
      <c r="AD253">
        <v>3.1</v>
      </c>
      <c r="AE253">
        <v>0</v>
      </c>
      <c r="AF253">
        <v>1.83</v>
      </c>
      <c r="AG253">
        <v>0.73593073593073588</v>
      </c>
      <c r="AH253">
        <v>6.93</v>
      </c>
      <c r="AI253">
        <v>3.5</v>
      </c>
      <c r="AJ253">
        <v>3.6000000000000019</v>
      </c>
      <c r="AK253">
        <v>0</v>
      </c>
      <c r="AL253">
        <v>1.5</v>
      </c>
      <c r="AM253">
        <v>1.830000000000001</v>
      </c>
      <c r="AN253">
        <v>0</v>
      </c>
      <c r="AO253">
        <v>0</v>
      </c>
      <c r="AP253">
        <v>3.6000000000000019</v>
      </c>
      <c r="AQ253">
        <v>0.89999999999999991</v>
      </c>
      <c r="AR253">
        <v>2.430000000000001</v>
      </c>
      <c r="AS253">
        <v>0.51948051948051954</v>
      </c>
      <c r="AT253">
        <v>6.93</v>
      </c>
      <c r="AU253">
        <v>1.929999947547913</v>
      </c>
      <c r="AV253">
        <v>0</v>
      </c>
      <c r="AW253">
        <v>3.5999999046325679</v>
      </c>
      <c r="AX253">
        <v>0</v>
      </c>
      <c r="AY253">
        <v>0</v>
      </c>
      <c r="AZ253">
        <v>1.929999947547913</v>
      </c>
      <c r="BA253">
        <v>0.60000002384185791</v>
      </c>
      <c r="BB253">
        <v>3</v>
      </c>
      <c r="BC253">
        <v>1.929999947547913</v>
      </c>
      <c r="BD253">
        <v>3.6000000238418579</v>
      </c>
      <c r="BE253">
        <v>0.34900541727541368</v>
      </c>
      <c r="BF253">
        <v>0.65099458272458632</v>
      </c>
      <c r="BG253">
        <v>150</v>
      </c>
      <c r="BH253">
        <v>0</v>
      </c>
      <c r="BI253">
        <v>0</v>
      </c>
      <c r="BJ253">
        <v>0.60000002384185791</v>
      </c>
      <c r="BK253">
        <v>3</v>
      </c>
      <c r="BL253">
        <v>1</v>
      </c>
      <c r="BM253">
        <v>2</v>
      </c>
      <c r="BN253">
        <v>2022</v>
      </c>
      <c r="BO253">
        <v>2</v>
      </c>
      <c r="BP253">
        <v>1</v>
      </c>
      <c r="BQ253">
        <v>2</v>
      </c>
      <c r="BR253">
        <v>2022</v>
      </c>
      <c r="BS253">
        <v>3</v>
      </c>
      <c r="BT253">
        <v>1</v>
      </c>
      <c r="BU253">
        <v>3</v>
      </c>
      <c r="BV253">
        <v>2025</v>
      </c>
      <c r="BW253">
        <v>1</v>
      </c>
      <c r="BX253">
        <v>1</v>
      </c>
      <c r="BY253">
        <v>1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1</v>
      </c>
      <c r="CJ253">
        <v>0</v>
      </c>
      <c r="CK253">
        <v>0</v>
      </c>
      <c r="CL253">
        <v>1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1</v>
      </c>
    </row>
    <row r="254" spans="1:96" x14ac:dyDescent="0.25">
      <c r="A254">
        <v>253</v>
      </c>
      <c r="B254" t="s">
        <v>1060</v>
      </c>
      <c r="C254" t="s">
        <v>1061</v>
      </c>
      <c r="D254" t="s">
        <v>1062</v>
      </c>
      <c r="E254" t="s">
        <v>1063</v>
      </c>
      <c r="F254" t="s">
        <v>363</v>
      </c>
      <c r="G254">
        <v>1</v>
      </c>
      <c r="H254">
        <v>1</v>
      </c>
      <c r="I254">
        <v>406</v>
      </c>
      <c r="J254">
        <v>1</v>
      </c>
      <c r="L254">
        <v>847.4</v>
      </c>
      <c r="M254">
        <v>608.70000000000005</v>
      </c>
      <c r="N254">
        <v>2066.3000000000002</v>
      </c>
      <c r="O254">
        <v>365.6</v>
      </c>
      <c r="P254">
        <v>28679.4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0.28000000000000003</v>
      </c>
      <c r="W254">
        <v>3</v>
      </c>
      <c r="X254">
        <v>0.28000000000000003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0.28000000000000003</v>
      </c>
      <c r="AF254">
        <v>0</v>
      </c>
      <c r="AG254">
        <v>0</v>
      </c>
      <c r="AH254">
        <v>0.28000000000000003</v>
      </c>
      <c r="AI254">
        <v>3</v>
      </c>
      <c r="AJ254">
        <v>0.28000000000000003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0.28000000000000003</v>
      </c>
      <c r="AR254">
        <v>0</v>
      </c>
      <c r="AS254">
        <v>0</v>
      </c>
      <c r="AT254">
        <v>0.28000000000000003</v>
      </c>
      <c r="AU254">
        <v>0</v>
      </c>
      <c r="AV254">
        <v>0</v>
      </c>
      <c r="AW254">
        <v>0.2800000011920929</v>
      </c>
      <c r="AX254">
        <v>0</v>
      </c>
      <c r="AY254">
        <v>0.2800000011920929</v>
      </c>
      <c r="AZ254">
        <v>0</v>
      </c>
      <c r="BA254">
        <v>0</v>
      </c>
      <c r="BB254">
        <v>0</v>
      </c>
      <c r="BC254">
        <v>0.2800000011920929</v>
      </c>
      <c r="BD254">
        <v>0</v>
      </c>
      <c r="BE254">
        <v>1</v>
      </c>
      <c r="BF254">
        <v>0</v>
      </c>
      <c r="BG254">
        <v>150</v>
      </c>
      <c r="BH254">
        <v>0.2800000011920929</v>
      </c>
      <c r="BI254">
        <v>0</v>
      </c>
      <c r="BJ254">
        <v>0</v>
      </c>
      <c r="BK254">
        <v>0</v>
      </c>
      <c r="BL254">
        <v>0</v>
      </c>
      <c r="BM254">
        <v>0</v>
      </c>
      <c r="BP254">
        <v>0</v>
      </c>
      <c r="BQ254">
        <v>0</v>
      </c>
      <c r="BT254">
        <v>1</v>
      </c>
      <c r="BU254">
        <v>1</v>
      </c>
      <c r="BV254">
        <v>2025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</row>
    <row r="255" spans="1:96" x14ac:dyDescent="0.25">
      <c r="A255">
        <v>254</v>
      </c>
      <c r="B255" t="s">
        <v>1064</v>
      </c>
      <c r="C255" t="s">
        <v>1065</v>
      </c>
      <c r="D255" t="s">
        <v>1066</v>
      </c>
      <c r="E255" t="s">
        <v>498</v>
      </c>
      <c r="F255" t="s">
        <v>176</v>
      </c>
      <c r="G255">
        <v>2</v>
      </c>
      <c r="H255">
        <v>1</v>
      </c>
      <c r="I255">
        <v>1245</v>
      </c>
      <c r="J255">
        <v>0</v>
      </c>
      <c r="L255">
        <v>3149.3</v>
      </c>
      <c r="M255">
        <v>3299.4</v>
      </c>
      <c r="N255">
        <v>1522.6</v>
      </c>
      <c r="O255">
        <v>800.7</v>
      </c>
      <c r="P255">
        <v>3194.5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0.68</v>
      </c>
      <c r="W255">
        <v>3.5</v>
      </c>
      <c r="X255">
        <v>0.68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0.68</v>
      </c>
      <c r="AE255">
        <v>0</v>
      </c>
      <c r="AF255">
        <v>0</v>
      </c>
      <c r="AG255">
        <v>1</v>
      </c>
      <c r="AH255">
        <v>0.68</v>
      </c>
      <c r="AI255">
        <v>3.5</v>
      </c>
      <c r="AJ255">
        <v>0.67999999999999994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0.67999999999999994</v>
      </c>
      <c r="AQ255">
        <v>0</v>
      </c>
      <c r="AR255">
        <v>0</v>
      </c>
      <c r="AS255">
        <v>1</v>
      </c>
      <c r="AT255">
        <v>0.68</v>
      </c>
      <c r="AU255">
        <v>0</v>
      </c>
      <c r="AV255">
        <v>0</v>
      </c>
      <c r="AW255">
        <v>0.68000000715255737</v>
      </c>
      <c r="AX255">
        <v>0</v>
      </c>
      <c r="AY255">
        <v>7.9999998211860657E-2</v>
      </c>
      <c r="AZ255">
        <v>0.40000000596046448</v>
      </c>
      <c r="BA255">
        <v>0.10000000149011611</v>
      </c>
      <c r="BB255">
        <v>0.10000000149011611</v>
      </c>
      <c r="BC255">
        <v>0.48000000417232508</v>
      </c>
      <c r="BD255">
        <v>0.20000000298023221</v>
      </c>
      <c r="BE255">
        <v>0.70588235165214874</v>
      </c>
      <c r="BF255">
        <v>0.29411764834785131</v>
      </c>
      <c r="BG255">
        <v>150</v>
      </c>
      <c r="BH255">
        <v>7.9999998211860657E-2</v>
      </c>
      <c r="BI255">
        <v>0.40000000596046448</v>
      </c>
      <c r="BJ255">
        <v>0.10000000149011611</v>
      </c>
      <c r="BK255">
        <v>0.10000000149011611</v>
      </c>
      <c r="BL255">
        <v>0</v>
      </c>
      <c r="BM255">
        <v>0</v>
      </c>
      <c r="BP255">
        <v>0</v>
      </c>
      <c r="BQ255">
        <v>0</v>
      </c>
      <c r="BT255">
        <v>0</v>
      </c>
      <c r="BU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</row>
    <row r="256" spans="1:96" x14ac:dyDescent="0.25">
      <c r="A256">
        <v>255</v>
      </c>
      <c r="B256" t="s">
        <v>1067</v>
      </c>
      <c r="C256" t="s">
        <v>1068</v>
      </c>
      <c r="D256" t="s">
        <v>1069</v>
      </c>
      <c r="E256" t="s">
        <v>1070</v>
      </c>
      <c r="F256" t="s">
        <v>315</v>
      </c>
      <c r="G256">
        <v>1</v>
      </c>
      <c r="H256">
        <v>1</v>
      </c>
      <c r="I256">
        <v>1352</v>
      </c>
      <c r="J256">
        <v>0</v>
      </c>
      <c r="L256">
        <v>8023.3</v>
      </c>
      <c r="M256">
        <v>10088.200000000001</v>
      </c>
      <c r="N256">
        <v>6771.5</v>
      </c>
      <c r="O256">
        <v>500.2</v>
      </c>
      <c r="P256">
        <v>40497.1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0.66</v>
      </c>
      <c r="W256">
        <v>3</v>
      </c>
      <c r="X256">
        <v>0</v>
      </c>
      <c r="Y256">
        <v>0</v>
      </c>
      <c r="Z256">
        <v>0.66</v>
      </c>
      <c r="AA256">
        <v>0</v>
      </c>
      <c r="AB256">
        <v>0</v>
      </c>
      <c r="AC256">
        <v>0</v>
      </c>
      <c r="AD256">
        <v>0.66</v>
      </c>
      <c r="AE256">
        <v>0</v>
      </c>
      <c r="AF256">
        <v>0</v>
      </c>
      <c r="AG256">
        <v>1</v>
      </c>
      <c r="AH256">
        <v>0.66</v>
      </c>
      <c r="AI256">
        <v>3</v>
      </c>
      <c r="AJ256">
        <v>0</v>
      </c>
      <c r="AK256">
        <v>0</v>
      </c>
      <c r="AL256">
        <v>0.65999999999999992</v>
      </c>
      <c r="AM256">
        <v>0</v>
      </c>
      <c r="AN256">
        <v>0</v>
      </c>
      <c r="AO256">
        <v>0</v>
      </c>
      <c r="AP256">
        <v>0.65999999999999992</v>
      </c>
      <c r="AQ256">
        <v>0</v>
      </c>
      <c r="AR256">
        <v>0</v>
      </c>
      <c r="AS256">
        <v>1</v>
      </c>
      <c r="AT256">
        <v>0.66</v>
      </c>
      <c r="AU256">
        <v>0.6600000262260437</v>
      </c>
      <c r="AV256">
        <v>0</v>
      </c>
      <c r="AW256">
        <v>0</v>
      </c>
      <c r="AX256">
        <v>0</v>
      </c>
      <c r="AY256">
        <v>0</v>
      </c>
      <c r="AZ256">
        <v>0.6600000262260437</v>
      </c>
      <c r="BA256">
        <v>0</v>
      </c>
      <c r="BB256">
        <v>0</v>
      </c>
      <c r="BC256">
        <v>0.6600000262260437</v>
      </c>
      <c r="BD256">
        <v>0</v>
      </c>
      <c r="BE256">
        <v>1</v>
      </c>
      <c r="BF256">
        <v>0</v>
      </c>
      <c r="BG256">
        <v>150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1</v>
      </c>
      <c r="BN256">
        <v>2023</v>
      </c>
      <c r="BO256">
        <v>1</v>
      </c>
      <c r="BP256">
        <v>1</v>
      </c>
      <c r="BQ256">
        <v>1</v>
      </c>
      <c r="BR256">
        <v>2023</v>
      </c>
      <c r="BS256">
        <v>2</v>
      </c>
      <c r="BT256">
        <v>1</v>
      </c>
      <c r="BU256">
        <v>1</v>
      </c>
      <c r="BV256">
        <v>2023</v>
      </c>
      <c r="BW256">
        <v>3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</row>
    <row r="257" spans="1:96" x14ac:dyDescent="0.25">
      <c r="A257">
        <v>256</v>
      </c>
      <c r="B257" t="s">
        <v>1071</v>
      </c>
      <c r="C257" t="s">
        <v>1072</v>
      </c>
      <c r="D257" t="s">
        <v>1073</v>
      </c>
      <c r="E257" t="s">
        <v>1074</v>
      </c>
      <c r="F257" t="s">
        <v>539</v>
      </c>
      <c r="G257">
        <v>4</v>
      </c>
      <c r="H257">
        <v>2</v>
      </c>
      <c r="I257">
        <v>1988</v>
      </c>
      <c r="J257">
        <v>0</v>
      </c>
      <c r="L257">
        <v>8950.1</v>
      </c>
      <c r="M257">
        <v>6258.4</v>
      </c>
      <c r="N257">
        <v>8924.7000000000007</v>
      </c>
      <c r="O257">
        <v>2875.1</v>
      </c>
      <c r="P257">
        <v>9268.4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4.51</v>
      </c>
      <c r="W257">
        <v>3</v>
      </c>
      <c r="X257">
        <v>0</v>
      </c>
      <c r="Y257">
        <v>0</v>
      </c>
      <c r="Z257">
        <v>0</v>
      </c>
      <c r="AA257">
        <v>1.8</v>
      </c>
      <c r="AB257">
        <v>2.71</v>
      </c>
      <c r="AC257">
        <v>0</v>
      </c>
      <c r="AD257">
        <v>0</v>
      </c>
      <c r="AE257">
        <v>0</v>
      </c>
      <c r="AF257">
        <v>4.51</v>
      </c>
      <c r="AG257">
        <v>0</v>
      </c>
      <c r="AH257">
        <v>4.51</v>
      </c>
      <c r="AI257">
        <v>3</v>
      </c>
      <c r="AJ257">
        <v>0</v>
      </c>
      <c r="AK257">
        <v>0</v>
      </c>
      <c r="AL257">
        <v>0</v>
      </c>
      <c r="AM257">
        <v>1.8</v>
      </c>
      <c r="AN257">
        <v>2.7100000000000009</v>
      </c>
      <c r="AO257">
        <v>0</v>
      </c>
      <c r="AP257">
        <v>0</v>
      </c>
      <c r="AQ257">
        <v>0</v>
      </c>
      <c r="AR257">
        <v>4.51</v>
      </c>
      <c r="AS257">
        <v>0</v>
      </c>
      <c r="AT257">
        <v>4.51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150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P257">
        <v>0</v>
      </c>
      <c r="BQ257">
        <v>0</v>
      </c>
      <c r="BT257">
        <v>0</v>
      </c>
      <c r="BU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1</v>
      </c>
      <c r="CR257">
        <v>0</v>
      </c>
    </row>
    <row r="258" spans="1:96" x14ac:dyDescent="0.25">
      <c r="A258">
        <v>257</v>
      </c>
      <c r="B258" t="s">
        <v>1075</v>
      </c>
      <c r="C258" t="s">
        <v>1076</v>
      </c>
      <c r="D258" t="s">
        <v>1077</v>
      </c>
      <c r="E258" t="s">
        <v>1078</v>
      </c>
      <c r="F258" t="s">
        <v>127</v>
      </c>
      <c r="G258">
        <v>2</v>
      </c>
      <c r="H258">
        <v>1</v>
      </c>
      <c r="I258">
        <v>938</v>
      </c>
      <c r="J258">
        <v>0</v>
      </c>
      <c r="L258">
        <v>8550.7999999999993</v>
      </c>
      <c r="M258">
        <v>4601.1000000000004</v>
      </c>
      <c r="N258">
        <v>10761.2</v>
      </c>
      <c r="O258">
        <v>2190.3000000000002</v>
      </c>
      <c r="P258">
        <v>10663.6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2.87</v>
      </c>
      <c r="W258">
        <v>3.5</v>
      </c>
      <c r="X258">
        <v>2.87</v>
      </c>
      <c r="Y258">
        <v>0</v>
      </c>
      <c r="Z258">
        <v>0</v>
      </c>
      <c r="AA258">
        <v>0</v>
      </c>
      <c r="AB258">
        <v>0</v>
      </c>
      <c r="AC258">
        <v>0.87</v>
      </c>
      <c r="AD258">
        <v>0.6</v>
      </c>
      <c r="AE258">
        <v>1.4</v>
      </c>
      <c r="AF258">
        <v>0</v>
      </c>
      <c r="AG258">
        <v>0.51219512195121952</v>
      </c>
      <c r="AH258">
        <v>2.87</v>
      </c>
      <c r="AI258">
        <v>3.5</v>
      </c>
      <c r="AJ258">
        <v>2.870000000000001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0.99999999999999989</v>
      </c>
      <c r="AQ258">
        <v>1.67</v>
      </c>
      <c r="AR258">
        <v>0.2</v>
      </c>
      <c r="AS258">
        <v>0.34843205574912878</v>
      </c>
      <c r="AT258">
        <v>2.87</v>
      </c>
      <c r="AU258">
        <v>0</v>
      </c>
      <c r="AV258">
        <v>0</v>
      </c>
      <c r="AW258">
        <v>2.869999885559082</v>
      </c>
      <c r="AX258">
        <v>0</v>
      </c>
      <c r="AY258">
        <v>0.80000001192092896</v>
      </c>
      <c r="AZ258">
        <v>1</v>
      </c>
      <c r="BA258">
        <v>0.76999998092651367</v>
      </c>
      <c r="BB258">
        <v>0.30000001192092901</v>
      </c>
      <c r="BC258">
        <v>1.800000011920929</v>
      </c>
      <c r="BD258">
        <v>1.0699999928474431</v>
      </c>
      <c r="BE258">
        <v>0.6271777034600392</v>
      </c>
      <c r="BF258">
        <v>0.37282229653996068</v>
      </c>
      <c r="BG258">
        <v>150</v>
      </c>
      <c r="BH258">
        <v>0.80000001192092896</v>
      </c>
      <c r="BI258">
        <v>1</v>
      </c>
      <c r="BJ258">
        <v>0.76999998092651367</v>
      </c>
      <c r="BK258">
        <v>0.30000001192092901</v>
      </c>
      <c r="BL258">
        <v>1</v>
      </c>
      <c r="BM258">
        <v>1</v>
      </c>
      <c r="BN258">
        <v>2021</v>
      </c>
      <c r="BO258">
        <v>3</v>
      </c>
      <c r="BP258">
        <v>1</v>
      </c>
      <c r="BQ258">
        <v>1</v>
      </c>
      <c r="BR258">
        <v>2021</v>
      </c>
      <c r="BS258">
        <v>4</v>
      </c>
      <c r="BT258">
        <v>1</v>
      </c>
      <c r="BU258">
        <v>1</v>
      </c>
      <c r="BV258">
        <v>2021</v>
      </c>
      <c r="BW258">
        <v>5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</row>
    <row r="259" spans="1:96" x14ac:dyDescent="0.25">
      <c r="A259">
        <v>258</v>
      </c>
      <c r="B259" t="s">
        <v>1079</v>
      </c>
      <c r="C259" t="s">
        <v>1080</v>
      </c>
      <c r="D259" t="s">
        <v>1081</v>
      </c>
      <c r="E259" t="s">
        <v>105</v>
      </c>
      <c r="F259" t="s">
        <v>105</v>
      </c>
      <c r="G259">
        <v>1</v>
      </c>
      <c r="H259">
        <v>1</v>
      </c>
      <c r="I259">
        <v>423</v>
      </c>
      <c r="J259">
        <v>0</v>
      </c>
      <c r="K259">
        <v>1</v>
      </c>
      <c r="L259">
        <v>1326.5</v>
      </c>
      <c r="M259">
        <v>974.6</v>
      </c>
      <c r="N259">
        <v>7130</v>
      </c>
      <c r="O259">
        <v>997.9</v>
      </c>
      <c r="P259">
        <v>8509.5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1.03</v>
      </c>
      <c r="W259">
        <v>3</v>
      </c>
      <c r="X259">
        <v>1.03</v>
      </c>
      <c r="Y259">
        <v>0</v>
      </c>
      <c r="Z259">
        <v>0</v>
      </c>
      <c r="AA259">
        <v>0</v>
      </c>
      <c r="AB259">
        <v>0</v>
      </c>
      <c r="AC259">
        <v>1.03</v>
      </c>
      <c r="AD259">
        <v>0</v>
      </c>
      <c r="AE259">
        <v>0</v>
      </c>
      <c r="AF259">
        <v>0</v>
      </c>
      <c r="AG259">
        <v>1</v>
      </c>
      <c r="AH259">
        <v>1.03</v>
      </c>
      <c r="AI259">
        <v>3</v>
      </c>
      <c r="AJ259">
        <v>1.03</v>
      </c>
      <c r="AK259">
        <v>0</v>
      </c>
      <c r="AL259">
        <v>0</v>
      </c>
      <c r="AM259">
        <v>0</v>
      </c>
      <c r="AN259">
        <v>0</v>
      </c>
      <c r="AO259">
        <v>1.03</v>
      </c>
      <c r="AP259">
        <v>0</v>
      </c>
      <c r="AQ259">
        <v>0</v>
      </c>
      <c r="AR259">
        <v>0</v>
      </c>
      <c r="AS259">
        <v>1</v>
      </c>
      <c r="AT259">
        <v>1.03</v>
      </c>
      <c r="AU259">
        <v>0</v>
      </c>
      <c r="AV259">
        <v>0</v>
      </c>
      <c r="AW259">
        <v>1.029999971389771</v>
      </c>
      <c r="AX259">
        <v>0</v>
      </c>
      <c r="AY259">
        <v>0.23000000417232511</v>
      </c>
      <c r="AZ259">
        <v>0.60000002384185791</v>
      </c>
      <c r="BA259">
        <v>0.20000000298023221</v>
      </c>
      <c r="BB259">
        <v>0</v>
      </c>
      <c r="BC259">
        <v>0.83000002801418304</v>
      </c>
      <c r="BD259">
        <v>0.20000000298023221</v>
      </c>
      <c r="BE259">
        <v>0.80582524566805902</v>
      </c>
      <c r="BF259">
        <v>0.19417475433194101</v>
      </c>
      <c r="BG259">
        <v>150</v>
      </c>
      <c r="BH259">
        <v>0.23000000417232511</v>
      </c>
      <c r="BI259">
        <v>0.60000002384185791</v>
      </c>
      <c r="BJ259">
        <v>0.20000000298023221</v>
      </c>
      <c r="BK259">
        <v>0</v>
      </c>
      <c r="BL259">
        <v>0</v>
      </c>
      <c r="BM259">
        <v>0</v>
      </c>
      <c r="BP259">
        <v>0</v>
      </c>
      <c r="BQ259">
        <v>0</v>
      </c>
      <c r="BT259">
        <v>0</v>
      </c>
      <c r="BU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</row>
    <row r="260" spans="1:96" x14ac:dyDescent="0.25">
      <c r="A260">
        <v>259</v>
      </c>
      <c r="B260" t="s">
        <v>1082</v>
      </c>
      <c r="C260" t="s">
        <v>1083</v>
      </c>
      <c r="D260" t="s">
        <v>1084</v>
      </c>
      <c r="E260" t="s">
        <v>1085</v>
      </c>
      <c r="F260" t="s">
        <v>503</v>
      </c>
      <c r="G260">
        <v>4</v>
      </c>
      <c r="H260">
        <v>2</v>
      </c>
      <c r="I260">
        <v>1341</v>
      </c>
      <c r="J260">
        <v>0</v>
      </c>
      <c r="K260">
        <v>1</v>
      </c>
      <c r="L260">
        <v>2386.8000000000002</v>
      </c>
      <c r="M260">
        <v>1123.5</v>
      </c>
      <c r="N260">
        <v>8060.7</v>
      </c>
      <c r="O260">
        <v>90.4</v>
      </c>
      <c r="P260">
        <v>9459.2999999999993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2.73</v>
      </c>
      <c r="W260">
        <v>3.5</v>
      </c>
      <c r="X260">
        <v>2.73</v>
      </c>
      <c r="Y260">
        <v>0</v>
      </c>
      <c r="Z260">
        <v>0</v>
      </c>
      <c r="AA260">
        <v>0</v>
      </c>
      <c r="AB260">
        <v>0</v>
      </c>
      <c r="AC260">
        <v>0.2</v>
      </c>
      <c r="AD260">
        <v>0.2</v>
      </c>
      <c r="AE260">
        <v>1.8</v>
      </c>
      <c r="AF260">
        <v>0.53</v>
      </c>
      <c r="AG260">
        <v>0.1465201465201465</v>
      </c>
      <c r="AH260">
        <v>2.73</v>
      </c>
      <c r="AI260">
        <v>3.5</v>
      </c>
      <c r="AJ260">
        <v>2.7300000000000009</v>
      </c>
      <c r="AK260">
        <v>0</v>
      </c>
      <c r="AL260">
        <v>0</v>
      </c>
      <c r="AM260">
        <v>0</v>
      </c>
      <c r="AN260">
        <v>0</v>
      </c>
      <c r="AO260">
        <v>2.7300000000000009</v>
      </c>
      <c r="AP260">
        <v>0</v>
      </c>
      <c r="AQ260">
        <v>0</v>
      </c>
      <c r="AR260">
        <v>0</v>
      </c>
      <c r="AS260">
        <v>1</v>
      </c>
      <c r="AT260">
        <v>2.73</v>
      </c>
      <c r="AU260">
        <v>0</v>
      </c>
      <c r="AV260">
        <v>0</v>
      </c>
      <c r="AW260">
        <v>2.7300000190734859</v>
      </c>
      <c r="AX260">
        <v>0</v>
      </c>
      <c r="AY260">
        <v>1.029999971389771</v>
      </c>
      <c r="AZ260">
        <v>1.5</v>
      </c>
      <c r="BA260">
        <v>0.20000000298023221</v>
      </c>
      <c r="BB260">
        <v>0</v>
      </c>
      <c r="BC260">
        <v>2.529999971389771</v>
      </c>
      <c r="BD260">
        <v>0.20000000298023221</v>
      </c>
      <c r="BE260">
        <v>0.92673992496048063</v>
      </c>
      <c r="BF260">
        <v>7.3260075039519326E-2</v>
      </c>
      <c r="BG260">
        <v>150</v>
      </c>
      <c r="BH260">
        <v>1.029999971389771</v>
      </c>
      <c r="BI260">
        <v>1.5</v>
      </c>
      <c r="BJ260">
        <v>0.20000000298023221</v>
      </c>
      <c r="BK260">
        <v>0</v>
      </c>
      <c r="BL260">
        <v>1</v>
      </c>
      <c r="BM260">
        <v>1</v>
      </c>
      <c r="BN260">
        <v>2023</v>
      </c>
      <c r="BO260">
        <v>1</v>
      </c>
      <c r="BP260">
        <v>1</v>
      </c>
      <c r="BQ260">
        <v>2</v>
      </c>
      <c r="BR260">
        <v>2024</v>
      </c>
      <c r="BS260">
        <v>1</v>
      </c>
      <c r="BT260">
        <v>1</v>
      </c>
      <c r="BU260">
        <v>2</v>
      </c>
      <c r="BV260">
        <v>2024</v>
      </c>
      <c r="BW260">
        <v>2</v>
      </c>
      <c r="BX260">
        <v>0</v>
      </c>
      <c r="BY260">
        <v>0</v>
      </c>
      <c r="BZ260">
        <v>1</v>
      </c>
      <c r="CA260">
        <v>1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</row>
    <row r="261" spans="1:96" x14ac:dyDescent="0.25">
      <c r="A261">
        <v>260</v>
      </c>
      <c r="B261" t="s">
        <v>1086</v>
      </c>
      <c r="C261" t="s">
        <v>1087</v>
      </c>
      <c r="D261" t="s">
        <v>1088</v>
      </c>
      <c r="E261" t="s">
        <v>1089</v>
      </c>
      <c r="F261" t="s">
        <v>100</v>
      </c>
      <c r="G261">
        <v>2</v>
      </c>
      <c r="H261">
        <v>1</v>
      </c>
      <c r="I261">
        <v>2613</v>
      </c>
      <c r="J261">
        <v>0</v>
      </c>
      <c r="L261">
        <v>2905.9</v>
      </c>
      <c r="M261">
        <v>3449</v>
      </c>
      <c r="N261">
        <v>4261.3</v>
      </c>
      <c r="O261">
        <v>143.1</v>
      </c>
      <c r="P261">
        <v>2587.6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</v>
      </c>
      <c r="W261">
        <v>3</v>
      </c>
      <c r="X261">
        <v>0</v>
      </c>
      <c r="Y261">
        <v>0</v>
      </c>
      <c r="Z261">
        <v>0.2</v>
      </c>
      <c r="AA261">
        <v>0</v>
      </c>
      <c r="AB261">
        <v>0</v>
      </c>
      <c r="AC261">
        <v>0</v>
      </c>
      <c r="AD261">
        <v>0</v>
      </c>
      <c r="AE261">
        <v>0.2</v>
      </c>
      <c r="AF261">
        <v>0</v>
      </c>
      <c r="AG261">
        <v>0</v>
      </c>
      <c r="AH261">
        <v>0.2</v>
      </c>
      <c r="AI261">
        <v>4</v>
      </c>
      <c r="AJ261">
        <v>0.2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0.2</v>
      </c>
      <c r="AQ261">
        <v>0</v>
      </c>
      <c r="AR261">
        <v>0</v>
      </c>
      <c r="AS261">
        <v>1</v>
      </c>
      <c r="AT261">
        <v>0.2</v>
      </c>
      <c r="AU261">
        <v>0</v>
      </c>
      <c r="AV261">
        <v>0</v>
      </c>
      <c r="AW261">
        <v>0.20000000298023221</v>
      </c>
      <c r="AX261">
        <v>0</v>
      </c>
      <c r="AY261">
        <v>0</v>
      </c>
      <c r="AZ261">
        <v>0.20000000298023221</v>
      </c>
      <c r="BA261">
        <v>0</v>
      </c>
      <c r="BB261">
        <v>0</v>
      </c>
      <c r="BC261">
        <v>0.20000000298023221</v>
      </c>
      <c r="BD261">
        <v>0</v>
      </c>
      <c r="BE261">
        <v>1</v>
      </c>
      <c r="BF261">
        <v>0</v>
      </c>
      <c r="BG261">
        <v>150</v>
      </c>
      <c r="BH261">
        <v>0</v>
      </c>
      <c r="BI261">
        <v>0.20000000298023221</v>
      </c>
      <c r="BJ261">
        <v>0</v>
      </c>
      <c r="BK261">
        <v>0</v>
      </c>
      <c r="BL261">
        <v>0</v>
      </c>
      <c r="BM261">
        <v>0</v>
      </c>
      <c r="BP261">
        <v>0</v>
      </c>
      <c r="BQ261">
        <v>0</v>
      </c>
      <c r="BT261">
        <v>0</v>
      </c>
      <c r="BU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</row>
    <row r="262" spans="1:96" x14ac:dyDescent="0.25">
      <c r="A262">
        <v>261</v>
      </c>
      <c r="B262" t="s">
        <v>1090</v>
      </c>
      <c r="C262" t="s">
        <v>1091</v>
      </c>
      <c r="D262" t="s">
        <v>1092</v>
      </c>
      <c r="E262" t="s">
        <v>1093</v>
      </c>
      <c r="F262" t="s">
        <v>100</v>
      </c>
      <c r="G262">
        <v>6</v>
      </c>
      <c r="H262">
        <v>1</v>
      </c>
      <c r="I262">
        <v>8588</v>
      </c>
      <c r="J262">
        <v>1</v>
      </c>
      <c r="K262">
        <v>1</v>
      </c>
      <c r="L262">
        <v>3075.6</v>
      </c>
      <c r="M262">
        <v>3618.6</v>
      </c>
      <c r="N262">
        <v>4430.8999999999996</v>
      </c>
      <c r="O262">
        <v>365.8</v>
      </c>
      <c r="P262">
        <v>2757.2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5.32</v>
      </c>
      <c r="W262">
        <v>4</v>
      </c>
      <c r="X262">
        <v>5.32</v>
      </c>
      <c r="Y262">
        <v>0</v>
      </c>
      <c r="Z262">
        <v>0</v>
      </c>
      <c r="AA262">
        <v>0</v>
      </c>
      <c r="AB262">
        <v>0</v>
      </c>
      <c r="AC262">
        <v>5.32</v>
      </c>
      <c r="AD262">
        <v>0</v>
      </c>
      <c r="AE262">
        <v>0</v>
      </c>
      <c r="AF262">
        <v>0</v>
      </c>
      <c r="AG262">
        <v>1</v>
      </c>
      <c r="AH262">
        <v>5.32</v>
      </c>
      <c r="AI262">
        <v>4</v>
      </c>
      <c r="AJ262">
        <v>5.3199999999999967</v>
      </c>
      <c r="AK262">
        <v>0</v>
      </c>
      <c r="AL262">
        <v>0</v>
      </c>
      <c r="AM262">
        <v>0</v>
      </c>
      <c r="AN262">
        <v>0</v>
      </c>
      <c r="AO262">
        <v>0.6</v>
      </c>
      <c r="AP262">
        <v>4.120000000000001</v>
      </c>
      <c r="AQ262">
        <v>0.4</v>
      </c>
      <c r="AR262">
        <v>0.2</v>
      </c>
      <c r="AS262">
        <v>0.88721804511278191</v>
      </c>
      <c r="AT262">
        <v>5.32</v>
      </c>
      <c r="AU262">
        <v>0</v>
      </c>
      <c r="AV262">
        <v>0</v>
      </c>
      <c r="AW262">
        <v>5.320000171661377</v>
      </c>
      <c r="AX262">
        <v>0</v>
      </c>
      <c r="AY262">
        <v>1.1000000238418579</v>
      </c>
      <c r="AZ262">
        <v>1.700000047683716</v>
      </c>
      <c r="BA262">
        <v>1.320000052452087</v>
      </c>
      <c r="BB262">
        <v>1.200000047683716</v>
      </c>
      <c r="BC262">
        <v>2.8000000715255742</v>
      </c>
      <c r="BD262">
        <v>2.5200001001358028</v>
      </c>
      <c r="BE262">
        <v>0.52631578593561679</v>
      </c>
      <c r="BF262">
        <v>0.47368421406438321</v>
      </c>
      <c r="BG262">
        <v>150</v>
      </c>
      <c r="BH262">
        <v>1.1000000238418579</v>
      </c>
      <c r="BI262">
        <v>1.700000047683716</v>
      </c>
      <c r="BJ262">
        <v>1.320000052452087</v>
      </c>
      <c r="BK262">
        <v>1.200000047683716</v>
      </c>
      <c r="BL262">
        <v>1</v>
      </c>
      <c r="BM262">
        <v>1</v>
      </c>
      <c r="BN262">
        <v>2023</v>
      </c>
      <c r="BO262">
        <v>1</v>
      </c>
      <c r="BP262">
        <v>1</v>
      </c>
      <c r="BQ262">
        <v>2</v>
      </c>
      <c r="BR262">
        <v>2024</v>
      </c>
      <c r="BS262">
        <v>1</v>
      </c>
      <c r="BT262">
        <v>1</v>
      </c>
      <c r="BU262">
        <v>2</v>
      </c>
      <c r="BV262">
        <v>2024</v>
      </c>
      <c r="BW262">
        <v>2</v>
      </c>
      <c r="BX262">
        <v>0</v>
      </c>
      <c r="BY262">
        <v>0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1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</row>
    <row r="263" spans="1:96" x14ac:dyDescent="0.25">
      <c r="A263">
        <v>262</v>
      </c>
      <c r="B263" t="s">
        <v>1094</v>
      </c>
      <c r="C263" t="s">
        <v>1095</v>
      </c>
      <c r="D263" t="s">
        <v>1096</v>
      </c>
      <c r="E263" t="s">
        <v>1097</v>
      </c>
      <c r="F263" t="s">
        <v>190</v>
      </c>
      <c r="G263">
        <v>1</v>
      </c>
      <c r="H263">
        <v>1</v>
      </c>
      <c r="I263">
        <v>371</v>
      </c>
      <c r="J263">
        <v>0</v>
      </c>
      <c r="K263">
        <v>1</v>
      </c>
      <c r="L263">
        <v>608.29999999999995</v>
      </c>
      <c r="M263">
        <v>2430.4</v>
      </c>
      <c r="N263">
        <v>11122</v>
      </c>
      <c r="O263">
        <v>277.2</v>
      </c>
      <c r="P263">
        <v>12501.5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0.64</v>
      </c>
      <c r="W263">
        <v>3</v>
      </c>
      <c r="X263">
        <v>0.5</v>
      </c>
      <c r="Y263">
        <v>0</v>
      </c>
      <c r="Z263">
        <v>0</v>
      </c>
      <c r="AA263">
        <v>0.14000000000000001</v>
      </c>
      <c r="AB263">
        <v>0</v>
      </c>
      <c r="AC263">
        <v>0</v>
      </c>
      <c r="AD263">
        <v>0.5</v>
      </c>
      <c r="AE263">
        <v>0</v>
      </c>
      <c r="AF263">
        <v>0.14000000000000001</v>
      </c>
      <c r="AG263">
        <v>0.78125</v>
      </c>
      <c r="AH263">
        <v>0.64</v>
      </c>
      <c r="AI263">
        <v>3</v>
      </c>
      <c r="AJ263">
        <v>0.5</v>
      </c>
      <c r="AK263">
        <v>0</v>
      </c>
      <c r="AL263">
        <v>0</v>
      </c>
      <c r="AM263">
        <v>0</v>
      </c>
      <c r="AN263">
        <v>0.14000000000000001</v>
      </c>
      <c r="AO263">
        <v>0</v>
      </c>
      <c r="AP263">
        <v>0.5</v>
      </c>
      <c r="AQ263">
        <v>0</v>
      </c>
      <c r="AR263">
        <v>0.14000000000000001</v>
      </c>
      <c r="AS263">
        <v>0.78125</v>
      </c>
      <c r="AT263">
        <v>0.64</v>
      </c>
      <c r="AU263">
        <v>0</v>
      </c>
      <c r="AV263">
        <v>0</v>
      </c>
      <c r="AW263">
        <v>0.5</v>
      </c>
      <c r="AX263">
        <v>0</v>
      </c>
      <c r="AY263">
        <v>0</v>
      </c>
      <c r="AZ263">
        <v>0.40000000596046448</v>
      </c>
      <c r="BA263">
        <v>0</v>
      </c>
      <c r="BB263">
        <v>0.10000000149011611</v>
      </c>
      <c r="BC263">
        <v>0.40000000596046448</v>
      </c>
      <c r="BD263">
        <v>0.10000000149011611</v>
      </c>
      <c r="BE263">
        <v>0.8</v>
      </c>
      <c r="BF263">
        <v>0.2</v>
      </c>
      <c r="BG263">
        <v>150</v>
      </c>
      <c r="BH263">
        <v>0</v>
      </c>
      <c r="BI263">
        <v>0.40000000596046448</v>
      </c>
      <c r="BJ263">
        <v>0</v>
      </c>
      <c r="BK263">
        <v>0.10000000149011611</v>
      </c>
      <c r="BL263">
        <v>0</v>
      </c>
      <c r="BM263">
        <v>0</v>
      </c>
      <c r="BP263">
        <v>0</v>
      </c>
      <c r="BQ263">
        <v>0</v>
      </c>
      <c r="BT263">
        <v>0</v>
      </c>
      <c r="BU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</row>
    <row r="264" spans="1:96" x14ac:dyDescent="0.25">
      <c r="A264">
        <v>263</v>
      </c>
      <c r="B264" t="s">
        <v>1098</v>
      </c>
      <c r="C264" t="s">
        <v>1099</v>
      </c>
      <c r="D264" t="s">
        <v>1100</v>
      </c>
      <c r="E264" t="s">
        <v>1097</v>
      </c>
      <c r="F264" t="s">
        <v>190</v>
      </c>
      <c r="G264">
        <v>1</v>
      </c>
      <c r="H264">
        <v>1</v>
      </c>
      <c r="I264">
        <v>371</v>
      </c>
      <c r="J264">
        <v>0</v>
      </c>
      <c r="K264">
        <v>1</v>
      </c>
      <c r="L264">
        <v>744.7</v>
      </c>
      <c r="M264">
        <v>3138.6</v>
      </c>
      <c r="N264">
        <v>11056.8</v>
      </c>
      <c r="O264">
        <v>1075.9000000000001</v>
      </c>
      <c r="P264">
        <v>12436.3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1.26</v>
      </c>
      <c r="W264">
        <v>3.5</v>
      </c>
      <c r="X264">
        <v>1.26</v>
      </c>
      <c r="Y264">
        <v>0</v>
      </c>
      <c r="Z264">
        <v>0</v>
      </c>
      <c r="AA264">
        <v>0</v>
      </c>
      <c r="AB264">
        <v>0</v>
      </c>
      <c r="AC264">
        <v>1.26</v>
      </c>
      <c r="AD264">
        <v>0</v>
      </c>
      <c r="AE264">
        <v>0</v>
      </c>
      <c r="AF264">
        <v>0</v>
      </c>
      <c r="AG264">
        <v>1</v>
      </c>
      <c r="AH264">
        <v>1.26</v>
      </c>
      <c r="AI264">
        <v>3.5</v>
      </c>
      <c r="AJ264">
        <v>1.26</v>
      </c>
      <c r="AK264">
        <v>0</v>
      </c>
      <c r="AL264">
        <v>0</v>
      </c>
      <c r="AM264">
        <v>0</v>
      </c>
      <c r="AN264">
        <v>0</v>
      </c>
      <c r="AO264">
        <v>1.26</v>
      </c>
      <c r="AP264">
        <v>0</v>
      </c>
      <c r="AQ264">
        <v>0</v>
      </c>
      <c r="AR264">
        <v>0</v>
      </c>
      <c r="AS264">
        <v>1</v>
      </c>
      <c r="AT264">
        <v>1.26</v>
      </c>
      <c r="AU264">
        <v>0</v>
      </c>
      <c r="AV264">
        <v>0</v>
      </c>
      <c r="AW264">
        <v>1.2599999904632571</v>
      </c>
      <c r="AX264">
        <v>0</v>
      </c>
      <c r="AY264">
        <v>0</v>
      </c>
      <c r="AZ264">
        <v>1.1599999666213989</v>
      </c>
      <c r="BA264">
        <v>0.10000000149011611</v>
      </c>
      <c r="BB264">
        <v>0</v>
      </c>
      <c r="BC264">
        <v>1.1599999666213989</v>
      </c>
      <c r="BD264">
        <v>0.10000000149011611</v>
      </c>
      <c r="BE264">
        <v>0.92063491744369175</v>
      </c>
      <c r="BF264">
        <v>7.9365082556308225E-2</v>
      </c>
      <c r="BG264">
        <v>150</v>
      </c>
      <c r="BH264">
        <v>0</v>
      </c>
      <c r="BI264">
        <v>1.1599999666213989</v>
      </c>
      <c r="BJ264">
        <v>0.10000000149011611</v>
      </c>
      <c r="BK264">
        <v>0</v>
      </c>
      <c r="BL264">
        <v>1</v>
      </c>
      <c r="BM264">
        <v>2</v>
      </c>
      <c r="BN264">
        <v>2023</v>
      </c>
      <c r="BO264">
        <v>1</v>
      </c>
      <c r="BP264">
        <v>1</v>
      </c>
      <c r="BQ264">
        <v>2</v>
      </c>
      <c r="BR264">
        <v>2023</v>
      </c>
      <c r="BS264">
        <v>2</v>
      </c>
      <c r="BT264">
        <v>1</v>
      </c>
      <c r="BU264">
        <v>2</v>
      </c>
      <c r="BV264">
        <v>2023</v>
      </c>
      <c r="BW264">
        <v>3</v>
      </c>
      <c r="BX264">
        <v>1</v>
      </c>
      <c r="BY264">
        <v>0</v>
      </c>
      <c r="BZ264">
        <v>1</v>
      </c>
      <c r="CA264">
        <v>0</v>
      </c>
      <c r="CB264">
        <v>0</v>
      </c>
      <c r="CC264">
        <v>1</v>
      </c>
      <c r="CD264">
        <v>0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</row>
    <row r="265" spans="1:96" x14ac:dyDescent="0.25">
      <c r="A265">
        <v>264</v>
      </c>
      <c r="B265" t="s">
        <v>1101</v>
      </c>
      <c r="C265" t="s">
        <v>1102</v>
      </c>
      <c r="D265" t="s">
        <v>1103</v>
      </c>
      <c r="E265" t="s">
        <v>1104</v>
      </c>
      <c r="F265" t="s">
        <v>503</v>
      </c>
      <c r="G265">
        <v>2</v>
      </c>
      <c r="H265">
        <v>2</v>
      </c>
      <c r="I265">
        <v>1350</v>
      </c>
      <c r="J265">
        <v>0</v>
      </c>
      <c r="K265">
        <v>0</v>
      </c>
      <c r="L265">
        <v>3564.5</v>
      </c>
      <c r="M265">
        <v>3474.2</v>
      </c>
      <c r="N265">
        <v>3534.9</v>
      </c>
      <c r="O265">
        <v>1060.3</v>
      </c>
      <c r="P265">
        <v>4933.5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3</v>
      </c>
      <c r="X265">
        <v>0.5</v>
      </c>
      <c r="Y265">
        <v>0</v>
      </c>
      <c r="Z265">
        <v>0</v>
      </c>
      <c r="AA265">
        <v>0</v>
      </c>
      <c r="AB265">
        <v>0</v>
      </c>
      <c r="AC265">
        <v>0.5</v>
      </c>
      <c r="AD265">
        <v>0</v>
      </c>
      <c r="AE265">
        <v>0</v>
      </c>
      <c r="AF265">
        <v>0</v>
      </c>
      <c r="AG265">
        <v>1</v>
      </c>
      <c r="AH265">
        <v>0.5</v>
      </c>
      <c r="AI265">
        <v>3</v>
      </c>
      <c r="AJ265">
        <v>0.5</v>
      </c>
      <c r="AK265">
        <v>0</v>
      </c>
      <c r="AL265">
        <v>0</v>
      </c>
      <c r="AM265">
        <v>0</v>
      </c>
      <c r="AN265">
        <v>0</v>
      </c>
      <c r="AO265">
        <v>0.5</v>
      </c>
      <c r="AP265">
        <v>0</v>
      </c>
      <c r="AQ265">
        <v>0</v>
      </c>
      <c r="AR265">
        <v>0</v>
      </c>
      <c r="AS265">
        <v>1</v>
      </c>
      <c r="AT265">
        <v>0.5</v>
      </c>
      <c r="AU265">
        <v>0</v>
      </c>
      <c r="AV265">
        <v>0</v>
      </c>
      <c r="AW265">
        <v>0.5</v>
      </c>
      <c r="AX265">
        <v>0</v>
      </c>
      <c r="AY265">
        <v>0</v>
      </c>
      <c r="AZ265">
        <v>0.5</v>
      </c>
      <c r="BA265">
        <v>0</v>
      </c>
      <c r="BB265">
        <v>0</v>
      </c>
      <c r="BC265">
        <v>0.5</v>
      </c>
      <c r="BD265">
        <v>0</v>
      </c>
      <c r="BE265">
        <v>1</v>
      </c>
      <c r="BF265">
        <v>0</v>
      </c>
      <c r="BG265">
        <v>150</v>
      </c>
      <c r="BH265">
        <v>0</v>
      </c>
      <c r="BI265">
        <v>0.5</v>
      </c>
      <c r="BJ265">
        <v>0</v>
      </c>
      <c r="BK265">
        <v>0</v>
      </c>
      <c r="BL265">
        <v>0</v>
      </c>
      <c r="BM265">
        <v>0</v>
      </c>
      <c r="BP265">
        <v>0</v>
      </c>
      <c r="BQ265">
        <v>0</v>
      </c>
      <c r="BT265">
        <v>0</v>
      </c>
      <c r="BU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</row>
    <row r="266" spans="1:96" x14ac:dyDescent="0.25">
      <c r="A266">
        <v>265</v>
      </c>
      <c r="B266" t="s">
        <v>1105</v>
      </c>
      <c r="C266" t="s">
        <v>1106</v>
      </c>
      <c r="D266" t="s">
        <v>1107</v>
      </c>
      <c r="E266" t="s">
        <v>444</v>
      </c>
      <c r="F266" t="s">
        <v>363</v>
      </c>
      <c r="G266">
        <v>1</v>
      </c>
      <c r="H266">
        <v>1</v>
      </c>
      <c r="I266">
        <v>870</v>
      </c>
      <c r="J266">
        <v>1</v>
      </c>
      <c r="K266">
        <v>0</v>
      </c>
      <c r="L266">
        <v>1337.2</v>
      </c>
      <c r="M266">
        <v>1098.5999999999999</v>
      </c>
      <c r="N266">
        <v>2556.1</v>
      </c>
      <c r="O266">
        <v>657.2</v>
      </c>
      <c r="P266">
        <v>29169.200000000001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0.34</v>
      </c>
      <c r="W266">
        <v>3.5</v>
      </c>
      <c r="X266">
        <v>0.2</v>
      </c>
      <c r="Y266">
        <v>0</v>
      </c>
      <c r="Z266">
        <v>0</v>
      </c>
      <c r="AA266">
        <v>0</v>
      </c>
      <c r="AB266">
        <v>0.14000000000000001</v>
      </c>
      <c r="AC266">
        <v>0</v>
      </c>
      <c r="AD266">
        <v>0</v>
      </c>
      <c r="AE266">
        <v>0.2</v>
      </c>
      <c r="AF266">
        <v>0.14000000000000001</v>
      </c>
      <c r="AG266">
        <v>0</v>
      </c>
      <c r="AH266">
        <v>0.34</v>
      </c>
      <c r="AI266">
        <v>3.5</v>
      </c>
      <c r="AJ266">
        <v>0.2</v>
      </c>
      <c r="AK266">
        <v>0</v>
      </c>
      <c r="AL266">
        <v>0</v>
      </c>
      <c r="AM266">
        <v>0</v>
      </c>
      <c r="AN266">
        <v>0.14000000000000001</v>
      </c>
      <c r="AO266">
        <v>0.2</v>
      </c>
      <c r="AP266">
        <v>0</v>
      </c>
      <c r="AQ266">
        <v>0</v>
      </c>
      <c r="AR266">
        <v>0.14000000000000001</v>
      </c>
      <c r="AS266">
        <v>0.58823529411764708</v>
      </c>
      <c r="AT266">
        <v>0.34</v>
      </c>
      <c r="AU266">
        <v>0</v>
      </c>
      <c r="AV266">
        <v>0</v>
      </c>
      <c r="AW266">
        <v>0.34000000357627869</v>
      </c>
      <c r="AX266">
        <v>0</v>
      </c>
      <c r="AY266">
        <v>0.34000000357627869</v>
      </c>
      <c r="AZ266">
        <v>0</v>
      </c>
      <c r="BA266">
        <v>0</v>
      </c>
      <c r="BB266">
        <v>0</v>
      </c>
      <c r="BC266">
        <v>0.34000000357627869</v>
      </c>
      <c r="BD266">
        <v>0</v>
      </c>
      <c r="BE266">
        <v>1</v>
      </c>
      <c r="BF266">
        <v>0</v>
      </c>
      <c r="BG266">
        <v>150</v>
      </c>
      <c r="BH266">
        <v>0.34000000357627869</v>
      </c>
      <c r="BI266">
        <v>0</v>
      </c>
      <c r="BJ266">
        <v>0</v>
      </c>
      <c r="BK266">
        <v>0</v>
      </c>
      <c r="BL266">
        <v>1</v>
      </c>
      <c r="BM266">
        <v>1</v>
      </c>
      <c r="BN266">
        <v>2023</v>
      </c>
      <c r="BO266">
        <v>1</v>
      </c>
      <c r="BP266">
        <v>1</v>
      </c>
      <c r="BQ266">
        <v>2</v>
      </c>
      <c r="BR266">
        <v>2024</v>
      </c>
      <c r="BS266">
        <v>1</v>
      </c>
      <c r="BT266">
        <v>1</v>
      </c>
      <c r="BU266">
        <v>2</v>
      </c>
      <c r="BV266">
        <v>2024</v>
      </c>
      <c r="BW266">
        <v>2</v>
      </c>
      <c r="BX266">
        <v>0</v>
      </c>
      <c r="BY266">
        <v>0</v>
      </c>
      <c r="BZ266">
        <v>1</v>
      </c>
      <c r="CA266">
        <v>1</v>
      </c>
      <c r="CB266">
        <v>0</v>
      </c>
      <c r="CC266">
        <v>0</v>
      </c>
      <c r="CD266">
        <v>0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</row>
    <row r="267" spans="1:96" x14ac:dyDescent="0.25">
      <c r="A267">
        <v>266</v>
      </c>
      <c r="B267" t="s">
        <v>1108</v>
      </c>
      <c r="C267" t="s">
        <v>1109</v>
      </c>
      <c r="D267" t="s">
        <v>1110</v>
      </c>
      <c r="E267" t="s">
        <v>705</v>
      </c>
      <c r="F267" t="s">
        <v>100</v>
      </c>
      <c r="G267">
        <v>1</v>
      </c>
      <c r="H267">
        <v>1</v>
      </c>
      <c r="I267">
        <v>3189</v>
      </c>
      <c r="J267">
        <v>0</v>
      </c>
      <c r="K267">
        <v>0</v>
      </c>
      <c r="L267">
        <v>419.6</v>
      </c>
      <c r="M267">
        <v>1094.4000000000001</v>
      </c>
      <c r="N267">
        <v>2197.3000000000002</v>
      </c>
      <c r="O267">
        <v>383.2</v>
      </c>
      <c r="P267">
        <v>334.4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0.52</v>
      </c>
      <c r="W267">
        <v>6</v>
      </c>
      <c r="X267">
        <v>0.52</v>
      </c>
      <c r="Y267">
        <v>0</v>
      </c>
      <c r="Z267">
        <v>0</v>
      </c>
      <c r="AA267">
        <v>0</v>
      </c>
      <c r="AB267">
        <v>0</v>
      </c>
      <c r="AC267">
        <v>0.52</v>
      </c>
      <c r="AD267">
        <v>0</v>
      </c>
      <c r="AE267">
        <v>0</v>
      </c>
      <c r="AF267">
        <v>0</v>
      </c>
      <c r="AG267">
        <v>1</v>
      </c>
      <c r="AH267">
        <v>0.52</v>
      </c>
      <c r="AI267">
        <v>6</v>
      </c>
      <c r="AJ267">
        <v>0.52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0.52</v>
      </c>
      <c r="AQ267">
        <v>0</v>
      </c>
      <c r="AR267">
        <v>0</v>
      </c>
      <c r="AS267">
        <v>1</v>
      </c>
      <c r="AT267">
        <v>0.52</v>
      </c>
      <c r="AU267">
        <v>0</v>
      </c>
      <c r="AV267">
        <v>0</v>
      </c>
      <c r="AW267">
        <v>0.51999998092651367</v>
      </c>
      <c r="AX267">
        <v>0</v>
      </c>
      <c r="AY267">
        <v>0</v>
      </c>
      <c r="AZ267">
        <v>0.51999998092651367</v>
      </c>
      <c r="BA267">
        <v>0</v>
      </c>
      <c r="BB267">
        <v>0</v>
      </c>
      <c r="BC267">
        <v>0.51999998092651367</v>
      </c>
      <c r="BD267">
        <v>0</v>
      </c>
      <c r="BE267">
        <v>1</v>
      </c>
      <c r="BF267">
        <v>0</v>
      </c>
      <c r="BG267">
        <v>200</v>
      </c>
      <c r="BH267">
        <v>0</v>
      </c>
      <c r="BI267">
        <v>0.51999998092651367</v>
      </c>
      <c r="BJ267">
        <v>0</v>
      </c>
      <c r="BK267">
        <v>0</v>
      </c>
      <c r="BL267">
        <v>0</v>
      </c>
      <c r="BM267">
        <v>0</v>
      </c>
      <c r="BP267">
        <v>0</v>
      </c>
      <c r="BQ267">
        <v>0</v>
      </c>
      <c r="BT267">
        <v>0</v>
      </c>
      <c r="BU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</row>
    <row r="268" spans="1:96" x14ac:dyDescent="0.25">
      <c r="A268">
        <v>267</v>
      </c>
      <c r="B268" t="s">
        <v>1111</v>
      </c>
      <c r="C268" t="s">
        <v>1112</v>
      </c>
      <c r="D268" t="s">
        <v>1113</v>
      </c>
      <c r="E268" t="s">
        <v>705</v>
      </c>
      <c r="F268" t="s">
        <v>100</v>
      </c>
      <c r="G268">
        <v>1</v>
      </c>
      <c r="H268">
        <v>1</v>
      </c>
      <c r="I268">
        <v>3189</v>
      </c>
      <c r="J268">
        <v>0</v>
      </c>
      <c r="K268">
        <v>0</v>
      </c>
      <c r="L268">
        <v>164.9</v>
      </c>
      <c r="M268">
        <v>839.6</v>
      </c>
      <c r="N268">
        <v>1982.7</v>
      </c>
      <c r="O268">
        <v>618.4</v>
      </c>
      <c r="P268">
        <v>360.8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0.26</v>
      </c>
      <c r="W268">
        <v>5</v>
      </c>
      <c r="X268">
        <v>0.26</v>
      </c>
      <c r="Y268">
        <v>0</v>
      </c>
      <c r="Z268">
        <v>0</v>
      </c>
      <c r="AA268">
        <v>0</v>
      </c>
      <c r="AB268">
        <v>0</v>
      </c>
      <c r="AC268">
        <v>0.26</v>
      </c>
      <c r="AD268">
        <v>0</v>
      </c>
      <c r="AE268">
        <v>0</v>
      </c>
      <c r="AF268">
        <v>0</v>
      </c>
      <c r="AG268">
        <v>1</v>
      </c>
      <c r="AH268">
        <v>0.26</v>
      </c>
      <c r="AI268">
        <v>5</v>
      </c>
      <c r="AJ268">
        <v>0.26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0.26</v>
      </c>
      <c r="AQ268">
        <v>0</v>
      </c>
      <c r="AR268">
        <v>0</v>
      </c>
      <c r="AS268">
        <v>1</v>
      </c>
      <c r="AT268">
        <v>0.26</v>
      </c>
      <c r="AU268">
        <v>0</v>
      </c>
      <c r="AV268">
        <v>0</v>
      </c>
      <c r="AW268">
        <v>0.25999999046325678</v>
      </c>
      <c r="AX268">
        <v>0</v>
      </c>
      <c r="AY268">
        <v>0.25999999046325678</v>
      </c>
      <c r="AZ268">
        <v>0</v>
      </c>
      <c r="BA268">
        <v>0</v>
      </c>
      <c r="BB268">
        <v>0</v>
      </c>
      <c r="BC268">
        <v>0.25999999046325678</v>
      </c>
      <c r="BD268">
        <v>0</v>
      </c>
      <c r="BE268">
        <v>1</v>
      </c>
      <c r="BF268">
        <v>0</v>
      </c>
      <c r="BG268">
        <v>600</v>
      </c>
      <c r="BH268">
        <v>0.25999999046325678</v>
      </c>
      <c r="BI268">
        <v>0</v>
      </c>
      <c r="BJ268">
        <v>0</v>
      </c>
      <c r="BK268">
        <v>0</v>
      </c>
      <c r="BL268">
        <v>0</v>
      </c>
      <c r="BM268">
        <v>0</v>
      </c>
      <c r="BP268">
        <v>0</v>
      </c>
      <c r="BQ268">
        <v>0</v>
      </c>
      <c r="BT268">
        <v>0</v>
      </c>
      <c r="BU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</row>
    <row r="269" spans="1:96" x14ac:dyDescent="0.25">
      <c r="A269">
        <v>268</v>
      </c>
      <c r="B269" t="s">
        <v>1114</v>
      </c>
      <c r="C269" t="s">
        <v>1115</v>
      </c>
      <c r="D269" t="s">
        <v>1116</v>
      </c>
      <c r="E269" t="s">
        <v>1117</v>
      </c>
      <c r="F269" t="s">
        <v>100</v>
      </c>
      <c r="G269">
        <v>2</v>
      </c>
      <c r="H269">
        <v>1</v>
      </c>
      <c r="I269">
        <v>1568</v>
      </c>
      <c r="J269">
        <v>0</v>
      </c>
      <c r="K269">
        <v>0</v>
      </c>
      <c r="L269">
        <v>1340.4</v>
      </c>
      <c r="M269">
        <v>1490.5</v>
      </c>
      <c r="N269">
        <v>942.9</v>
      </c>
      <c r="O269">
        <v>32.6</v>
      </c>
      <c r="P269">
        <v>3162.2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1.57</v>
      </c>
      <c r="W269">
        <v>3</v>
      </c>
      <c r="X269">
        <v>1.57</v>
      </c>
      <c r="Y269">
        <v>0</v>
      </c>
      <c r="Z269">
        <v>0</v>
      </c>
      <c r="AA269">
        <v>0</v>
      </c>
      <c r="AB269">
        <v>0</v>
      </c>
      <c r="AC269">
        <v>1.57</v>
      </c>
      <c r="AD269">
        <v>0</v>
      </c>
      <c r="AE269">
        <v>0</v>
      </c>
      <c r="AF269">
        <v>0</v>
      </c>
      <c r="AG269">
        <v>1</v>
      </c>
      <c r="AH269">
        <v>1.57</v>
      </c>
      <c r="AI269">
        <v>3</v>
      </c>
      <c r="AJ269">
        <v>1.57</v>
      </c>
      <c r="AK269">
        <v>0</v>
      </c>
      <c r="AL269">
        <v>0</v>
      </c>
      <c r="AM269">
        <v>0</v>
      </c>
      <c r="AN269">
        <v>0</v>
      </c>
      <c r="AO269">
        <v>0.4</v>
      </c>
      <c r="AP269">
        <v>1.17</v>
      </c>
      <c r="AQ269">
        <v>0</v>
      </c>
      <c r="AR269">
        <v>0</v>
      </c>
      <c r="AS269">
        <v>1</v>
      </c>
      <c r="AT269">
        <v>1.57</v>
      </c>
      <c r="AU269">
        <v>0</v>
      </c>
      <c r="AV269">
        <v>0</v>
      </c>
      <c r="AW269">
        <v>1.570000052452087</v>
      </c>
      <c r="AX269">
        <v>0</v>
      </c>
      <c r="AY269">
        <v>0.40000000596046448</v>
      </c>
      <c r="AZ269">
        <v>1.070000052452087</v>
      </c>
      <c r="BA269">
        <v>0.10000000149011611</v>
      </c>
      <c r="BB269">
        <v>0</v>
      </c>
      <c r="BC269">
        <v>1.4700000584125521</v>
      </c>
      <c r="BD269">
        <v>0.10000000149011611</v>
      </c>
      <c r="BE269">
        <v>0.93630573396518491</v>
      </c>
      <c r="BF269">
        <v>6.3694266034815067E-2</v>
      </c>
      <c r="BG269">
        <v>150</v>
      </c>
      <c r="BH269">
        <v>0.40000000596046448</v>
      </c>
      <c r="BI269">
        <v>1.070000052452087</v>
      </c>
      <c r="BJ269">
        <v>0.10000000149011611</v>
      </c>
      <c r="BK269">
        <v>0</v>
      </c>
      <c r="BL269">
        <v>1</v>
      </c>
      <c r="BM269">
        <v>1</v>
      </c>
      <c r="BN269">
        <v>2023</v>
      </c>
      <c r="BO269">
        <v>1</v>
      </c>
      <c r="BP269">
        <v>1</v>
      </c>
      <c r="BQ269">
        <v>2</v>
      </c>
      <c r="BR269">
        <v>2024</v>
      </c>
      <c r="BS269">
        <v>1</v>
      </c>
      <c r="BT269">
        <v>1</v>
      </c>
      <c r="BU269">
        <v>2</v>
      </c>
      <c r="BV269">
        <v>2024</v>
      </c>
      <c r="BW269">
        <v>2</v>
      </c>
      <c r="BX269">
        <v>0</v>
      </c>
      <c r="BY269">
        <v>0</v>
      </c>
      <c r="BZ269">
        <v>1</v>
      </c>
      <c r="CA269">
        <v>1</v>
      </c>
      <c r="CB269">
        <v>0</v>
      </c>
      <c r="CC269">
        <v>0</v>
      </c>
      <c r="CD269">
        <v>0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</row>
    <row r="270" spans="1:96" x14ac:dyDescent="0.25">
      <c r="A270">
        <v>269</v>
      </c>
      <c r="B270" t="s">
        <v>1118</v>
      </c>
      <c r="C270" t="s">
        <v>1119</v>
      </c>
      <c r="D270" t="s">
        <v>1120</v>
      </c>
      <c r="E270" t="s">
        <v>1121</v>
      </c>
      <c r="F270" t="s">
        <v>503</v>
      </c>
      <c r="G270">
        <v>7</v>
      </c>
      <c r="H270">
        <v>2</v>
      </c>
      <c r="I270">
        <v>2253</v>
      </c>
      <c r="J270">
        <v>0</v>
      </c>
      <c r="K270">
        <v>0</v>
      </c>
      <c r="L270">
        <v>3775.4</v>
      </c>
      <c r="M270">
        <v>3580.5</v>
      </c>
      <c r="N270">
        <v>10517.7</v>
      </c>
      <c r="O270">
        <v>349.1</v>
      </c>
      <c r="P270">
        <v>8013.7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3.77</v>
      </c>
      <c r="W270">
        <v>3</v>
      </c>
      <c r="X270">
        <v>3.77</v>
      </c>
      <c r="Y270">
        <v>0</v>
      </c>
      <c r="Z270">
        <v>0</v>
      </c>
      <c r="AA270">
        <v>0</v>
      </c>
      <c r="AB270">
        <v>0</v>
      </c>
      <c r="AC270">
        <v>1.4</v>
      </c>
      <c r="AD270">
        <v>1.97</v>
      </c>
      <c r="AE270">
        <v>0.4</v>
      </c>
      <c r="AF270">
        <v>0</v>
      </c>
      <c r="AG270">
        <v>0.89389920424403191</v>
      </c>
      <c r="AH270">
        <v>3.77</v>
      </c>
      <c r="AI270">
        <v>3</v>
      </c>
      <c r="AJ270">
        <v>3.7700000000000018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2.17</v>
      </c>
      <c r="AQ270">
        <v>1.3</v>
      </c>
      <c r="AR270">
        <v>0.3</v>
      </c>
      <c r="AS270">
        <v>0.5755968169761273</v>
      </c>
      <c r="AT270">
        <v>3.77</v>
      </c>
      <c r="AU270">
        <v>0</v>
      </c>
      <c r="AV270">
        <v>0</v>
      </c>
      <c r="AW270">
        <v>3.7699999809265141</v>
      </c>
      <c r="AX270">
        <v>0</v>
      </c>
      <c r="AY270">
        <v>0</v>
      </c>
      <c r="AZ270">
        <v>2.5699999332427979</v>
      </c>
      <c r="BA270">
        <v>1.1000000238418579</v>
      </c>
      <c r="BB270">
        <v>0.10000000149011611</v>
      </c>
      <c r="BC270">
        <v>2.5699999332427979</v>
      </c>
      <c r="BD270">
        <v>1.200000025331974</v>
      </c>
      <c r="BE270">
        <v>0.68169760251519274</v>
      </c>
      <c r="BF270">
        <v>0.31830239748480732</v>
      </c>
      <c r="BG270">
        <v>150</v>
      </c>
      <c r="BH270">
        <v>0</v>
      </c>
      <c r="BI270">
        <v>2.5699999332427979</v>
      </c>
      <c r="BJ270">
        <v>1.1000000238418579</v>
      </c>
      <c r="BK270">
        <v>0.10000000149011611</v>
      </c>
      <c r="BL270">
        <v>0</v>
      </c>
      <c r="BM270">
        <v>0</v>
      </c>
      <c r="BP270">
        <v>0</v>
      </c>
      <c r="BQ270">
        <v>0</v>
      </c>
      <c r="BT270">
        <v>0</v>
      </c>
      <c r="BU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</row>
    <row r="271" spans="1:96" x14ac:dyDescent="0.25">
      <c r="A271">
        <v>270</v>
      </c>
      <c r="B271" t="s">
        <v>1122</v>
      </c>
      <c r="C271" t="s">
        <v>1123</v>
      </c>
      <c r="D271" t="s">
        <v>1124</v>
      </c>
      <c r="E271" t="s">
        <v>1125</v>
      </c>
      <c r="F271" t="s">
        <v>213</v>
      </c>
      <c r="G271">
        <v>2</v>
      </c>
      <c r="H271">
        <v>2</v>
      </c>
      <c r="I271">
        <v>1446</v>
      </c>
      <c r="J271">
        <v>0</v>
      </c>
      <c r="K271">
        <v>1</v>
      </c>
      <c r="L271">
        <v>1963.7</v>
      </c>
      <c r="M271">
        <v>1063.7</v>
      </c>
      <c r="N271">
        <v>5025.1000000000004</v>
      </c>
      <c r="O271">
        <v>295.8</v>
      </c>
      <c r="P271">
        <v>8261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0.55000000000000004</v>
      </c>
      <c r="W271">
        <v>3</v>
      </c>
      <c r="X271">
        <v>0.4</v>
      </c>
      <c r="Y271">
        <v>0</v>
      </c>
      <c r="Z271">
        <v>0</v>
      </c>
      <c r="AA271">
        <v>0.15</v>
      </c>
      <c r="AB271">
        <v>0</v>
      </c>
      <c r="AC271">
        <v>0</v>
      </c>
      <c r="AD271">
        <v>0.2</v>
      </c>
      <c r="AE271">
        <v>0.2</v>
      </c>
      <c r="AF271">
        <v>0.15</v>
      </c>
      <c r="AG271">
        <v>0.36363636363636359</v>
      </c>
      <c r="AH271">
        <v>0.55000000000000004</v>
      </c>
      <c r="AI271">
        <v>3</v>
      </c>
      <c r="AJ271">
        <v>0.4</v>
      </c>
      <c r="AK271">
        <v>0</v>
      </c>
      <c r="AL271">
        <v>0</v>
      </c>
      <c r="AM271">
        <v>0</v>
      </c>
      <c r="AN271">
        <v>0.15</v>
      </c>
      <c r="AO271">
        <v>0</v>
      </c>
      <c r="AP271">
        <v>0.2</v>
      </c>
      <c r="AQ271">
        <v>0.2</v>
      </c>
      <c r="AR271">
        <v>0.15</v>
      </c>
      <c r="AS271">
        <v>0.36363636363636359</v>
      </c>
      <c r="AT271">
        <v>0.55000000000000004</v>
      </c>
      <c r="AU271">
        <v>0</v>
      </c>
      <c r="AV271">
        <v>0</v>
      </c>
      <c r="AW271">
        <v>0.40000000596046448</v>
      </c>
      <c r="AX271">
        <v>0</v>
      </c>
      <c r="AY271">
        <v>0.10000000149011611</v>
      </c>
      <c r="AZ271">
        <v>0.20000000298023221</v>
      </c>
      <c r="BA271">
        <v>0.10000000149011611</v>
      </c>
      <c r="BB271">
        <v>0</v>
      </c>
      <c r="BC271">
        <v>0.30000000447034841</v>
      </c>
      <c r="BD271">
        <v>0.10000000149011611</v>
      </c>
      <c r="BE271">
        <v>0.75</v>
      </c>
      <c r="BF271">
        <v>0.25</v>
      </c>
      <c r="BG271">
        <v>150</v>
      </c>
      <c r="BH271">
        <v>0.10000000149011611</v>
      </c>
      <c r="BI271">
        <v>0.20000000298023221</v>
      </c>
      <c r="BJ271">
        <v>0.10000000149011611</v>
      </c>
      <c r="BK271">
        <v>0</v>
      </c>
      <c r="BL271">
        <v>0</v>
      </c>
      <c r="BM271">
        <v>0</v>
      </c>
      <c r="BP271">
        <v>1</v>
      </c>
      <c r="BQ271">
        <v>1</v>
      </c>
      <c r="BR271">
        <v>2024</v>
      </c>
      <c r="BS271">
        <v>1</v>
      </c>
      <c r="BT271">
        <v>1</v>
      </c>
      <c r="BU271">
        <v>1</v>
      </c>
      <c r="BV271">
        <v>2024</v>
      </c>
      <c r="BW271">
        <v>2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</row>
    <row r="272" spans="1:96" x14ac:dyDescent="0.25">
      <c r="A272">
        <v>271</v>
      </c>
      <c r="B272" t="s">
        <v>1126</v>
      </c>
      <c r="C272" t="s">
        <v>1127</v>
      </c>
      <c r="D272" t="s">
        <v>1128</v>
      </c>
      <c r="E272" t="s">
        <v>289</v>
      </c>
      <c r="F272" t="s">
        <v>176</v>
      </c>
      <c r="G272">
        <v>2</v>
      </c>
      <c r="H272">
        <v>1</v>
      </c>
      <c r="I272">
        <v>459</v>
      </c>
      <c r="J272">
        <v>0</v>
      </c>
      <c r="K272">
        <v>0</v>
      </c>
      <c r="L272">
        <v>13352.3</v>
      </c>
      <c r="M272">
        <v>12599.8</v>
      </c>
      <c r="N272">
        <v>14761.3</v>
      </c>
      <c r="O272">
        <v>4179</v>
      </c>
      <c r="P272">
        <v>1385.5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2.37</v>
      </c>
      <c r="W272">
        <v>3</v>
      </c>
      <c r="X272">
        <v>2.37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2.37</v>
      </c>
      <c r="AE272">
        <v>0</v>
      </c>
      <c r="AF272">
        <v>0</v>
      </c>
      <c r="AG272">
        <v>1</v>
      </c>
      <c r="AH272">
        <v>2.37</v>
      </c>
      <c r="AI272">
        <v>3</v>
      </c>
      <c r="AJ272">
        <v>2.370000000000001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0.99999999999999989</v>
      </c>
      <c r="AQ272">
        <v>1.37</v>
      </c>
      <c r="AR272">
        <v>0</v>
      </c>
      <c r="AS272">
        <v>0.42194092827004209</v>
      </c>
      <c r="AT272">
        <v>2.37</v>
      </c>
      <c r="AU272">
        <v>0</v>
      </c>
      <c r="AV272">
        <v>0</v>
      </c>
      <c r="AW272">
        <v>2.369999885559082</v>
      </c>
      <c r="AX272">
        <v>0</v>
      </c>
      <c r="AY272">
        <v>0</v>
      </c>
      <c r="AZ272">
        <v>0.56999999284744263</v>
      </c>
      <c r="BA272">
        <v>1.799999952316284</v>
      </c>
      <c r="BB272">
        <v>0</v>
      </c>
      <c r="BC272">
        <v>0.56999999284744263</v>
      </c>
      <c r="BD272">
        <v>1.799999952316284</v>
      </c>
      <c r="BE272">
        <v>0.24050633166072299</v>
      </c>
      <c r="BF272">
        <v>0.75949366833927701</v>
      </c>
      <c r="BG272">
        <v>150</v>
      </c>
      <c r="BH272">
        <v>0</v>
      </c>
      <c r="BI272">
        <v>0.56999999284744263</v>
      </c>
      <c r="BJ272">
        <v>1.799999952316284</v>
      </c>
      <c r="BK272">
        <v>0</v>
      </c>
      <c r="BL272">
        <v>1</v>
      </c>
      <c r="BM272">
        <v>1</v>
      </c>
      <c r="BN272">
        <v>2021</v>
      </c>
      <c r="BO272">
        <v>3</v>
      </c>
      <c r="BP272">
        <v>1</v>
      </c>
      <c r="BQ272">
        <v>2</v>
      </c>
      <c r="BR272">
        <v>2024</v>
      </c>
      <c r="BS272">
        <v>1</v>
      </c>
      <c r="BT272">
        <v>1</v>
      </c>
      <c r="BU272">
        <v>2</v>
      </c>
      <c r="BV272">
        <v>2024</v>
      </c>
      <c r="BW272">
        <v>2</v>
      </c>
      <c r="BX272">
        <v>1</v>
      </c>
      <c r="BY272">
        <v>0</v>
      </c>
      <c r="BZ272">
        <v>0</v>
      </c>
      <c r="CA272">
        <v>1</v>
      </c>
      <c r="CB272">
        <v>0</v>
      </c>
      <c r="CC272">
        <v>1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1</v>
      </c>
    </row>
    <row r="273" spans="1:96" x14ac:dyDescent="0.25">
      <c r="A273">
        <v>272</v>
      </c>
      <c r="B273" t="s">
        <v>1129</v>
      </c>
      <c r="C273" t="s">
        <v>1130</v>
      </c>
      <c r="D273" t="s">
        <v>1131</v>
      </c>
      <c r="E273" t="s">
        <v>1132</v>
      </c>
      <c r="F273" t="s">
        <v>100</v>
      </c>
      <c r="G273">
        <v>2</v>
      </c>
      <c r="H273">
        <v>1</v>
      </c>
      <c r="I273">
        <v>1355</v>
      </c>
      <c r="J273">
        <v>1</v>
      </c>
      <c r="K273">
        <v>0</v>
      </c>
      <c r="L273">
        <v>13680.7</v>
      </c>
      <c r="M273">
        <v>12928.1</v>
      </c>
      <c r="N273">
        <v>15089.6</v>
      </c>
      <c r="O273">
        <v>4507.3</v>
      </c>
      <c r="P273">
        <v>17300.3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8.1</v>
      </c>
      <c r="W273">
        <v>3</v>
      </c>
      <c r="X273">
        <v>2</v>
      </c>
      <c r="Y273">
        <v>0</v>
      </c>
      <c r="Z273">
        <v>0</v>
      </c>
      <c r="AA273">
        <v>0</v>
      </c>
      <c r="AB273">
        <v>6.1</v>
      </c>
      <c r="AC273">
        <v>2.2000000000000002</v>
      </c>
      <c r="AD273">
        <v>0</v>
      </c>
      <c r="AE273">
        <v>0</v>
      </c>
      <c r="AF273">
        <v>5.9</v>
      </c>
      <c r="AG273">
        <v>0.27160493827160492</v>
      </c>
      <c r="AH273">
        <v>8.1</v>
      </c>
      <c r="AI273">
        <v>3</v>
      </c>
      <c r="AJ273">
        <v>2.100000000000001</v>
      </c>
      <c r="AK273">
        <v>0</v>
      </c>
      <c r="AL273">
        <v>0</v>
      </c>
      <c r="AM273">
        <v>0.5</v>
      </c>
      <c r="AN273">
        <v>5.4999999999999956</v>
      </c>
      <c r="AO273">
        <v>0</v>
      </c>
      <c r="AP273">
        <v>2.100000000000001</v>
      </c>
      <c r="AQ273">
        <v>0</v>
      </c>
      <c r="AR273">
        <v>5.9999999999999947</v>
      </c>
      <c r="AS273">
        <v>0.25925925925925952</v>
      </c>
      <c r="AT273">
        <v>8.1</v>
      </c>
      <c r="AU273">
        <v>0</v>
      </c>
      <c r="AV273">
        <v>0</v>
      </c>
      <c r="AW273">
        <v>2.2000000476837158</v>
      </c>
      <c r="AX273">
        <v>0</v>
      </c>
      <c r="AY273">
        <v>0</v>
      </c>
      <c r="AZ273">
        <v>2.2000000476837158</v>
      </c>
      <c r="BA273">
        <v>0</v>
      </c>
      <c r="BB273">
        <v>0</v>
      </c>
      <c r="BC273">
        <v>2.2000000476837158</v>
      </c>
      <c r="BD273">
        <v>0</v>
      </c>
      <c r="BE273">
        <v>1</v>
      </c>
      <c r="BF273">
        <v>0</v>
      </c>
      <c r="BG273">
        <v>150</v>
      </c>
      <c r="BH273">
        <v>0</v>
      </c>
      <c r="BI273">
        <v>2.2000000476837158</v>
      </c>
      <c r="BJ273">
        <v>0</v>
      </c>
      <c r="BK273">
        <v>0</v>
      </c>
      <c r="BL273">
        <v>1</v>
      </c>
      <c r="BM273">
        <v>3</v>
      </c>
      <c r="BN273">
        <v>2023</v>
      </c>
      <c r="BO273">
        <v>1</v>
      </c>
      <c r="BP273">
        <v>1</v>
      </c>
      <c r="BQ273">
        <v>3</v>
      </c>
      <c r="BR273">
        <v>2023</v>
      </c>
      <c r="BS273">
        <v>2</v>
      </c>
      <c r="BT273">
        <v>1</v>
      </c>
      <c r="BU273">
        <v>3</v>
      </c>
      <c r="BV273">
        <v>2023</v>
      </c>
      <c r="BW273">
        <v>3</v>
      </c>
      <c r="BX273">
        <v>1</v>
      </c>
      <c r="BY273">
        <v>1</v>
      </c>
      <c r="BZ273">
        <v>1</v>
      </c>
      <c r="CA273">
        <v>0</v>
      </c>
      <c r="CB273">
        <v>0</v>
      </c>
      <c r="CC273">
        <v>1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</row>
    <row r="274" spans="1:96" x14ac:dyDescent="0.25">
      <c r="A274">
        <v>273</v>
      </c>
      <c r="B274" t="s">
        <v>1133</v>
      </c>
      <c r="C274" t="s">
        <v>1134</v>
      </c>
      <c r="D274" t="s">
        <v>1135</v>
      </c>
      <c r="E274" t="s">
        <v>1132</v>
      </c>
      <c r="F274" t="s">
        <v>100</v>
      </c>
      <c r="G274">
        <v>2</v>
      </c>
      <c r="H274">
        <v>1</v>
      </c>
      <c r="I274">
        <v>1355</v>
      </c>
      <c r="J274">
        <v>1</v>
      </c>
      <c r="K274">
        <v>0</v>
      </c>
      <c r="L274">
        <v>1469.3</v>
      </c>
      <c r="M274">
        <v>1438.6</v>
      </c>
      <c r="N274">
        <v>6341.9</v>
      </c>
      <c r="O274">
        <v>1137.4000000000001</v>
      </c>
      <c r="P274">
        <v>10988.7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8.19</v>
      </c>
      <c r="W274">
        <v>3</v>
      </c>
      <c r="X274">
        <v>1.6</v>
      </c>
      <c r="Y274">
        <v>0</v>
      </c>
      <c r="Z274">
        <v>0</v>
      </c>
      <c r="AA274">
        <v>1.4</v>
      </c>
      <c r="AB274">
        <v>5.19</v>
      </c>
      <c r="AC274">
        <v>1.6</v>
      </c>
      <c r="AD274">
        <v>0</v>
      </c>
      <c r="AE274">
        <v>0</v>
      </c>
      <c r="AF274">
        <v>6.59</v>
      </c>
      <c r="AG274">
        <v>0.19536019536019539</v>
      </c>
      <c r="AH274">
        <v>8.19</v>
      </c>
      <c r="AI274">
        <v>3</v>
      </c>
      <c r="AJ274">
        <v>1.6</v>
      </c>
      <c r="AK274">
        <v>0</v>
      </c>
      <c r="AL274">
        <v>0</v>
      </c>
      <c r="AM274">
        <v>1.4</v>
      </c>
      <c r="AN274">
        <v>5.1899999999999977</v>
      </c>
      <c r="AO274">
        <v>0</v>
      </c>
      <c r="AP274">
        <v>1.6</v>
      </c>
      <c r="AQ274">
        <v>0</v>
      </c>
      <c r="AR274">
        <v>6.5899999999999928</v>
      </c>
      <c r="AS274">
        <v>0.19536019536019561</v>
      </c>
      <c r="AT274">
        <v>8.19</v>
      </c>
      <c r="AU274">
        <v>0</v>
      </c>
      <c r="AV274">
        <v>0</v>
      </c>
      <c r="AW274">
        <v>1.6000000238418579</v>
      </c>
      <c r="AX274">
        <v>0</v>
      </c>
      <c r="AY274">
        <v>0</v>
      </c>
      <c r="AZ274">
        <v>1.6000000238418579</v>
      </c>
      <c r="BA274">
        <v>0</v>
      </c>
      <c r="BB274">
        <v>0</v>
      </c>
      <c r="BC274">
        <v>1.6000000238418579</v>
      </c>
      <c r="BD274">
        <v>0</v>
      </c>
      <c r="BE274">
        <v>1</v>
      </c>
      <c r="BF274">
        <v>0</v>
      </c>
      <c r="BG274">
        <v>150</v>
      </c>
      <c r="BH274">
        <v>0</v>
      </c>
      <c r="BI274">
        <v>1.6000000238418579</v>
      </c>
      <c r="BJ274">
        <v>0</v>
      </c>
      <c r="BK274">
        <v>0</v>
      </c>
      <c r="BL274">
        <v>1</v>
      </c>
      <c r="BM274">
        <v>1</v>
      </c>
      <c r="BN274">
        <v>2023</v>
      </c>
      <c r="BO274">
        <v>1</v>
      </c>
      <c r="BP274">
        <v>1</v>
      </c>
      <c r="BQ274">
        <v>2</v>
      </c>
      <c r="BR274">
        <v>2024</v>
      </c>
      <c r="BS274">
        <v>1</v>
      </c>
      <c r="BT274">
        <v>1</v>
      </c>
      <c r="BU274">
        <v>2</v>
      </c>
      <c r="BV274">
        <v>2024</v>
      </c>
      <c r="BW274">
        <v>2</v>
      </c>
      <c r="BX274">
        <v>0</v>
      </c>
      <c r="BY274">
        <v>0</v>
      </c>
      <c r="BZ274">
        <v>1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</row>
    <row r="275" spans="1:96" x14ac:dyDescent="0.25">
      <c r="A275">
        <v>274</v>
      </c>
      <c r="B275" t="s">
        <v>1136</v>
      </c>
      <c r="C275" t="s">
        <v>1137</v>
      </c>
      <c r="D275" t="s">
        <v>1138</v>
      </c>
      <c r="E275" t="s">
        <v>1139</v>
      </c>
      <c r="F275" t="s">
        <v>208</v>
      </c>
      <c r="G275">
        <v>3</v>
      </c>
      <c r="H275">
        <v>2</v>
      </c>
      <c r="I275">
        <v>1870</v>
      </c>
      <c r="J275">
        <v>0</v>
      </c>
      <c r="K275">
        <v>0</v>
      </c>
      <c r="L275">
        <v>3740.6</v>
      </c>
      <c r="M275">
        <v>4346.1000000000004</v>
      </c>
      <c r="N275">
        <v>10123.9</v>
      </c>
      <c r="O275">
        <v>198.2</v>
      </c>
      <c r="P275">
        <v>27315.5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4.9000000000000004</v>
      </c>
      <c r="W275">
        <v>3.5</v>
      </c>
      <c r="X275">
        <v>4.9000000000000004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4.9000000000000004</v>
      </c>
      <c r="AE275">
        <v>0</v>
      </c>
      <c r="AF275">
        <v>0</v>
      </c>
      <c r="AG275">
        <v>1</v>
      </c>
      <c r="AH275">
        <v>4.9000000000000004</v>
      </c>
      <c r="AI275">
        <v>3.5</v>
      </c>
      <c r="AJ275">
        <v>4.8999999999999986</v>
      </c>
      <c r="AK275">
        <v>0</v>
      </c>
      <c r="AL275">
        <v>0</v>
      </c>
      <c r="AM275">
        <v>0</v>
      </c>
      <c r="AN275">
        <v>0</v>
      </c>
      <c r="AO275">
        <v>1.1000000000000001</v>
      </c>
      <c r="AP275">
        <v>3.0000000000000009</v>
      </c>
      <c r="AQ275">
        <v>0.79999999999999993</v>
      </c>
      <c r="AR275">
        <v>0</v>
      </c>
      <c r="AS275">
        <v>0.83673469387755106</v>
      </c>
      <c r="AT275">
        <v>4.9000000000000004</v>
      </c>
      <c r="AU275">
        <v>0</v>
      </c>
      <c r="AV275">
        <v>0</v>
      </c>
      <c r="AW275">
        <v>4.9000000953674316</v>
      </c>
      <c r="AX275">
        <v>0</v>
      </c>
      <c r="AY275">
        <v>0</v>
      </c>
      <c r="AZ275">
        <v>3</v>
      </c>
      <c r="BA275">
        <v>1.8999999761581421</v>
      </c>
      <c r="BB275">
        <v>0</v>
      </c>
      <c r="BC275">
        <v>3</v>
      </c>
      <c r="BD275">
        <v>1.8999999761581421</v>
      </c>
      <c r="BE275">
        <v>0.61224490093817463</v>
      </c>
      <c r="BF275">
        <v>0.38775509906182531</v>
      </c>
      <c r="BG275">
        <v>150</v>
      </c>
      <c r="BH275">
        <v>0</v>
      </c>
      <c r="BI275">
        <v>3</v>
      </c>
      <c r="BJ275">
        <v>1.8999999761581421</v>
      </c>
      <c r="BK275">
        <v>0</v>
      </c>
      <c r="BL275">
        <v>0</v>
      </c>
      <c r="BM275">
        <v>0</v>
      </c>
      <c r="BP275">
        <v>0</v>
      </c>
      <c r="BQ275">
        <v>0</v>
      </c>
      <c r="BT275">
        <v>0</v>
      </c>
      <c r="BU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</row>
    <row r="276" spans="1:96" x14ac:dyDescent="0.25">
      <c r="A276">
        <v>275</v>
      </c>
      <c r="B276" t="s">
        <v>1140</v>
      </c>
      <c r="C276" t="s">
        <v>1141</v>
      </c>
      <c r="D276" t="s">
        <v>1142</v>
      </c>
      <c r="E276" t="s">
        <v>1143</v>
      </c>
      <c r="F276" t="s">
        <v>809</v>
      </c>
      <c r="G276">
        <v>2</v>
      </c>
      <c r="H276">
        <v>2</v>
      </c>
      <c r="I276">
        <v>721</v>
      </c>
      <c r="J276">
        <v>0</v>
      </c>
      <c r="K276">
        <v>0</v>
      </c>
      <c r="L276">
        <v>15187.5</v>
      </c>
      <c r="M276">
        <v>11144.8</v>
      </c>
      <c r="N276">
        <v>17397.900000000001</v>
      </c>
      <c r="O276">
        <v>1940.4</v>
      </c>
      <c r="P276">
        <v>11916.4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3.12</v>
      </c>
      <c r="W276">
        <v>3</v>
      </c>
      <c r="X276">
        <v>2.72</v>
      </c>
      <c r="Y276">
        <v>0</v>
      </c>
      <c r="Z276">
        <v>0</v>
      </c>
      <c r="AA276">
        <v>0.4</v>
      </c>
      <c r="AB276">
        <v>0</v>
      </c>
      <c r="AC276">
        <v>0</v>
      </c>
      <c r="AD276">
        <v>0.52</v>
      </c>
      <c r="AE276">
        <v>2.2000000000000002</v>
      </c>
      <c r="AF276">
        <v>0.4</v>
      </c>
      <c r="AG276">
        <v>0.16666666666666671</v>
      </c>
      <c r="AH276">
        <v>3.12</v>
      </c>
      <c r="AI276">
        <v>3</v>
      </c>
      <c r="AJ276">
        <v>2.7200000000000011</v>
      </c>
      <c r="AK276">
        <v>0</v>
      </c>
      <c r="AL276">
        <v>0</v>
      </c>
      <c r="AM276">
        <v>0.4</v>
      </c>
      <c r="AN276">
        <v>0</v>
      </c>
      <c r="AO276">
        <v>0</v>
      </c>
      <c r="AP276">
        <v>1.52</v>
      </c>
      <c r="AQ276">
        <v>0.6</v>
      </c>
      <c r="AR276">
        <v>0.99999999999999989</v>
      </c>
      <c r="AS276">
        <v>0.48717948717948723</v>
      </c>
      <c r="AT276">
        <v>3.12</v>
      </c>
      <c r="AU276">
        <v>0</v>
      </c>
      <c r="AV276">
        <v>0</v>
      </c>
      <c r="AW276">
        <v>2.720000028610229</v>
      </c>
      <c r="AX276">
        <v>0</v>
      </c>
      <c r="AY276">
        <v>0</v>
      </c>
      <c r="AZ276">
        <v>1</v>
      </c>
      <c r="BA276">
        <v>0.92000001668930054</v>
      </c>
      <c r="BB276">
        <v>0.80000001192092896</v>
      </c>
      <c r="BC276">
        <v>1</v>
      </c>
      <c r="BD276">
        <v>1.720000028610229</v>
      </c>
      <c r="BE276">
        <v>0.36764705495644612</v>
      </c>
      <c r="BF276">
        <v>0.63235294504355388</v>
      </c>
      <c r="BG276">
        <v>150</v>
      </c>
      <c r="BH276">
        <v>0</v>
      </c>
      <c r="BI276">
        <v>1</v>
      </c>
      <c r="BJ276">
        <v>0.92000001668930054</v>
      </c>
      <c r="BK276">
        <v>0.80000001192092896</v>
      </c>
      <c r="BL276">
        <v>1</v>
      </c>
      <c r="BM276">
        <v>1</v>
      </c>
      <c r="BN276">
        <v>2023</v>
      </c>
      <c r="BO276">
        <v>1</v>
      </c>
      <c r="BP276">
        <v>1</v>
      </c>
      <c r="BQ276">
        <v>1</v>
      </c>
      <c r="BR276">
        <v>2023</v>
      </c>
      <c r="BS276">
        <v>2</v>
      </c>
      <c r="BT276">
        <v>1</v>
      </c>
      <c r="BU276">
        <v>1</v>
      </c>
      <c r="BV276">
        <v>2023</v>
      </c>
      <c r="BW276">
        <v>3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1</v>
      </c>
    </row>
    <row r="277" spans="1:96" x14ac:dyDescent="0.25">
      <c r="A277">
        <v>276</v>
      </c>
      <c r="B277" t="s">
        <v>1144</v>
      </c>
      <c r="C277" t="s">
        <v>1145</v>
      </c>
      <c r="D277" t="s">
        <v>1146</v>
      </c>
      <c r="E277" t="s">
        <v>1147</v>
      </c>
      <c r="F277" t="s">
        <v>127</v>
      </c>
      <c r="G277">
        <v>2</v>
      </c>
      <c r="H277">
        <v>1</v>
      </c>
      <c r="I277">
        <v>866</v>
      </c>
      <c r="J277">
        <v>0</v>
      </c>
      <c r="K277">
        <v>0</v>
      </c>
      <c r="L277">
        <v>16936152.300000001</v>
      </c>
      <c r="M277">
        <v>16936491.699999999</v>
      </c>
      <c r="N277">
        <v>169310897</v>
      </c>
      <c r="O277">
        <v>1749</v>
      </c>
      <c r="P277">
        <v>13087.6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3.39</v>
      </c>
      <c r="W277">
        <v>3.5</v>
      </c>
      <c r="X277">
        <v>1.59</v>
      </c>
      <c r="Y277">
        <v>0</v>
      </c>
      <c r="Z277">
        <v>0</v>
      </c>
      <c r="AA277">
        <v>0.2</v>
      </c>
      <c r="AB277">
        <v>1.6</v>
      </c>
      <c r="AC277">
        <v>0.2</v>
      </c>
      <c r="AD277">
        <v>0.4</v>
      </c>
      <c r="AE277">
        <v>0</v>
      </c>
      <c r="AF277">
        <v>2.79</v>
      </c>
      <c r="AG277">
        <v>0.1769911504424779</v>
      </c>
      <c r="AH277">
        <v>3.39</v>
      </c>
      <c r="AI277">
        <v>3</v>
      </c>
      <c r="AJ277">
        <v>1.59</v>
      </c>
      <c r="AK277">
        <v>0</v>
      </c>
      <c r="AL277">
        <v>0</v>
      </c>
      <c r="AM277">
        <v>0.1</v>
      </c>
      <c r="AN277">
        <v>1.7</v>
      </c>
      <c r="AO277">
        <v>0</v>
      </c>
      <c r="AP277">
        <v>0.4</v>
      </c>
      <c r="AQ277">
        <v>0.2</v>
      </c>
      <c r="AR277">
        <v>2.7900000000000009</v>
      </c>
      <c r="AS277">
        <v>0.11799410029498519</v>
      </c>
      <c r="AT277">
        <v>3.39</v>
      </c>
      <c r="AU277">
        <v>0</v>
      </c>
      <c r="AV277">
        <v>0</v>
      </c>
      <c r="AW277">
        <v>0.60000002384185791</v>
      </c>
      <c r="AX277">
        <v>0</v>
      </c>
      <c r="AY277">
        <v>0</v>
      </c>
      <c r="AZ277">
        <v>0.60000002384185791</v>
      </c>
      <c r="BA277">
        <v>0</v>
      </c>
      <c r="BB277">
        <v>0</v>
      </c>
      <c r="BC277">
        <v>0.60000002384185791</v>
      </c>
      <c r="BD277">
        <v>0</v>
      </c>
      <c r="BE277">
        <v>1</v>
      </c>
      <c r="BF277">
        <v>0</v>
      </c>
      <c r="BG277">
        <v>150</v>
      </c>
      <c r="BH277">
        <v>0</v>
      </c>
      <c r="BI277">
        <v>0.60000002384185791</v>
      </c>
      <c r="BJ277">
        <v>0</v>
      </c>
      <c r="BK277">
        <v>0</v>
      </c>
      <c r="BL277">
        <v>0</v>
      </c>
      <c r="BM277">
        <v>0</v>
      </c>
      <c r="BP277">
        <v>0</v>
      </c>
      <c r="BQ277">
        <v>0</v>
      </c>
      <c r="BT277">
        <v>0</v>
      </c>
      <c r="BU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</row>
    <row r="278" spans="1:96" x14ac:dyDescent="0.25">
      <c r="A278">
        <v>277</v>
      </c>
      <c r="B278" t="s">
        <v>1148</v>
      </c>
      <c r="C278" t="s">
        <v>1149</v>
      </c>
      <c r="D278" t="s">
        <v>1150</v>
      </c>
      <c r="E278" t="s">
        <v>1151</v>
      </c>
      <c r="F278" t="s">
        <v>315</v>
      </c>
      <c r="G278">
        <v>2</v>
      </c>
      <c r="H278">
        <v>1</v>
      </c>
      <c r="I278">
        <v>1539</v>
      </c>
      <c r="J278">
        <v>1</v>
      </c>
      <c r="K278">
        <v>0</v>
      </c>
      <c r="L278">
        <v>516.5</v>
      </c>
      <c r="M278">
        <v>401.5</v>
      </c>
      <c r="N278">
        <v>702.4</v>
      </c>
      <c r="O278">
        <v>408.5</v>
      </c>
      <c r="P278">
        <v>13415.9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0.66</v>
      </c>
      <c r="W278">
        <v>3.5</v>
      </c>
      <c r="X278">
        <v>0.66</v>
      </c>
      <c r="Y278">
        <v>0</v>
      </c>
      <c r="Z278">
        <v>0</v>
      </c>
      <c r="AA278">
        <v>0</v>
      </c>
      <c r="AB278">
        <v>0</v>
      </c>
      <c r="AC278">
        <v>0.66</v>
      </c>
      <c r="AD278">
        <v>0</v>
      </c>
      <c r="AE278">
        <v>0</v>
      </c>
      <c r="AF278">
        <v>0</v>
      </c>
      <c r="AG278">
        <v>1</v>
      </c>
      <c r="AH278">
        <v>0.66</v>
      </c>
      <c r="AI278">
        <v>3.5</v>
      </c>
      <c r="AJ278">
        <v>0.65999999999999992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0.65999999999999992</v>
      </c>
      <c r="AQ278">
        <v>0</v>
      </c>
      <c r="AR278">
        <v>0</v>
      </c>
      <c r="AS278">
        <v>1</v>
      </c>
      <c r="AT278">
        <v>0.66</v>
      </c>
      <c r="AU278">
        <v>0</v>
      </c>
      <c r="AV278">
        <v>0</v>
      </c>
      <c r="AW278">
        <v>0.6600000262260437</v>
      </c>
      <c r="AX278">
        <v>0</v>
      </c>
      <c r="AY278">
        <v>0</v>
      </c>
      <c r="AZ278">
        <v>0.56000000238418579</v>
      </c>
      <c r="BA278">
        <v>0.10000000149011611</v>
      </c>
      <c r="BB278">
        <v>0</v>
      </c>
      <c r="BC278">
        <v>0.56000000238418579</v>
      </c>
      <c r="BD278">
        <v>0.10000000149011611</v>
      </c>
      <c r="BE278">
        <v>0.84848484711651417</v>
      </c>
      <c r="BF278">
        <v>0.15151515288348591</v>
      </c>
      <c r="BG278">
        <v>150</v>
      </c>
      <c r="BH278">
        <v>0</v>
      </c>
      <c r="BI278">
        <v>0.56000000238418579</v>
      </c>
      <c r="BJ278">
        <v>0.10000000149011611</v>
      </c>
      <c r="BK278">
        <v>0</v>
      </c>
      <c r="BL278">
        <v>0</v>
      </c>
      <c r="BM278">
        <v>0</v>
      </c>
      <c r="BP278">
        <v>0</v>
      </c>
      <c r="BQ278">
        <v>0</v>
      </c>
      <c r="BT278">
        <v>0</v>
      </c>
      <c r="BU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</row>
    <row r="279" spans="1:96" x14ac:dyDescent="0.25">
      <c r="A279">
        <v>278</v>
      </c>
      <c r="B279" t="s">
        <v>1152</v>
      </c>
      <c r="C279" t="s">
        <v>1153</v>
      </c>
      <c r="D279" t="s">
        <v>1154</v>
      </c>
      <c r="E279" t="s">
        <v>1155</v>
      </c>
      <c r="F279" t="s">
        <v>328</v>
      </c>
      <c r="G279">
        <v>4</v>
      </c>
      <c r="H279">
        <v>2</v>
      </c>
      <c r="I279">
        <v>1457</v>
      </c>
      <c r="J279">
        <v>0</v>
      </c>
      <c r="K279">
        <v>1</v>
      </c>
      <c r="L279">
        <v>3147.4</v>
      </c>
      <c r="M279">
        <v>4256.3999999999996</v>
      </c>
      <c r="N279">
        <v>13088.9</v>
      </c>
      <c r="O279">
        <v>631.79999999999995</v>
      </c>
      <c r="P279">
        <v>14760.8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6.1</v>
      </c>
      <c r="W279">
        <v>3</v>
      </c>
      <c r="X279">
        <v>6</v>
      </c>
      <c r="Y279">
        <v>0</v>
      </c>
      <c r="Z279">
        <v>0</v>
      </c>
      <c r="AA279">
        <v>0.1</v>
      </c>
      <c r="AB279">
        <v>0</v>
      </c>
      <c r="AC279">
        <v>1.4</v>
      </c>
      <c r="AD279">
        <v>2.9</v>
      </c>
      <c r="AE279">
        <v>1.7</v>
      </c>
      <c r="AF279">
        <v>0.1</v>
      </c>
      <c r="AG279">
        <v>0.70491803278688525</v>
      </c>
      <c r="AH279">
        <v>6.1</v>
      </c>
      <c r="AI279">
        <v>3</v>
      </c>
      <c r="AJ279">
        <v>6.0999999999999943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4.3000000000000007</v>
      </c>
      <c r="AQ279">
        <v>1.7</v>
      </c>
      <c r="AR279">
        <v>0.1</v>
      </c>
      <c r="AS279">
        <v>0.70491803278688525</v>
      </c>
      <c r="AT279">
        <v>6.1</v>
      </c>
      <c r="AU279">
        <v>0</v>
      </c>
      <c r="AV279">
        <v>0</v>
      </c>
      <c r="AW279">
        <v>6</v>
      </c>
      <c r="AX279">
        <v>0</v>
      </c>
      <c r="AY279">
        <v>1.6000000238418579</v>
      </c>
      <c r="AZ279">
        <v>2.2999999523162842</v>
      </c>
      <c r="BA279">
        <v>1.3999999761581421</v>
      </c>
      <c r="BB279">
        <v>0.69999998807907104</v>
      </c>
      <c r="BC279">
        <v>3.8999999761581421</v>
      </c>
      <c r="BD279">
        <v>2.0999999642372131</v>
      </c>
      <c r="BE279">
        <v>0.65000000248352685</v>
      </c>
      <c r="BF279">
        <v>0.34999999751647309</v>
      </c>
      <c r="BG279">
        <v>150</v>
      </c>
      <c r="BH279">
        <v>1.6000000238418579</v>
      </c>
      <c r="BI279">
        <v>2.2999999523162842</v>
      </c>
      <c r="BJ279">
        <v>1.3999999761581421</v>
      </c>
      <c r="BK279">
        <v>0.69999998807907104</v>
      </c>
      <c r="BL279">
        <v>1</v>
      </c>
      <c r="BM279">
        <v>1</v>
      </c>
      <c r="BN279">
        <v>2023</v>
      </c>
      <c r="BO279">
        <v>1</v>
      </c>
      <c r="BP279">
        <v>1</v>
      </c>
      <c r="BQ279">
        <v>1</v>
      </c>
      <c r="BR279">
        <v>2023</v>
      </c>
      <c r="BS279">
        <v>2</v>
      </c>
      <c r="BT279">
        <v>1</v>
      </c>
      <c r="BU279">
        <v>1</v>
      </c>
      <c r="BV279">
        <v>2023</v>
      </c>
      <c r="BW279">
        <v>3</v>
      </c>
      <c r="BX279">
        <v>0</v>
      </c>
      <c r="BY279">
        <v>0</v>
      </c>
      <c r="BZ279">
        <v>1</v>
      </c>
      <c r="CA279">
        <v>0</v>
      </c>
      <c r="CB279">
        <v>0</v>
      </c>
      <c r="CC279">
        <v>0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</row>
    <row r="280" spans="1:96" x14ac:dyDescent="0.25">
      <c r="A280">
        <v>279</v>
      </c>
      <c r="B280" t="s">
        <v>1156</v>
      </c>
      <c r="C280" t="s">
        <v>1157</v>
      </c>
      <c r="D280" t="s">
        <v>1158</v>
      </c>
      <c r="E280" t="s">
        <v>1159</v>
      </c>
      <c r="F280" t="s">
        <v>891</v>
      </c>
      <c r="G280">
        <v>3</v>
      </c>
      <c r="H280">
        <v>2</v>
      </c>
      <c r="I280">
        <v>2335</v>
      </c>
      <c r="J280">
        <v>1</v>
      </c>
      <c r="K280">
        <v>0</v>
      </c>
      <c r="L280">
        <v>1373.2</v>
      </c>
      <c r="M280">
        <v>527.79999999999995</v>
      </c>
      <c r="N280">
        <v>205.8</v>
      </c>
      <c r="O280">
        <v>442.7</v>
      </c>
      <c r="P280">
        <v>27441.8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1.04</v>
      </c>
      <c r="W280">
        <v>4</v>
      </c>
      <c r="X280">
        <v>1.04</v>
      </c>
      <c r="Y280">
        <v>0</v>
      </c>
      <c r="Z280">
        <v>0</v>
      </c>
      <c r="AA280">
        <v>0</v>
      </c>
      <c r="AB280">
        <v>0</v>
      </c>
      <c r="AC280">
        <v>1.04</v>
      </c>
      <c r="AD280">
        <v>0</v>
      </c>
      <c r="AE280">
        <v>0</v>
      </c>
      <c r="AF280">
        <v>0</v>
      </c>
      <c r="AG280">
        <v>1</v>
      </c>
      <c r="AH280">
        <v>1.04</v>
      </c>
      <c r="AI280">
        <v>4</v>
      </c>
      <c r="AJ280">
        <v>1.04</v>
      </c>
      <c r="AK280">
        <v>0</v>
      </c>
      <c r="AL280">
        <v>0</v>
      </c>
      <c r="AM280">
        <v>0</v>
      </c>
      <c r="AN280">
        <v>0</v>
      </c>
      <c r="AO280">
        <v>1.04</v>
      </c>
      <c r="AP280">
        <v>0</v>
      </c>
      <c r="AQ280">
        <v>0</v>
      </c>
      <c r="AR280">
        <v>0</v>
      </c>
      <c r="AS280">
        <v>1</v>
      </c>
      <c r="AT280">
        <v>1.04</v>
      </c>
      <c r="AU280">
        <v>0</v>
      </c>
      <c r="AV280">
        <v>0</v>
      </c>
      <c r="AW280">
        <v>1.0399999618530269</v>
      </c>
      <c r="AX280">
        <v>0</v>
      </c>
      <c r="AY280">
        <v>1.0399999618530269</v>
      </c>
      <c r="AZ280">
        <v>0</v>
      </c>
      <c r="BA280">
        <v>0</v>
      </c>
      <c r="BB280">
        <v>0</v>
      </c>
      <c r="BC280">
        <v>1.0399999618530269</v>
      </c>
      <c r="BD280">
        <v>0</v>
      </c>
      <c r="BE280">
        <v>1</v>
      </c>
      <c r="BF280">
        <v>0</v>
      </c>
      <c r="BG280">
        <v>150</v>
      </c>
      <c r="BH280">
        <v>1.0399999618530269</v>
      </c>
      <c r="BI280">
        <v>0</v>
      </c>
      <c r="BJ280">
        <v>0</v>
      </c>
      <c r="BK280">
        <v>0</v>
      </c>
      <c r="BL280">
        <v>1</v>
      </c>
      <c r="BM280">
        <v>1</v>
      </c>
      <c r="BN280">
        <v>2023</v>
      </c>
      <c r="BO280">
        <v>1</v>
      </c>
      <c r="BP280">
        <v>1</v>
      </c>
      <c r="BQ280">
        <v>1</v>
      </c>
      <c r="BR280">
        <v>2023</v>
      </c>
      <c r="BS280">
        <v>2</v>
      </c>
      <c r="BT280">
        <v>1</v>
      </c>
      <c r="BU280">
        <v>2</v>
      </c>
      <c r="BV280">
        <v>2025</v>
      </c>
      <c r="BW280">
        <v>1</v>
      </c>
      <c r="BX280">
        <v>0</v>
      </c>
      <c r="BY280">
        <v>0</v>
      </c>
      <c r="BZ280">
        <v>1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</row>
    <row r="281" spans="1:96" x14ac:dyDescent="0.25">
      <c r="A281">
        <v>280</v>
      </c>
      <c r="B281" t="s">
        <v>1160</v>
      </c>
      <c r="C281" t="s">
        <v>1161</v>
      </c>
      <c r="D281" t="s">
        <v>1162</v>
      </c>
      <c r="E281" t="s">
        <v>1163</v>
      </c>
      <c r="F281" t="s">
        <v>363</v>
      </c>
      <c r="G281">
        <v>3</v>
      </c>
      <c r="H281">
        <v>1</v>
      </c>
      <c r="I281">
        <v>1765</v>
      </c>
      <c r="J281">
        <v>0</v>
      </c>
      <c r="K281">
        <v>0</v>
      </c>
      <c r="L281">
        <v>828.6</v>
      </c>
      <c r="M281">
        <v>673.7</v>
      </c>
      <c r="N281">
        <v>2047.5</v>
      </c>
      <c r="O281">
        <v>228.2</v>
      </c>
      <c r="P281">
        <v>28660.6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0.73</v>
      </c>
      <c r="W281">
        <v>3</v>
      </c>
      <c r="X281">
        <v>0.73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0.4</v>
      </c>
      <c r="AF281">
        <v>0.33</v>
      </c>
      <c r="AG281">
        <v>0</v>
      </c>
      <c r="AH281">
        <v>0.73</v>
      </c>
      <c r="AI281">
        <v>3</v>
      </c>
      <c r="AJ281">
        <v>0.73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0.73</v>
      </c>
      <c r="AS281">
        <v>0</v>
      </c>
      <c r="AT281">
        <v>0.73</v>
      </c>
      <c r="AU281">
        <v>0</v>
      </c>
      <c r="AV281">
        <v>0</v>
      </c>
      <c r="AW281">
        <v>0.73000001907348633</v>
      </c>
      <c r="AX281">
        <v>0</v>
      </c>
      <c r="AY281">
        <v>0.73000001907348633</v>
      </c>
      <c r="AZ281">
        <v>0</v>
      </c>
      <c r="BA281">
        <v>0</v>
      </c>
      <c r="BB281">
        <v>0</v>
      </c>
      <c r="BC281">
        <v>0.73000001907348633</v>
      </c>
      <c r="BD281">
        <v>0</v>
      </c>
      <c r="BE281">
        <v>1</v>
      </c>
      <c r="BF281">
        <v>0</v>
      </c>
      <c r="BG281">
        <v>150</v>
      </c>
      <c r="BH281">
        <v>0.73000001907348633</v>
      </c>
      <c r="BI281">
        <v>0</v>
      </c>
      <c r="BJ281">
        <v>0</v>
      </c>
      <c r="BK281">
        <v>0</v>
      </c>
      <c r="BL281">
        <v>0</v>
      </c>
      <c r="BM281">
        <v>0</v>
      </c>
      <c r="BP281">
        <v>0</v>
      </c>
      <c r="BQ281">
        <v>0</v>
      </c>
      <c r="BT281">
        <v>1</v>
      </c>
      <c r="BU281">
        <v>1</v>
      </c>
      <c r="BV281">
        <v>2025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</row>
    <row r="282" spans="1:96" x14ac:dyDescent="0.25">
      <c r="A282">
        <v>281</v>
      </c>
      <c r="B282" t="s">
        <v>1164</v>
      </c>
      <c r="C282" t="s">
        <v>1165</v>
      </c>
      <c r="D282" t="s">
        <v>1166</v>
      </c>
      <c r="E282" t="s">
        <v>1167</v>
      </c>
      <c r="F282" t="s">
        <v>315</v>
      </c>
      <c r="G282">
        <v>1</v>
      </c>
      <c r="H282">
        <v>1</v>
      </c>
      <c r="I282">
        <v>2158</v>
      </c>
      <c r="J282">
        <v>0</v>
      </c>
      <c r="K282">
        <v>0</v>
      </c>
      <c r="L282">
        <v>3836.4</v>
      </c>
      <c r="M282">
        <v>948.9</v>
      </c>
      <c r="N282">
        <v>5055.3</v>
      </c>
      <c r="O282">
        <v>386.9</v>
      </c>
      <c r="P282">
        <v>31668.400000000001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0.31</v>
      </c>
      <c r="W282">
        <v>3</v>
      </c>
      <c r="X282">
        <v>0</v>
      </c>
      <c r="Y282">
        <v>0</v>
      </c>
      <c r="Z282">
        <v>0.31</v>
      </c>
      <c r="AA282">
        <v>0</v>
      </c>
      <c r="AB282">
        <v>0</v>
      </c>
      <c r="AC282">
        <v>0</v>
      </c>
      <c r="AD282">
        <v>0</v>
      </c>
      <c r="AE282">
        <v>0.31</v>
      </c>
      <c r="AF282">
        <v>0</v>
      </c>
      <c r="AG282">
        <v>0</v>
      </c>
      <c r="AH282">
        <v>0.31</v>
      </c>
      <c r="AI282">
        <v>3</v>
      </c>
      <c r="AJ282">
        <v>0</v>
      </c>
      <c r="AK282">
        <v>0</v>
      </c>
      <c r="AL282">
        <v>0.31000000000000011</v>
      </c>
      <c r="AM282">
        <v>0</v>
      </c>
      <c r="AN282">
        <v>0</v>
      </c>
      <c r="AO282">
        <v>0</v>
      </c>
      <c r="AP282">
        <v>0</v>
      </c>
      <c r="AQ282">
        <v>0.31000000000000011</v>
      </c>
      <c r="AR282">
        <v>0</v>
      </c>
      <c r="AS282">
        <v>0</v>
      </c>
      <c r="AT282">
        <v>0.31</v>
      </c>
      <c r="AU282">
        <v>0.31000000238418579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0.31000000238418579</v>
      </c>
      <c r="BB282">
        <v>0</v>
      </c>
      <c r="BC282">
        <v>0</v>
      </c>
      <c r="BD282">
        <v>0.31000000238418579</v>
      </c>
      <c r="BE282">
        <v>0</v>
      </c>
      <c r="BF282">
        <v>1</v>
      </c>
      <c r="BG282">
        <v>150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P282">
        <v>0</v>
      </c>
      <c r="BQ282">
        <v>0</v>
      </c>
      <c r="BT282">
        <v>0</v>
      </c>
      <c r="BU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1</v>
      </c>
      <c r="CR282">
        <v>0</v>
      </c>
    </row>
    <row r="283" spans="1:96" x14ac:dyDescent="0.25">
      <c r="A283">
        <v>282</v>
      </c>
      <c r="B283" t="s">
        <v>1168</v>
      </c>
      <c r="C283" t="s">
        <v>1169</v>
      </c>
      <c r="D283" t="s">
        <v>1170</v>
      </c>
      <c r="E283" t="s">
        <v>1171</v>
      </c>
      <c r="F283" t="s">
        <v>100</v>
      </c>
      <c r="G283">
        <v>2</v>
      </c>
      <c r="H283">
        <v>1</v>
      </c>
      <c r="I283">
        <v>954</v>
      </c>
      <c r="J283">
        <v>0</v>
      </c>
      <c r="K283">
        <v>1</v>
      </c>
      <c r="L283">
        <v>3489.3</v>
      </c>
      <c r="M283">
        <v>2635.6</v>
      </c>
      <c r="N283">
        <v>3848.4</v>
      </c>
      <c r="O283">
        <v>0</v>
      </c>
      <c r="P283">
        <v>3344.3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2.5099999999999998</v>
      </c>
      <c r="W283">
        <v>3.5</v>
      </c>
      <c r="X283">
        <v>2.5099999999999998</v>
      </c>
      <c r="Y283">
        <v>0</v>
      </c>
      <c r="Z283">
        <v>0</v>
      </c>
      <c r="AA283">
        <v>0</v>
      </c>
      <c r="AB283">
        <v>0</v>
      </c>
      <c r="AC283">
        <v>2.5099999999999998</v>
      </c>
      <c r="AD283">
        <v>0</v>
      </c>
      <c r="AE283">
        <v>0</v>
      </c>
      <c r="AF283">
        <v>0</v>
      </c>
      <c r="AG283">
        <v>1</v>
      </c>
      <c r="AH283">
        <v>2.5099999999999998</v>
      </c>
      <c r="AI283">
        <v>3.5</v>
      </c>
      <c r="AJ283">
        <v>2.5100000000000011</v>
      </c>
      <c r="AK283">
        <v>0</v>
      </c>
      <c r="AL283">
        <v>0</v>
      </c>
      <c r="AM283">
        <v>0</v>
      </c>
      <c r="AN283">
        <v>0</v>
      </c>
      <c r="AO283">
        <v>0.6</v>
      </c>
      <c r="AP283">
        <v>1.71</v>
      </c>
      <c r="AQ283">
        <v>0.2</v>
      </c>
      <c r="AR283">
        <v>0</v>
      </c>
      <c r="AS283">
        <v>0.92031872509960155</v>
      </c>
      <c r="AT283">
        <v>2.5099999999999998</v>
      </c>
      <c r="AU283">
        <v>0</v>
      </c>
      <c r="AV283">
        <v>0</v>
      </c>
      <c r="AW283">
        <v>2.5099999904632568</v>
      </c>
      <c r="AX283">
        <v>0</v>
      </c>
      <c r="AY283">
        <v>0.60000002384185791</v>
      </c>
      <c r="AZ283">
        <v>1.7100000381469731</v>
      </c>
      <c r="BA283">
        <v>0.20000000298023221</v>
      </c>
      <c r="BB283">
        <v>0</v>
      </c>
      <c r="BC283">
        <v>2.310000061988831</v>
      </c>
      <c r="BD283">
        <v>0.20000000298023221</v>
      </c>
      <c r="BE283">
        <v>0.9203187259747353</v>
      </c>
      <c r="BF283">
        <v>7.9681274025264759E-2</v>
      </c>
      <c r="BG283">
        <v>150</v>
      </c>
      <c r="BH283">
        <v>0.60000002384185791</v>
      </c>
      <c r="BI283">
        <v>1.7100000381469731</v>
      </c>
      <c r="BJ283">
        <v>0.20000000298023221</v>
      </c>
      <c r="BK283">
        <v>0</v>
      </c>
      <c r="BL283">
        <v>1</v>
      </c>
      <c r="BM283">
        <v>2</v>
      </c>
      <c r="BN283">
        <v>2022</v>
      </c>
      <c r="BO283">
        <v>2</v>
      </c>
      <c r="BP283">
        <v>1</v>
      </c>
      <c r="BQ283">
        <v>2</v>
      </c>
      <c r="BR283">
        <v>2022</v>
      </c>
      <c r="BS283">
        <v>3</v>
      </c>
      <c r="BT283">
        <v>1</v>
      </c>
      <c r="BU283">
        <v>2</v>
      </c>
      <c r="BV283">
        <v>2022</v>
      </c>
      <c r="BW283">
        <v>4</v>
      </c>
      <c r="BX283">
        <v>1</v>
      </c>
      <c r="BY283">
        <v>1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</row>
    <row r="284" spans="1:96" x14ac:dyDescent="0.25">
      <c r="A284">
        <v>283</v>
      </c>
      <c r="B284" t="s">
        <v>1172</v>
      </c>
      <c r="C284" t="s">
        <v>1173</v>
      </c>
      <c r="D284" t="s">
        <v>1174</v>
      </c>
      <c r="E284" t="s">
        <v>1175</v>
      </c>
      <c r="F284" t="s">
        <v>132</v>
      </c>
      <c r="G284">
        <v>1</v>
      </c>
      <c r="H284">
        <v>1</v>
      </c>
      <c r="I284">
        <v>574</v>
      </c>
      <c r="J284">
        <v>0</v>
      </c>
      <c r="K284">
        <v>0</v>
      </c>
      <c r="L284">
        <v>8528.7000000000007</v>
      </c>
      <c r="M284">
        <v>3060.9</v>
      </c>
      <c r="N284">
        <v>16607.400000000001</v>
      </c>
      <c r="O284">
        <v>590.6</v>
      </c>
      <c r="P284">
        <v>15006.1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0.95</v>
      </c>
      <c r="W284">
        <v>3.5</v>
      </c>
      <c r="X284">
        <v>0</v>
      </c>
      <c r="Y284">
        <v>0</v>
      </c>
      <c r="Z284">
        <v>0</v>
      </c>
      <c r="AA284">
        <v>0.95</v>
      </c>
      <c r="AB284">
        <v>0</v>
      </c>
      <c r="AC284">
        <v>0</v>
      </c>
      <c r="AD284">
        <v>0</v>
      </c>
      <c r="AE284">
        <v>0</v>
      </c>
      <c r="AF284">
        <v>0.95</v>
      </c>
      <c r="AG284">
        <v>0</v>
      </c>
      <c r="AH284">
        <v>0.95</v>
      </c>
      <c r="AI284">
        <v>3.5</v>
      </c>
      <c r="AJ284">
        <v>0</v>
      </c>
      <c r="AK284">
        <v>0</v>
      </c>
      <c r="AL284">
        <v>0</v>
      </c>
      <c r="AM284">
        <v>0.95</v>
      </c>
      <c r="AN284">
        <v>0</v>
      </c>
      <c r="AO284">
        <v>0</v>
      </c>
      <c r="AP284">
        <v>0</v>
      </c>
      <c r="AQ284">
        <v>0</v>
      </c>
      <c r="AR284">
        <v>0.95</v>
      </c>
      <c r="AS284">
        <v>0</v>
      </c>
      <c r="AT284">
        <v>0.95</v>
      </c>
      <c r="AU284">
        <v>0.89999997615814209</v>
      </c>
      <c r="AV284">
        <v>0</v>
      </c>
      <c r="AW284">
        <v>0</v>
      </c>
      <c r="AX284">
        <v>0</v>
      </c>
      <c r="AY284">
        <v>0</v>
      </c>
      <c r="AZ284">
        <v>0.89999997615814209</v>
      </c>
      <c r="BA284">
        <v>0</v>
      </c>
      <c r="BB284">
        <v>0</v>
      </c>
      <c r="BC284">
        <v>0.89999997615814209</v>
      </c>
      <c r="BD284">
        <v>0</v>
      </c>
      <c r="BE284">
        <v>1</v>
      </c>
      <c r="BF284">
        <v>0</v>
      </c>
      <c r="BG284">
        <v>150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P284">
        <v>0</v>
      </c>
      <c r="BQ284">
        <v>0</v>
      </c>
      <c r="BT284">
        <v>0</v>
      </c>
      <c r="BU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</row>
    <row r="285" spans="1:96" x14ac:dyDescent="0.25">
      <c r="A285">
        <v>284</v>
      </c>
      <c r="B285" t="s">
        <v>1176</v>
      </c>
      <c r="C285" t="s">
        <v>1177</v>
      </c>
      <c r="D285" t="s">
        <v>1178</v>
      </c>
      <c r="E285" t="s">
        <v>1179</v>
      </c>
      <c r="F285" t="s">
        <v>105</v>
      </c>
      <c r="G285">
        <v>2</v>
      </c>
      <c r="H285">
        <v>1</v>
      </c>
      <c r="I285">
        <v>1411</v>
      </c>
      <c r="J285">
        <v>0</v>
      </c>
      <c r="K285">
        <v>0</v>
      </c>
      <c r="L285">
        <v>1392.3</v>
      </c>
      <c r="M285">
        <v>2513.8000000000002</v>
      </c>
      <c r="N285">
        <v>5096.1000000000004</v>
      </c>
      <c r="O285">
        <v>1073.2</v>
      </c>
      <c r="P285">
        <v>6494.7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1.32</v>
      </c>
      <c r="W285">
        <v>3.5</v>
      </c>
      <c r="X285">
        <v>1.32</v>
      </c>
      <c r="Y285">
        <v>0</v>
      </c>
      <c r="Z285">
        <v>0</v>
      </c>
      <c r="AA285">
        <v>0</v>
      </c>
      <c r="AB285">
        <v>0</v>
      </c>
      <c r="AC285">
        <v>1.32</v>
      </c>
      <c r="AD285">
        <v>0</v>
      </c>
      <c r="AE285">
        <v>0</v>
      </c>
      <c r="AF285">
        <v>0</v>
      </c>
      <c r="AG285">
        <v>1</v>
      </c>
      <c r="AH285">
        <v>1.32</v>
      </c>
      <c r="AI285">
        <v>3.5</v>
      </c>
      <c r="AJ285">
        <v>1.32</v>
      </c>
      <c r="AK285">
        <v>0</v>
      </c>
      <c r="AL285">
        <v>0</v>
      </c>
      <c r="AM285">
        <v>0</v>
      </c>
      <c r="AN285">
        <v>0</v>
      </c>
      <c r="AO285">
        <v>1.32</v>
      </c>
      <c r="AP285">
        <v>0</v>
      </c>
      <c r="AQ285">
        <v>0</v>
      </c>
      <c r="AR285">
        <v>0</v>
      </c>
      <c r="AS285">
        <v>1</v>
      </c>
      <c r="AT285">
        <v>1.32</v>
      </c>
      <c r="AU285">
        <v>0</v>
      </c>
      <c r="AV285">
        <v>0</v>
      </c>
      <c r="AW285">
        <v>1.320000052452087</v>
      </c>
      <c r="AX285">
        <v>0</v>
      </c>
      <c r="AY285">
        <v>1.320000052452087</v>
      </c>
      <c r="AZ285">
        <v>0</v>
      </c>
      <c r="BA285">
        <v>0</v>
      </c>
      <c r="BB285">
        <v>0</v>
      </c>
      <c r="BC285">
        <v>1.320000052452087</v>
      </c>
      <c r="BD285">
        <v>0</v>
      </c>
      <c r="BE285">
        <v>1</v>
      </c>
      <c r="BF285">
        <v>0</v>
      </c>
      <c r="BG285">
        <v>150</v>
      </c>
      <c r="BH285">
        <v>1.320000052452087</v>
      </c>
      <c r="BI285">
        <v>0</v>
      </c>
      <c r="BJ285">
        <v>0</v>
      </c>
      <c r="BK285">
        <v>0</v>
      </c>
      <c r="BL285">
        <v>0</v>
      </c>
      <c r="BM285">
        <v>0</v>
      </c>
      <c r="BP285">
        <v>0</v>
      </c>
      <c r="BQ285">
        <v>0</v>
      </c>
      <c r="BT285">
        <v>0</v>
      </c>
      <c r="BU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25">
      <c r="A286">
        <v>285</v>
      </c>
      <c r="B286" t="s">
        <v>1180</v>
      </c>
      <c r="C286" t="s">
        <v>1181</v>
      </c>
      <c r="D286" t="s">
        <v>1182</v>
      </c>
      <c r="E286" t="s">
        <v>555</v>
      </c>
      <c r="F286" t="s">
        <v>105</v>
      </c>
      <c r="G286">
        <v>1</v>
      </c>
      <c r="H286">
        <v>1</v>
      </c>
      <c r="I286">
        <v>729</v>
      </c>
      <c r="J286">
        <v>0</v>
      </c>
      <c r="K286">
        <v>0</v>
      </c>
      <c r="L286">
        <v>957.5</v>
      </c>
      <c r="M286">
        <v>2079</v>
      </c>
      <c r="N286">
        <v>5530.9</v>
      </c>
      <c r="O286">
        <v>638.4</v>
      </c>
      <c r="P286">
        <v>6929.5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0.39</v>
      </c>
      <c r="W286">
        <v>3</v>
      </c>
      <c r="X286">
        <v>0.39</v>
      </c>
      <c r="Y286">
        <v>0</v>
      </c>
      <c r="Z286">
        <v>0</v>
      </c>
      <c r="AA286">
        <v>0</v>
      </c>
      <c r="AB286">
        <v>0</v>
      </c>
      <c r="AC286">
        <v>0.39</v>
      </c>
      <c r="AD286">
        <v>0</v>
      </c>
      <c r="AE286">
        <v>0</v>
      </c>
      <c r="AF286">
        <v>0</v>
      </c>
      <c r="AG286">
        <v>1</v>
      </c>
      <c r="AH286">
        <v>0.39</v>
      </c>
      <c r="AI286">
        <v>3</v>
      </c>
      <c r="AJ286">
        <v>0.39</v>
      </c>
      <c r="AK286">
        <v>0</v>
      </c>
      <c r="AL286">
        <v>0</v>
      </c>
      <c r="AM286">
        <v>0</v>
      </c>
      <c r="AN286">
        <v>0</v>
      </c>
      <c r="AO286">
        <v>0.39</v>
      </c>
      <c r="AP286">
        <v>0</v>
      </c>
      <c r="AQ286">
        <v>0</v>
      </c>
      <c r="AR286">
        <v>0</v>
      </c>
      <c r="AS286">
        <v>1</v>
      </c>
      <c r="AT286">
        <v>0.39</v>
      </c>
      <c r="AU286">
        <v>0</v>
      </c>
      <c r="AV286">
        <v>0</v>
      </c>
      <c r="AW286">
        <v>0.38999998569488531</v>
      </c>
      <c r="AX286">
        <v>0</v>
      </c>
      <c r="AY286">
        <v>0.28999999165534968</v>
      </c>
      <c r="AZ286">
        <v>0.10000000149011611</v>
      </c>
      <c r="BA286">
        <v>0</v>
      </c>
      <c r="BB286">
        <v>0</v>
      </c>
      <c r="BC286">
        <v>0.38999999314546591</v>
      </c>
      <c r="BD286">
        <v>0</v>
      </c>
      <c r="BE286">
        <v>1</v>
      </c>
      <c r="BF286">
        <v>0</v>
      </c>
      <c r="BG286">
        <v>150</v>
      </c>
      <c r="BH286">
        <v>0.28999999165534968</v>
      </c>
      <c r="BI286">
        <v>0.10000000149011611</v>
      </c>
      <c r="BJ286">
        <v>0</v>
      </c>
      <c r="BK286">
        <v>0</v>
      </c>
      <c r="BL286">
        <v>0</v>
      </c>
      <c r="BM286">
        <v>0</v>
      </c>
      <c r="BP286">
        <v>0</v>
      </c>
      <c r="BQ286">
        <v>0</v>
      </c>
      <c r="BT286">
        <v>0</v>
      </c>
      <c r="BU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25">
      <c r="A287">
        <v>286</v>
      </c>
      <c r="B287" t="s">
        <v>1183</v>
      </c>
      <c r="C287" t="s">
        <v>1184</v>
      </c>
      <c r="D287" t="s">
        <v>1185</v>
      </c>
      <c r="E287" t="s">
        <v>405</v>
      </c>
      <c r="F287" t="s">
        <v>100</v>
      </c>
      <c r="G287">
        <v>2</v>
      </c>
      <c r="H287">
        <v>1</v>
      </c>
      <c r="I287">
        <v>1503</v>
      </c>
      <c r="J287">
        <v>0</v>
      </c>
      <c r="K287">
        <v>0</v>
      </c>
      <c r="L287">
        <v>5226.3999999999996</v>
      </c>
      <c r="M287">
        <v>4588.2</v>
      </c>
      <c r="N287">
        <v>6241.6</v>
      </c>
      <c r="O287">
        <v>1052.7</v>
      </c>
      <c r="P287">
        <v>4908.1000000000004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1.96</v>
      </c>
      <c r="W287">
        <v>3</v>
      </c>
      <c r="X287">
        <v>1.96</v>
      </c>
      <c r="Y287">
        <v>0</v>
      </c>
      <c r="Z287">
        <v>0</v>
      </c>
      <c r="AA287">
        <v>0</v>
      </c>
      <c r="AB287">
        <v>0</v>
      </c>
      <c r="AC287">
        <v>1.96</v>
      </c>
      <c r="AD287">
        <v>0</v>
      </c>
      <c r="AE287">
        <v>0</v>
      </c>
      <c r="AF287">
        <v>0</v>
      </c>
      <c r="AG287">
        <v>1</v>
      </c>
      <c r="AH287">
        <v>1.96</v>
      </c>
      <c r="AI287">
        <v>3</v>
      </c>
      <c r="AJ287">
        <v>1.9600000000000011</v>
      </c>
      <c r="AK287">
        <v>0</v>
      </c>
      <c r="AL287">
        <v>0</v>
      </c>
      <c r="AM287">
        <v>0</v>
      </c>
      <c r="AN287">
        <v>0</v>
      </c>
      <c r="AO287">
        <v>0.6</v>
      </c>
      <c r="AP287">
        <v>1.36</v>
      </c>
      <c r="AQ287">
        <v>0</v>
      </c>
      <c r="AR287">
        <v>0</v>
      </c>
      <c r="AS287">
        <v>1</v>
      </c>
      <c r="AT287">
        <v>1.96</v>
      </c>
      <c r="AU287">
        <v>0</v>
      </c>
      <c r="AV287">
        <v>0</v>
      </c>
      <c r="AW287">
        <v>1.9600000381469731</v>
      </c>
      <c r="AX287">
        <v>0</v>
      </c>
      <c r="AY287">
        <v>0</v>
      </c>
      <c r="AZ287">
        <v>1.9600000381469731</v>
      </c>
      <c r="BA287">
        <v>0</v>
      </c>
      <c r="BB287">
        <v>0</v>
      </c>
      <c r="BC287">
        <v>1.9600000381469731</v>
      </c>
      <c r="BD287">
        <v>0</v>
      </c>
      <c r="BE287">
        <v>1</v>
      </c>
      <c r="BF287">
        <v>0</v>
      </c>
      <c r="BG287">
        <v>150</v>
      </c>
      <c r="BH287">
        <v>0</v>
      </c>
      <c r="BI287">
        <v>1.9600000381469731</v>
      </c>
      <c r="BJ287">
        <v>0</v>
      </c>
      <c r="BK287">
        <v>0</v>
      </c>
      <c r="BL287">
        <v>1</v>
      </c>
      <c r="BM287">
        <v>3</v>
      </c>
      <c r="BN287">
        <v>2023</v>
      </c>
      <c r="BO287">
        <v>1</v>
      </c>
      <c r="BP287">
        <v>1</v>
      </c>
      <c r="BQ287">
        <v>3</v>
      </c>
      <c r="BR287">
        <v>2023</v>
      </c>
      <c r="BS287">
        <v>2</v>
      </c>
      <c r="BT287">
        <v>1</v>
      </c>
      <c r="BU287">
        <v>3</v>
      </c>
      <c r="BV287">
        <v>2023</v>
      </c>
      <c r="BW287">
        <v>3</v>
      </c>
      <c r="BX287">
        <v>1</v>
      </c>
      <c r="BY287">
        <v>1</v>
      </c>
      <c r="BZ287">
        <v>1</v>
      </c>
      <c r="CA287">
        <v>0</v>
      </c>
      <c r="CB287">
        <v>0</v>
      </c>
      <c r="CC287">
        <v>1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</row>
    <row r="288" spans="1:96" x14ac:dyDescent="0.25">
      <c r="A288">
        <v>287</v>
      </c>
      <c r="B288" t="s">
        <v>1186</v>
      </c>
      <c r="C288" t="s">
        <v>1187</v>
      </c>
      <c r="D288" t="s">
        <v>1188</v>
      </c>
      <c r="E288" t="s">
        <v>1189</v>
      </c>
      <c r="F288" t="s">
        <v>149</v>
      </c>
      <c r="G288">
        <v>2</v>
      </c>
      <c r="H288">
        <v>1</v>
      </c>
      <c r="I288">
        <v>1359</v>
      </c>
      <c r="J288">
        <v>0</v>
      </c>
      <c r="K288">
        <v>0</v>
      </c>
      <c r="L288">
        <v>3360.1</v>
      </c>
      <c r="M288">
        <v>2769.1</v>
      </c>
      <c r="N288">
        <v>8060.7</v>
      </c>
      <c r="O288">
        <v>1772.2</v>
      </c>
      <c r="P288">
        <v>6197.8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2.95</v>
      </c>
      <c r="W288">
        <v>3.5</v>
      </c>
      <c r="X288">
        <v>2.95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1.1499999999999999</v>
      </c>
      <c r="AE288">
        <v>1.6</v>
      </c>
      <c r="AF288">
        <v>0.2</v>
      </c>
      <c r="AG288">
        <v>0.38983050847457618</v>
      </c>
      <c r="AH288">
        <v>2.95</v>
      </c>
      <c r="AI288">
        <v>3.5</v>
      </c>
      <c r="AJ288">
        <v>2.9500000000000011</v>
      </c>
      <c r="AK288">
        <v>0</v>
      </c>
      <c r="AL288">
        <v>0</v>
      </c>
      <c r="AM288">
        <v>0</v>
      </c>
      <c r="AN288">
        <v>0</v>
      </c>
      <c r="AO288">
        <v>0.35</v>
      </c>
      <c r="AP288">
        <v>0.79999999999999993</v>
      </c>
      <c r="AQ288">
        <v>1.6</v>
      </c>
      <c r="AR288">
        <v>0.2</v>
      </c>
      <c r="AS288">
        <v>0.38983050847457618</v>
      </c>
      <c r="AT288">
        <v>2.95</v>
      </c>
      <c r="AU288">
        <v>0</v>
      </c>
      <c r="AV288">
        <v>0</v>
      </c>
      <c r="AW288">
        <v>2.9500000476837158</v>
      </c>
      <c r="AX288">
        <v>0</v>
      </c>
      <c r="AY288">
        <v>0</v>
      </c>
      <c r="AZ288">
        <v>1.049999952316284</v>
      </c>
      <c r="BA288">
        <v>1.6000000238418579</v>
      </c>
      <c r="BB288">
        <v>0.30000001192092901</v>
      </c>
      <c r="BC288">
        <v>1.049999952316284</v>
      </c>
      <c r="BD288">
        <v>1.9000000357627871</v>
      </c>
      <c r="BE288">
        <v>0.35593218866417847</v>
      </c>
      <c r="BF288">
        <v>0.64406781133582147</v>
      </c>
      <c r="BG288">
        <v>150</v>
      </c>
      <c r="BH288">
        <v>0</v>
      </c>
      <c r="BI288">
        <v>1.049999952316284</v>
      </c>
      <c r="BJ288">
        <v>1.6000000238418579</v>
      </c>
      <c r="BK288">
        <v>0.30000001192092901</v>
      </c>
      <c r="BL288">
        <v>0</v>
      </c>
      <c r="BM288">
        <v>0</v>
      </c>
      <c r="BP288">
        <v>0</v>
      </c>
      <c r="BQ288">
        <v>0</v>
      </c>
      <c r="BT288">
        <v>0</v>
      </c>
      <c r="BU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</row>
    <row r="289" spans="1:96" x14ac:dyDescent="0.25">
      <c r="A289">
        <v>288</v>
      </c>
      <c r="B289" t="s">
        <v>1190</v>
      </c>
      <c r="C289" t="s">
        <v>1191</v>
      </c>
      <c r="D289" t="s">
        <v>1192</v>
      </c>
      <c r="E289" t="s">
        <v>1193</v>
      </c>
      <c r="F289" t="s">
        <v>127</v>
      </c>
      <c r="G289">
        <v>1</v>
      </c>
      <c r="H289">
        <v>1</v>
      </c>
      <c r="I289">
        <v>565</v>
      </c>
      <c r="J289">
        <v>0</v>
      </c>
      <c r="K289">
        <v>0</v>
      </c>
      <c r="L289">
        <v>8386.2999999999993</v>
      </c>
      <c r="M289">
        <v>6269.2</v>
      </c>
      <c r="N289">
        <v>10658.9</v>
      </c>
      <c r="O289">
        <v>335.2</v>
      </c>
      <c r="P289">
        <v>12330.7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0.47</v>
      </c>
      <c r="W289">
        <v>3</v>
      </c>
      <c r="X289">
        <v>0.47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0.47</v>
      </c>
      <c r="AE289">
        <v>0</v>
      </c>
      <c r="AF289">
        <v>0</v>
      </c>
      <c r="AG289">
        <v>1</v>
      </c>
      <c r="AH289">
        <v>0.47</v>
      </c>
      <c r="AI289">
        <v>3</v>
      </c>
      <c r="AJ289">
        <v>0.47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0.47</v>
      </c>
      <c r="AQ289">
        <v>0</v>
      </c>
      <c r="AR289">
        <v>0</v>
      </c>
      <c r="AS289">
        <v>1</v>
      </c>
      <c r="AT289">
        <v>0.47</v>
      </c>
      <c r="AU289">
        <v>0</v>
      </c>
      <c r="AV289">
        <v>0</v>
      </c>
      <c r="AW289">
        <v>0.4699999988079071</v>
      </c>
      <c r="AX289">
        <v>0</v>
      </c>
      <c r="AY289">
        <v>0</v>
      </c>
      <c r="AZ289">
        <v>0.4699999988079071</v>
      </c>
      <c r="BA289">
        <v>0</v>
      </c>
      <c r="BB289">
        <v>0</v>
      </c>
      <c r="BC289">
        <v>0.4699999988079071</v>
      </c>
      <c r="BD289">
        <v>0</v>
      </c>
      <c r="BE289">
        <v>1</v>
      </c>
      <c r="BF289">
        <v>0</v>
      </c>
      <c r="BG289">
        <v>150</v>
      </c>
      <c r="BH289">
        <v>0</v>
      </c>
      <c r="BI289">
        <v>0.4699999988079071</v>
      </c>
      <c r="BJ289">
        <v>0</v>
      </c>
      <c r="BK289">
        <v>0</v>
      </c>
      <c r="BL289">
        <v>0</v>
      </c>
      <c r="BM289">
        <v>0</v>
      </c>
      <c r="BP289">
        <v>0</v>
      </c>
      <c r="BQ289">
        <v>0</v>
      </c>
      <c r="BT289">
        <v>0</v>
      </c>
      <c r="BU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</row>
    <row r="290" spans="1:96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1197</v>
      </c>
      <c r="F290" t="s">
        <v>176</v>
      </c>
      <c r="G290">
        <v>1</v>
      </c>
      <c r="H290">
        <v>1</v>
      </c>
      <c r="I290">
        <v>495</v>
      </c>
      <c r="J290">
        <v>0</v>
      </c>
      <c r="K290">
        <v>0</v>
      </c>
      <c r="L290">
        <v>5634</v>
      </c>
      <c r="M290">
        <v>2753.5</v>
      </c>
      <c r="N290">
        <v>5419.8</v>
      </c>
      <c r="O290">
        <v>727.9</v>
      </c>
      <c r="P290">
        <v>6901.8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0.73</v>
      </c>
      <c r="W290">
        <v>3</v>
      </c>
      <c r="X290">
        <v>0</v>
      </c>
      <c r="Y290">
        <v>0</v>
      </c>
      <c r="Z290">
        <v>0</v>
      </c>
      <c r="AA290">
        <v>0.73</v>
      </c>
      <c r="AB290">
        <v>0</v>
      </c>
      <c r="AC290">
        <v>0</v>
      </c>
      <c r="AD290">
        <v>0</v>
      </c>
      <c r="AE290">
        <v>0</v>
      </c>
      <c r="AF290">
        <v>0.73</v>
      </c>
      <c r="AG290">
        <v>0</v>
      </c>
      <c r="AH290">
        <v>0.73</v>
      </c>
      <c r="AI290">
        <v>3</v>
      </c>
      <c r="AJ290">
        <v>0</v>
      </c>
      <c r="AK290">
        <v>0</v>
      </c>
      <c r="AL290">
        <v>0</v>
      </c>
      <c r="AM290">
        <v>0.73</v>
      </c>
      <c r="AN290">
        <v>0</v>
      </c>
      <c r="AO290">
        <v>0</v>
      </c>
      <c r="AP290">
        <v>0</v>
      </c>
      <c r="AQ290">
        <v>0</v>
      </c>
      <c r="AR290">
        <v>0.73</v>
      </c>
      <c r="AS290">
        <v>0</v>
      </c>
      <c r="AT290">
        <v>0.73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150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2</v>
      </c>
      <c r="BN290">
        <v>2023</v>
      </c>
      <c r="BO290">
        <v>1</v>
      </c>
      <c r="BP290">
        <v>1</v>
      </c>
      <c r="BQ290">
        <v>2</v>
      </c>
      <c r="BR290">
        <v>2023</v>
      </c>
      <c r="BS290">
        <v>2</v>
      </c>
      <c r="BT290">
        <v>1</v>
      </c>
      <c r="BU290">
        <v>2</v>
      </c>
      <c r="BV290">
        <v>2023</v>
      </c>
      <c r="BW290">
        <v>3</v>
      </c>
      <c r="BX290">
        <v>0</v>
      </c>
      <c r="BY290">
        <v>1</v>
      </c>
      <c r="BZ290">
        <v>1</v>
      </c>
      <c r="CA290">
        <v>0</v>
      </c>
      <c r="CB290">
        <v>0</v>
      </c>
      <c r="CC290">
        <v>0</v>
      </c>
      <c r="CD290">
        <v>1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</row>
    <row r="291" spans="1:96" x14ac:dyDescent="0.25">
      <c r="A291">
        <v>290</v>
      </c>
      <c r="B291" t="s">
        <v>1198</v>
      </c>
      <c r="C291" t="s">
        <v>1199</v>
      </c>
      <c r="D291" t="s">
        <v>1200</v>
      </c>
      <c r="E291" t="s">
        <v>1201</v>
      </c>
      <c r="F291" t="s">
        <v>118</v>
      </c>
      <c r="G291">
        <v>4</v>
      </c>
      <c r="H291">
        <v>2</v>
      </c>
      <c r="I291">
        <v>2401</v>
      </c>
      <c r="J291">
        <v>0</v>
      </c>
      <c r="K291">
        <v>1</v>
      </c>
      <c r="L291">
        <v>6314.2</v>
      </c>
      <c r="M291">
        <v>3852.2</v>
      </c>
      <c r="N291">
        <v>7167.9</v>
      </c>
      <c r="O291">
        <v>121</v>
      </c>
      <c r="P291">
        <v>6663.9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5.85</v>
      </c>
      <c r="W291">
        <v>3</v>
      </c>
      <c r="X291">
        <v>5.35</v>
      </c>
      <c r="Y291">
        <v>0</v>
      </c>
      <c r="Z291">
        <v>0</v>
      </c>
      <c r="AA291">
        <v>0.5</v>
      </c>
      <c r="AB291">
        <v>0</v>
      </c>
      <c r="AC291">
        <v>3.8</v>
      </c>
      <c r="AD291">
        <v>0.7</v>
      </c>
      <c r="AE291">
        <v>0.85</v>
      </c>
      <c r="AF291">
        <v>0.5</v>
      </c>
      <c r="AG291">
        <v>0.76923076923076927</v>
      </c>
      <c r="AH291">
        <v>5.85</v>
      </c>
      <c r="AI291">
        <v>3</v>
      </c>
      <c r="AJ291">
        <v>5.349999999999997</v>
      </c>
      <c r="AK291">
        <v>0</v>
      </c>
      <c r="AL291">
        <v>0</v>
      </c>
      <c r="AM291">
        <v>0.5</v>
      </c>
      <c r="AN291">
        <v>0</v>
      </c>
      <c r="AO291">
        <v>0</v>
      </c>
      <c r="AP291">
        <v>4.0000000000000018</v>
      </c>
      <c r="AQ291">
        <v>0.85</v>
      </c>
      <c r="AR291">
        <v>0.99999999999999989</v>
      </c>
      <c r="AS291">
        <v>0.68376068376068388</v>
      </c>
      <c r="AT291">
        <v>5.85</v>
      </c>
      <c r="AU291">
        <v>0</v>
      </c>
      <c r="AV291">
        <v>0</v>
      </c>
      <c r="AW291">
        <v>5.0500001907348633</v>
      </c>
      <c r="AX291">
        <v>0</v>
      </c>
      <c r="AY291">
        <v>0</v>
      </c>
      <c r="AZ291">
        <v>1.3999999761581421</v>
      </c>
      <c r="BA291">
        <v>2.2999999523162842</v>
      </c>
      <c r="BB291">
        <v>1.3500000238418579</v>
      </c>
      <c r="BC291">
        <v>1.3999999761581421</v>
      </c>
      <c r="BD291">
        <v>3.6499999761581421</v>
      </c>
      <c r="BE291">
        <v>0.27722772066879009</v>
      </c>
      <c r="BF291">
        <v>0.72277227933120991</v>
      </c>
      <c r="BG291">
        <v>150</v>
      </c>
      <c r="BH291">
        <v>0</v>
      </c>
      <c r="BI291">
        <v>1.3999999761581421</v>
      </c>
      <c r="BJ291">
        <v>2.2999999523162842</v>
      </c>
      <c r="BK291">
        <v>1.3500000238418579</v>
      </c>
      <c r="BL291">
        <v>1</v>
      </c>
      <c r="BM291">
        <v>1</v>
      </c>
      <c r="BN291">
        <v>2021</v>
      </c>
      <c r="BO291">
        <v>3</v>
      </c>
      <c r="BP291">
        <v>1</v>
      </c>
      <c r="BQ291">
        <v>1</v>
      </c>
      <c r="BR291">
        <v>2021</v>
      </c>
      <c r="BS291">
        <v>4</v>
      </c>
      <c r="BT291">
        <v>1</v>
      </c>
      <c r="BU291">
        <v>1</v>
      </c>
      <c r="BV291">
        <v>2021</v>
      </c>
      <c r="BW291">
        <v>5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96" x14ac:dyDescent="0.25">
      <c r="A292">
        <v>291</v>
      </c>
      <c r="B292" t="s">
        <v>1202</v>
      </c>
      <c r="C292" t="s">
        <v>1203</v>
      </c>
      <c r="D292" t="s">
        <v>1204</v>
      </c>
      <c r="E292" t="s">
        <v>1205</v>
      </c>
      <c r="F292" t="s">
        <v>105</v>
      </c>
      <c r="G292">
        <v>1</v>
      </c>
      <c r="H292">
        <v>1</v>
      </c>
      <c r="I292">
        <v>492</v>
      </c>
      <c r="J292">
        <v>0</v>
      </c>
      <c r="K292">
        <v>1</v>
      </c>
      <c r="L292">
        <v>3865.4</v>
      </c>
      <c r="M292">
        <v>1123.7</v>
      </c>
      <c r="N292">
        <v>3945.7</v>
      </c>
      <c r="O292">
        <v>891.5</v>
      </c>
      <c r="P292">
        <v>4159.1000000000004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0.84</v>
      </c>
      <c r="W292">
        <v>3</v>
      </c>
      <c r="X292">
        <v>0.84</v>
      </c>
      <c r="Y292">
        <v>0</v>
      </c>
      <c r="Z292">
        <v>0</v>
      </c>
      <c r="AA292">
        <v>0</v>
      </c>
      <c r="AB292">
        <v>0</v>
      </c>
      <c r="AC292">
        <v>0.4</v>
      </c>
      <c r="AD292">
        <v>0.44</v>
      </c>
      <c r="AE292">
        <v>0</v>
      </c>
      <c r="AF292">
        <v>0</v>
      </c>
      <c r="AG292">
        <v>1</v>
      </c>
      <c r="AH292">
        <v>0.84</v>
      </c>
      <c r="AI292">
        <v>3</v>
      </c>
      <c r="AJ292">
        <v>0.84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0.84</v>
      </c>
      <c r="AQ292">
        <v>0</v>
      </c>
      <c r="AR292">
        <v>0</v>
      </c>
      <c r="AS292">
        <v>1</v>
      </c>
      <c r="AT292">
        <v>0.84</v>
      </c>
      <c r="AU292">
        <v>0</v>
      </c>
      <c r="AV292">
        <v>0</v>
      </c>
      <c r="AW292">
        <v>0.8399999737739563</v>
      </c>
      <c r="AX292">
        <v>0</v>
      </c>
      <c r="AY292">
        <v>0</v>
      </c>
      <c r="AZ292">
        <v>0.30000001192092901</v>
      </c>
      <c r="BA292">
        <v>0.54000002145767212</v>
      </c>
      <c r="BB292">
        <v>0</v>
      </c>
      <c r="BC292">
        <v>0.30000001192092901</v>
      </c>
      <c r="BD292">
        <v>0.54000002145767212</v>
      </c>
      <c r="BE292">
        <v>0.35714285714285721</v>
      </c>
      <c r="BF292">
        <v>0.6428571428571429</v>
      </c>
      <c r="BG292">
        <v>150</v>
      </c>
      <c r="BH292">
        <v>0</v>
      </c>
      <c r="BI292">
        <v>0.30000001192092901</v>
      </c>
      <c r="BJ292">
        <v>0.54000002145767212</v>
      </c>
      <c r="BK292">
        <v>0</v>
      </c>
      <c r="BL292">
        <v>1</v>
      </c>
      <c r="BM292">
        <v>1</v>
      </c>
      <c r="BN292">
        <v>2023</v>
      </c>
      <c r="BO292">
        <v>1</v>
      </c>
      <c r="BP292">
        <v>1</v>
      </c>
      <c r="BQ292">
        <v>1</v>
      </c>
      <c r="BR292">
        <v>2023</v>
      </c>
      <c r="BS292">
        <v>2</v>
      </c>
      <c r="BT292">
        <v>1</v>
      </c>
      <c r="BU292">
        <v>1</v>
      </c>
      <c r="BV292">
        <v>2023</v>
      </c>
      <c r="BW292">
        <v>3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</row>
    <row r="293" spans="1:96" x14ac:dyDescent="0.25">
      <c r="A293">
        <v>292</v>
      </c>
      <c r="B293" t="s">
        <v>1206</v>
      </c>
      <c r="C293" t="s">
        <v>1207</v>
      </c>
      <c r="D293" t="s">
        <v>1208</v>
      </c>
      <c r="E293" t="s">
        <v>1209</v>
      </c>
      <c r="F293" t="s">
        <v>539</v>
      </c>
      <c r="G293">
        <v>4</v>
      </c>
      <c r="H293">
        <v>2</v>
      </c>
      <c r="I293">
        <v>1779</v>
      </c>
      <c r="J293">
        <v>0</v>
      </c>
      <c r="K293">
        <v>1</v>
      </c>
      <c r="L293">
        <v>5776.8</v>
      </c>
      <c r="M293">
        <v>3264.6</v>
      </c>
      <c r="N293">
        <v>5785.9</v>
      </c>
      <c r="O293">
        <v>481.5</v>
      </c>
      <c r="P293">
        <v>6095.2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5.17</v>
      </c>
      <c r="W293">
        <v>3.5</v>
      </c>
      <c r="X293">
        <v>5.17</v>
      </c>
      <c r="Y293">
        <v>0</v>
      </c>
      <c r="Z293">
        <v>0</v>
      </c>
      <c r="AA293">
        <v>0</v>
      </c>
      <c r="AB293">
        <v>0</v>
      </c>
      <c r="AC293">
        <v>1.77</v>
      </c>
      <c r="AD293">
        <v>0.4</v>
      </c>
      <c r="AE293">
        <v>3</v>
      </c>
      <c r="AF293">
        <v>0</v>
      </c>
      <c r="AG293">
        <v>0.4197292069632495</v>
      </c>
      <c r="AH293">
        <v>5.17</v>
      </c>
      <c r="AI293">
        <v>3.5</v>
      </c>
      <c r="AJ293">
        <v>5.1699999999999982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0.97</v>
      </c>
      <c r="AQ293">
        <v>2.600000000000001</v>
      </c>
      <c r="AR293">
        <v>1.6</v>
      </c>
      <c r="AS293">
        <v>0.18762088974854929</v>
      </c>
      <c r="AT293">
        <v>5.17</v>
      </c>
      <c r="AU293">
        <v>0</v>
      </c>
      <c r="AV293">
        <v>0</v>
      </c>
      <c r="AW293">
        <v>5.1700000762939453</v>
      </c>
      <c r="AX293">
        <v>0</v>
      </c>
      <c r="AY293">
        <v>5.1700000762939453</v>
      </c>
      <c r="AZ293">
        <v>0</v>
      </c>
      <c r="BA293">
        <v>0</v>
      </c>
      <c r="BB293">
        <v>0</v>
      </c>
      <c r="BC293">
        <v>5.1700000762939453</v>
      </c>
      <c r="BD293">
        <v>0</v>
      </c>
      <c r="BE293">
        <v>1</v>
      </c>
      <c r="BF293">
        <v>0</v>
      </c>
      <c r="BG293">
        <v>150</v>
      </c>
      <c r="BH293">
        <v>5.1700000762939453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2023</v>
      </c>
      <c r="BO293">
        <v>1</v>
      </c>
      <c r="BP293">
        <v>1</v>
      </c>
      <c r="BQ293">
        <v>2</v>
      </c>
      <c r="BR293">
        <v>2024</v>
      </c>
      <c r="BS293">
        <v>1</v>
      </c>
      <c r="BT293">
        <v>1</v>
      </c>
      <c r="BU293">
        <v>2</v>
      </c>
      <c r="BV293">
        <v>2024</v>
      </c>
      <c r="BW293">
        <v>2</v>
      </c>
      <c r="BX293">
        <v>0</v>
      </c>
      <c r="BY293">
        <v>0</v>
      </c>
      <c r="BZ293">
        <v>1</v>
      </c>
      <c r="CA293">
        <v>1</v>
      </c>
      <c r="CB293">
        <v>0</v>
      </c>
      <c r="CC293">
        <v>0</v>
      </c>
      <c r="CD293">
        <v>0</v>
      </c>
      <c r="CE293">
        <v>1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1</v>
      </c>
      <c r="CQ293">
        <v>0</v>
      </c>
      <c r="CR293">
        <v>0</v>
      </c>
    </row>
    <row r="294" spans="1:96" x14ac:dyDescent="0.25">
      <c r="A294">
        <v>293</v>
      </c>
      <c r="B294" t="s">
        <v>1210</v>
      </c>
      <c r="C294" t="s">
        <v>1211</v>
      </c>
      <c r="D294" t="s">
        <v>1212</v>
      </c>
      <c r="E294" t="s">
        <v>1213</v>
      </c>
      <c r="F294" t="s">
        <v>539</v>
      </c>
      <c r="G294">
        <v>2</v>
      </c>
      <c r="H294">
        <v>2</v>
      </c>
      <c r="I294">
        <v>1153</v>
      </c>
      <c r="J294">
        <v>0</v>
      </c>
      <c r="K294">
        <v>1</v>
      </c>
      <c r="L294">
        <v>6316.2</v>
      </c>
      <c r="M294">
        <v>4199.1000000000004</v>
      </c>
      <c r="N294">
        <v>8588.7000000000007</v>
      </c>
      <c r="O294">
        <v>1937.1</v>
      </c>
      <c r="P294">
        <v>10260.6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6.35</v>
      </c>
      <c r="W294">
        <v>3.5</v>
      </c>
      <c r="X294">
        <v>5.9</v>
      </c>
      <c r="Y294">
        <v>0</v>
      </c>
      <c r="Z294">
        <v>0</v>
      </c>
      <c r="AA294">
        <v>0</v>
      </c>
      <c r="AB294">
        <v>0.45</v>
      </c>
      <c r="AC294">
        <v>2.7</v>
      </c>
      <c r="AD294">
        <v>1.1000000000000001</v>
      </c>
      <c r="AE294">
        <v>1.3</v>
      </c>
      <c r="AF294">
        <v>1.25</v>
      </c>
      <c r="AG294">
        <v>0.59842519685039375</v>
      </c>
      <c r="AH294">
        <v>6.35</v>
      </c>
      <c r="AI294">
        <v>3.5</v>
      </c>
      <c r="AJ294">
        <v>5.899999999999995</v>
      </c>
      <c r="AK294">
        <v>0</v>
      </c>
      <c r="AL294">
        <v>0</v>
      </c>
      <c r="AM294">
        <v>0.45</v>
      </c>
      <c r="AN294">
        <v>0</v>
      </c>
      <c r="AO294">
        <v>0</v>
      </c>
      <c r="AP294">
        <v>3.800000000000002</v>
      </c>
      <c r="AQ294">
        <v>0.2</v>
      </c>
      <c r="AR294">
        <v>2.350000000000001</v>
      </c>
      <c r="AS294">
        <v>0.59842519685039386</v>
      </c>
      <c r="AT294">
        <v>6.35</v>
      </c>
      <c r="AU294">
        <v>0</v>
      </c>
      <c r="AV294">
        <v>0</v>
      </c>
      <c r="AW294">
        <v>6.0999999046325684</v>
      </c>
      <c r="AX294">
        <v>0</v>
      </c>
      <c r="AY294">
        <v>0.60000002384185791</v>
      </c>
      <c r="AZ294">
        <v>3.2999999523162842</v>
      </c>
      <c r="BA294">
        <v>0.40000000596046448</v>
      </c>
      <c r="BB294">
        <v>1.799999952316284</v>
      </c>
      <c r="BC294">
        <v>3.8999999761581421</v>
      </c>
      <c r="BD294">
        <v>2.1999999582767491</v>
      </c>
      <c r="BE294">
        <v>0.63934426525849486</v>
      </c>
      <c r="BF294">
        <v>0.36065573474150509</v>
      </c>
      <c r="BG294">
        <v>150</v>
      </c>
      <c r="BH294">
        <v>0.60000002384185791</v>
      </c>
      <c r="BI294">
        <v>3.2999999523162842</v>
      </c>
      <c r="BJ294">
        <v>0.40000000596046448</v>
      </c>
      <c r="BK294">
        <v>1.799999952316284</v>
      </c>
      <c r="BL294">
        <v>1</v>
      </c>
      <c r="BM294">
        <v>1</v>
      </c>
      <c r="BN294">
        <v>2023</v>
      </c>
      <c r="BO294">
        <v>1</v>
      </c>
      <c r="BP294">
        <v>1</v>
      </c>
      <c r="BQ294">
        <v>1</v>
      </c>
      <c r="BR294">
        <v>2023</v>
      </c>
      <c r="BS294">
        <v>2</v>
      </c>
      <c r="BT294">
        <v>1</v>
      </c>
      <c r="BU294">
        <v>2</v>
      </c>
      <c r="BV294">
        <v>2025</v>
      </c>
      <c r="BW294">
        <v>1</v>
      </c>
      <c r="BX294">
        <v>0</v>
      </c>
      <c r="BY294">
        <v>0</v>
      </c>
      <c r="BZ294">
        <v>1</v>
      </c>
      <c r="CA294">
        <v>0</v>
      </c>
      <c r="CB294">
        <v>1</v>
      </c>
      <c r="CC294">
        <v>0</v>
      </c>
      <c r="CD294">
        <v>0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1</v>
      </c>
      <c r="CN294">
        <v>0</v>
      </c>
      <c r="CO294">
        <v>0</v>
      </c>
      <c r="CP294">
        <v>0</v>
      </c>
      <c r="CQ294">
        <v>1</v>
      </c>
      <c r="CR294">
        <v>1</v>
      </c>
    </row>
    <row r="295" spans="1:96" x14ac:dyDescent="0.25">
      <c r="A295">
        <v>294</v>
      </c>
      <c r="B295" t="s">
        <v>1214</v>
      </c>
      <c r="C295" t="s">
        <v>1215</v>
      </c>
      <c r="D295" t="s">
        <v>1216</v>
      </c>
      <c r="E295" t="s">
        <v>1217</v>
      </c>
      <c r="F295" t="s">
        <v>176</v>
      </c>
      <c r="G295">
        <v>2</v>
      </c>
      <c r="H295">
        <v>1</v>
      </c>
      <c r="I295">
        <v>980</v>
      </c>
      <c r="J295">
        <v>0</v>
      </c>
      <c r="K295">
        <v>1</v>
      </c>
      <c r="L295">
        <v>2816.5</v>
      </c>
      <c r="M295">
        <v>1392.3</v>
      </c>
      <c r="N295">
        <v>5358.1</v>
      </c>
      <c r="O295">
        <v>646.4</v>
      </c>
      <c r="P295">
        <v>7030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2.62</v>
      </c>
      <c r="W295">
        <v>3</v>
      </c>
      <c r="X295">
        <v>2.62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2.62</v>
      </c>
      <c r="AE295">
        <v>0</v>
      </c>
      <c r="AF295">
        <v>0</v>
      </c>
      <c r="AG295">
        <v>1</v>
      </c>
      <c r="AH295">
        <v>2.62</v>
      </c>
      <c r="AI295">
        <v>3</v>
      </c>
      <c r="AJ295">
        <v>2.620000000000001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2.2200000000000011</v>
      </c>
      <c r="AQ295">
        <v>0.4</v>
      </c>
      <c r="AR295">
        <v>0</v>
      </c>
      <c r="AS295">
        <v>0.84732824427480924</v>
      </c>
      <c r="AT295">
        <v>2.62</v>
      </c>
      <c r="AU295">
        <v>0</v>
      </c>
      <c r="AV295">
        <v>0</v>
      </c>
      <c r="AW295">
        <v>2.619999885559082</v>
      </c>
      <c r="AX295">
        <v>0</v>
      </c>
      <c r="AY295">
        <v>0</v>
      </c>
      <c r="AZ295">
        <v>0.31999999284744263</v>
      </c>
      <c r="BA295">
        <v>0.69999998807907104</v>
      </c>
      <c r="BB295">
        <v>1.6000000238418579</v>
      </c>
      <c r="BC295">
        <v>0.31999999284744263</v>
      </c>
      <c r="BD295">
        <v>2.300000011920929</v>
      </c>
      <c r="BE295">
        <v>0.1221374016278802</v>
      </c>
      <c r="BF295">
        <v>0.87786259837211977</v>
      </c>
      <c r="BG295">
        <v>150</v>
      </c>
      <c r="BH295">
        <v>0</v>
      </c>
      <c r="BI295">
        <v>0.31999999284744263</v>
      </c>
      <c r="BJ295">
        <v>0.69999998807907104</v>
      </c>
      <c r="BK295">
        <v>1.6000000238418579</v>
      </c>
      <c r="BL295">
        <v>1</v>
      </c>
      <c r="BM295">
        <v>1</v>
      </c>
      <c r="BN295">
        <v>2023</v>
      </c>
      <c r="BO295">
        <v>1</v>
      </c>
      <c r="BP295">
        <v>1</v>
      </c>
      <c r="BQ295">
        <v>1</v>
      </c>
      <c r="BR295">
        <v>2023</v>
      </c>
      <c r="BS295">
        <v>2</v>
      </c>
      <c r="BT295">
        <v>1</v>
      </c>
      <c r="BU295">
        <v>2</v>
      </c>
      <c r="BV295">
        <v>2025</v>
      </c>
      <c r="BW295">
        <v>1</v>
      </c>
      <c r="BX295">
        <v>0</v>
      </c>
      <c r="BY295">
        <v>0</v>
      </c>
      <c r="BZ295">
        <v>1</v>
      </c>
      <c r="CA295">
        <v>0</v>
      </c>
      <c r="CB295">
        <v>1</v>
      </c>
      <c r="CC295">
        <v>0</v>
      </c>
      <c r="CD295">
        <v>0</v>
      </c>
      <c r="CE295">
        <v>1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0</v>
      </c>
      <c r="CR295">
        <v>0</v>
      </c>
    </row>
    <row r="296" spans="1:96" x14ac:dyDescent="0.25">
      <c r="A296">
        <v>295</v>
      </c>
      <c r="B296" t="s">
        <v>1218</v>
      </c>
      <c r="C296" t="s">
        <v>1219</v>
      </c>
      <c r="D296" t="s">
        <v>1220</v>
      </c>
      <c r="E296" t="s">
        <v>1221</v>
      </c>
      <c r="F296" t="s">
        <v>176</v>
      </c>
      <c r="G296">
        <v>2</v>
      </c>
      <c r="H296">
        <v>1</v>
      </c>
      <c r="I296">
        <v>801</v>
      </c>
      <c r="J296">
        <v>0</v>
      </c>
      <c r="K296">
        <v>1</v>
      </c>
      <c r="L296">
        <v>4323.5</v>
      </c>
      <c r="M296">
        <v>2673.6</v>
      </c>
      <c r="N296">
        <v>3159.8</v>
      </c>
      <c r="O296">
        <v>836.5</v>
      </c>
      <c r="P296">
        <v>4641.8999999999996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1.7</v>
      </c>
      <c r="W296">
        <v>3</v>
      </c>
      <c r="X296">
        <v>1.7</v>
      </c>
      <c r="Y296">
        <v>0</v>
      </c>
      <c r="Z296">
        <v>0</v>
      </c>
      <c r="AA296">
        <v>0</v>
      </c>
      <c r="AB296">
        <v>0</v>
      </c>
      <c r="AC296">
        <v>1.4</v>
      </c>
      <c r="AD296">
        <v>0.3</v>
      </c>
      <c r="AE296">
        <v>0</v>
      </c>
      <c r="AF296">
        <v>0</v>
      </c>
      <c r="AG296">
        <v>1</v>
      </c>
      <c r="AH296">
        <v>1.7</v>
      </c>
      <c r="AI296">
        <v>3</v>
      </c>
      <c r="AJ296">
        <v>1.7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1.7</v>
      </c>
      <c r="AQ296">
        <v>0</v>
      </c>
      <c r="AR296">
        <v>0</v>
      </c>
      <c r="AS296">
        <v>1</v>
      </c>
      <c r="AT296">
        <v>1.7</v>
      </c>
      <c r="AU296">
        <v>0</v>
      </c>
      <c r="AV296">
        <v>0</v>
      </c>
      <c r="AW296">
        <v>1.700000047683716</v>
      </c>
      <c r="AX296">
        <v>0</v>
      </c>
      <c r="AY296">
        <v>0</v>
      </c>
      <c r="AZ296">
        <v>1.5</v>
      </c>
      <c r="BA296">
        <v>0.20000000298023221</v>
      </c>
      <c r="BB296">
        <v>0</v>
      </c>
      <c r="BC296">
        <v>1.5</v>
      </c>
      <c r="BD296">
        <v>0.20000000298023221</v>
      </c>
      <c r="BE296">
        <v>0.88235293962963723</v>
      </c>
      <c r="BF296">
        <v>0.11764706037036279</v>
      </c>
      <c r="BG296">
        <v>150</v>
      </c>
      <c r="BH296">
        <v>0</v>
      </c>
      <c r="BI296">
        <v>1.5</v>
      </c>
      <c r="BJ296">
        <v>0.20000000298023221</v>
      </c>
      <c r="BK296">
        <v>0</v>
      </c>
      <c r="BL296">
        <v>1</v>
      </c>
      <c r="BM296">
        <v>1</v>
      </c>
      <c r="BN296">
        <v>2023</v>
      </c>
      <c r="BO296">
        <v>1</v>
      </c>
      <c r="BP296">
        <v>1</v>
      </c>
      <c r="BQ296">
        <v>1</v>
      </c>
      <c r="BR296">
        <v>2023</v>
      </c>
      <c r="BS296">
        <v>2</v>
      </c>
      <c r="BT296">
        <v>1</v>
      </c>
      <c r="BU296">
        <v>1</v>
      </c>
      <c r="BV296">
        <v>2023</v>
      </c>
      <c r="BW296">
        <v>3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1</v>
      </c>
      <c r="CR296">
        <v>0</v>
      </c>
    </row>
    <row r="297" spans="1:96" x14ac:dyDescent="0.25">
      <c r="A297">
        <v>296</v>
      </c>
      <c r="B297" t="s">
        <v>1222</v>
      </c>
      <c r="C297" t="s">
        <v>1223</v>
      </c>
      <c r="D297" t="s">
        <v>1224</v>
      </c>
      <c r="E297" t="s">
        <v>1225</v>
      </c>
      <c r="F297" t="s">
        <v>100</v>
      </c>
      <c r="G297">
        <v>2</v>
      </c>
      <c r="H297">
        <v>1</v>
      </c>
      <c r="I297">
        <v>1670</v>
      </c>
      <c r="J297">
        <v>1</v>
      </c>
      <c r="K297">
        <v>0</v>
      </c>
      <c r="L297">
        <v>6466.2</v>
      </c>
      <c r="M297">
        <v>5400.3</v>
      </c>
      <c r="N297">
        <v>8820.6</v>
      </c>
      <c r="O297">
        <v>1498.6</v>
      </c>
      <c r="P297">
        <v>6957.7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2.82</v>
      </c>
      <c r="W297">
        <v>3</v>
      </c>
      <c r="X297">
        <v>0.8</v>
      </c>
      <c r="Y297">
        <v>0</v>
      </c>
      <c r="Z297">
        <v>0</v>
      </c>
      <c r="AA297">
        <v>0</v>
      </c>
      <c r="AB297">
        <v>2.02</v>
      </c>
      <c r="AC297">
        <v>0</v>
      </c>
      <c r="AD297">
        <v>0.8</v>
      </c>
      <c r="AE297">
        <v>0</v>
      </c>
      <c r="AF297">
        <v>2.02</v>
      </c>
      <c r="AG297">
        <v>0.28368794326241131</v>
      </c>
      <c r="AH297">
        <v>2.82</v>
      </c>
      <c r="AI297">
        <v>3</v>
      </c>
      <c r="AJ297">
        <v>0.82</v>
      </c>
      <c r="AK297">
        <v>0</v>
      </c>
      <c r="AL297">
        <v>0</v>
      </c>
      <c r="AM297">
        <v>2</v>
      </c>
      <c r="AN297">
        <v>0</v>
      </c>
      <c r="AO297">
        <v>0</v>
      </c>
      <c r="AP297">
        <v>0.2</v>
      </c>
      <c r="AQ297">
        <v>0.6</v>
      </c>
      <c r="AR297">
        <v>2.02</v>
      </c>
      <c r="AS297">
        <v>7.0921985815602828E-2</v>
      </c>
      <c r="AT297">
        <v>2.82</v>
      </c>
      <c r="AU297">
        <v>0</v>
      </c>
      <c r="AV297">
        <v>0</v>
      </c>
      <c r="AW297">
        <v>0.80000001192092896</v>
      </c>
      <c r="AX297">
        <v>0</v>
      </c>
      <c r="AY297">
        <v>0.10000000149011611</v>
      </c>
      <c r="AZ297">
        <v>0.10000000149011611</v>
      </c>
      <c r="BA297">
        <v>0.5</v>
      </c>
      <c r="BB297">
        <v>0.10000000149011611</v>
      </c>
      <c r="BC297">
        <v>0.20000000298023221</v>
      </c>
      <c r="BD297">
        <v>0.60000000149011612</v>
      </c>
      <c r="BE297">
        <v>0.25000000232830638</v>
      </c>
      <c r="BF297">
        <v>0.74999999767169356</v>
      </c>
      <c r="BG297">
        <v>150</v>
      </c>
      <c r="BH297">
        <v>0.10000000149011611</v>
      </c>
      <c r="BI297">
        <v>0.10000000149011611</v>
      </c>
      <c r="BJ297">
        <v>0.5</v>
      </c>
      <c r="BK297">
        <v>0.10000000149011611</v>
      </c>
      <c r="BL297">
        <v>0</v>
      </c>
      <c r="BM297">
        <v>0</v>
      </c>
      <c r="BP297">
        <v>0</v>
      </c>
      <c r="BQ297">
        <v>0</v>
      </c>
      <c r="BT297">
        <v>0</v>
      </c>
      <c r="BU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6" x14ac:dyDescent="0.25">
      <c r="A298">
        <v>297</v>
      </c>
      <c r="B298" t="s">
        <v>1226</v>
      </c>
      <c r="C298" t="s">
        <v>1227</v>
      </c>
      <c r="D298" t="s">
        <v>1228</v>
      </c>
      <c r="E298" t="s">
        <v>1229</v>
      </c>
      <c r="F298" t="s">
        <v>176</v>
      </c>
      <c r="G298">
        <v>3</v>
      </c>
      <c r="H298">
        <v>1</v>
      </c>
      <c r="I298">
        <v>599</v>
      </c>
      <c r="J298">
        <v>0</v>
      </c>
      <c r="K298">
        <v>1</v>
      </c>
      <c r="L298">
        <v>173.2</v>
      </c>
      <c r="M298">
        <v>203.9</v>
      </c>
      <c r="N298">
        <v>7345.1</v>
      </c>
      <c r="O298">
        <v>507.9</v>
      </c>
      <c r="P298">
        <v>9017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4.12</v>
      </c>
      <c r="W298">
        <v>3.5</v>
      </c>
      <c r="X298">
        <v>4.12</v>
      </c>
      <c r="Y298">
        <v>0</v>
      </c>
      <c r="Z298">
        <v>0</v>
      </c>
      <c r="AA298">
        <v>0</v>
      </c>
      <c r="AB298">
        <v>0</v>
      </c>
      <c r="AC298">
        <v>3</v>
      </c>
      <c r="AD298">
        <v>0.82</v>
      </c>
      <c r="AE298">
        <v>0.3</v>
      </c>
      <c r="AF298">
        <v>0</v>
      </c>
      <c r="AG298">
        <v>0.9271844660194174</v>
      </c>
      <c r="AH298">
        <v>4.12</v>
      </c>
      <c r="AI298">
        <v>3.5</v>
      </c>
      <c r="AJ298">
        <v>4.120000000000001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4.120000000000001</v>
      </c>
      <c r="AQ298">
        <v>0</v>
      </c>
      <c r="AR298">
        <v>0</v>
      </c>
      <c r="AS298">
        <v>1</v>
      </c>
      <c r="AT298">
        <v>4.12</v>
      </c>
      <c r="AU298">
        <v>0</v>
      </c>
      <c r="AV298">
        <v>0</v>
      </c>
      <c r="AW298">
        <v>4.119999885559082</v>
      </c>
      <c r="AX298">
        <v>0</v>
      </c>
      <c r="AY298">
        <v>0.20000000298023221</v>
      </c>
      <c r="AZ298">
        <v>2.0999999046325679</v>
      </c>
      <c r="BA298">
        <v>1.0199999809265139</v>
      </c>
      <c r="BB298">
        <v>0.80000001192092896</v>
      </c>
      <c r="BC298">
        <v>2.299999907612801</v>
      </c>
      <c r="BD298">
        <v>1.8199999928474431</v>
      </c>
      <c r="BE298">
        <v>0.55825241824784233</v>
      </c>
      <c r="BF298">
        <v>0.44174758175215761</v>
      </c>
      <c r="BG298">
        <v>150</v>
      </c>
      <c r="BH298">
        <v>0.20000000298023221</v>
      </c>
      <c r="BI298">
        <v>2.0999999046325679</v>
      </c>
      <c r="BJ298">
        <v>1.0199999809265139</v>
      </c>
      <c r="BK298">
        <v>0.80000001192092896</v>
      </c>
      <c r="BL298">
        <v>1</v>
      </c>
      <c r="BM298">
        <v>1</v>
      </c>
      <c r="BN298">
        <v>2023</v>
      </c>
      <c r="BO298">
        <v>1</v>
      </c>
      <c r="BP298">
        <v>1</v>
      </c>
      <c r="BQ298">
        <v>1</v>
      </c>
      <c r="BR298">
        <v>2023</v>
      </c>
      <c r="BS298">
        <v>2</v>
      </c>
      <c r="BT298">
        <v>1</v>
      </c>
      <c r="BU298">
        <v>2</v>
      </c>
      <c r="BV298">
        <v>2025</v>
      </c>
      <c r="BW298">
        <v>1</v>
      </c>
      <c r="BX298">
        <v>0</v>
      </c>
      <c r="BY298">
        <v>0</v>
      </c>
      <c r="BZ298">
        <v>1</v>
      </c>
      <c r="CA298">
        <v>0</v>
      </c>
      <c r="CB298">
        <v>1</v>
      </c>
      <c r="CC298">
        <v>0</v>
      </c>
      <c r="CD298">
        <v>0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</row>
    <row r="299" spans="1:96" x14ac:dyDescent="0.25">
      <c r="A299">
        <v>298</v>
      </c>
      <c r="B299" t="s">
        <v>1230</v>
      </c>
      <c r="C299" t="s">
        <v>1231</v>
      </c>
      <c r="D299" t="s">
        <v>1232</v>
      </c>
      <c r="E299" t="s">
        <v>1233</v>
      </c>
      <c r="F299" t="s">
        <v>176</v>
      </c>
      <c r="G299">
        <v>3</v>
      </c>
      <c r="H299">
        <v>1</v>
      </c>
      <c r="I299">
        <v>1010</v>
      </c>
      <c r="J299">
        <v>0</v>
      </c>
      <c r="K299">
        <v>1</v>
      </c>
      <c r="L299">
        <v>3309.5</v>
      </c>
      <c r="M299">
        <v>3340.2</v>
      </c>
      <c r="N299">
        <v>10477.5</v>
      </c>
      <c r="O299">
        <v>802</v>
      </c>
      <c r="P299">
        <v>12149.4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5.65</v>
      </c>
      <c r="W299">
        <v>3</v>
      </c>
      <c r="X299">
        <v>5.65</v>
      </c>
      <c r="Y299">
        <v>0</v>
      </c>
      <c r="Z299">
        <v>0</v>
      </c>
      <c r="AA299">
        <v>0</v>
      </c>
      <c r="AB299">
        <v>0</v>
      </c>
      <c r="AC299">
        <v>5.4</v>
      </c>
      <c r="AD299">
        <v>0.25</v>
      </c>
      <c r="AE299">
        <v>0</v>
      </c>
      <c r="AF299">
        <v>0</v>
      </c>
      <c r="AG299">
        <v>1</v>
      </c>
      <c r="AH299">
        <v>5.65</v>
      </c>
      <c r="AI299">
        <v>3</v>
      </c>
      <c r="AJ299">
        <v>5.6499999999999959</v>
      </c>
      <c r="AK299">
        <v>0</v>
      </c>
      <c r="AL299">
        <v>0</v>
      </c>
      <c r="AM299">
        <v>0</v>
      </c>
      <c r="AN299">
        <v>0</v>
      </c>
      <c r="AO299">
        <v>1.850000000000001</v>
      </c>
      <c r="AP299">
        <v>3.800000000000002</v>
      </c>
      <c r="AQ299">
        <v>0</v>
      </c>
      <c r="AR299">
        <v>0</v>
      </c>
      <c r="AS299">
        <v>1</v>
      </c>
      <c r="AT299">
        <v>5.65</v>
      </c>
      <c r="AU299">
        <v>0</v>
      </c>
      <c r="AV299">
        <v>0</v>
      </c>
      <c r="AW299">
        <v>5.6500000953674316</v>
      </c>
      <c r="AX299">
        <v>0</v>
      </c>
      <c r="AY299">
        <v>2.8499999046325679</v>
      </c>
      <c r="AZ299">
        <v>2.7999999523162842</v>
      </c>
      <c r="BA299">
        <v>0</v>
      </c>
      <c r="BB299">
        <v>0</v>
      </c>
      <c r="BC299">
        <v>5.6499998569488534</v>
      </c>
      <c r="BD299">
        <v>0</v>
      </c>
      <c r="BE299">
        <v>1</v>
      </c>
      <c r="BF299">
        <v>0</v>
      </c>
      <c r="BG299">
        <v>150</v>
      </c>
      <c r="BH299">
        <v>2.8499999046325679</v>
      </c>
      <c r="BI299">
        <v>2.7999999523162842</v>
      </c>
      <c r="BJ299">
        <v>0</v>
      </c>
      <c r="BK299">
        <v>0</v>
      </c>
      <c r="BL299">
        <v>1</v>
      </c>
      <c r="BM299">
        <v>3</v>
      </c>
      <c r="BN299">
        <v>2023</v>
      </c>
      <c r="BO299">
        <v>1</v>
      </c>
      <c r="BP299">
        <v>1</v>
      </c>
      <c r="BQ299">
        <v>4</v>
      </c>
      <c r="BR299">
        <v>2024</v>
      </c>
      <c r="BS299">
        <v>1</v>
      </c>
      <c r="BT299">
        <v>1</v>
      </c>
      <c r="BU299">
        <v>4</v>
      </c>
      <c r="BV299">
        <v>2024</v>
      </c>
      <c r="BW299">
        <v>2</v>
      </c>
      <c r="BX299">
        <v>1</v>
      </c>
      <c r="BY299">
        <v>1</v>
      </c>
      <c r="BZ299">
        <v>1</v>
      </c>
      <c r="CA299">
        <v>1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0</v>
      </c>
      <c r="CH299">
        <v>0</v>
      </c>
      <c r="CI299">
        <v>1</v>
      </c>
      <c r="CJ299">
        <v>0</v>
      </c>
      <c r="CK299">
        <v>1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0</v>
      </c>
      <c r="CR299">
        <v>1</v>
      </c>
    </row>
    <row r="300" spans="1:96" x14ac:dyDescent="0.25">
      <c r="A300">
        <v>299</v>
      </c>
      <c r="B300" t="s">
        <v>1234</v>
      </c>
      <c r="C300" t="s">
        <v>1235</v>
      </c>
      <c r="D300" t="s">
        <v>1236</v>
      </c>
      <c r="E300" t="s">
        <v>1237</v>
      </c>
      <c r="F300" t="s">
        <v>710</v>
      </c>
      <c r="G300">
        <v>4</v>
      </c>
      <c r="H300">
        <v>2</v>
      </c>
      <c r="I300">
        <v>2146</v>
      </c>
      <c r="J300">
        <v>0</v>
      </c>
      <c r="K300">
        <v>0</v>
      </c>
      <c r="L300">
        <v>4480.1000000000004</v>
      </c>
      <c r="M300">
        <v>4321.7</v>
      </c>
      <c r="N300">
        <v>9224.7000000000007</v>
      </c>
      <c r="O300">
        <v>739.7</v>
      </c>
      <c r="P300">
        <v>7623.4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8.65</v>
      </c>
      <c r="W300">
        <v>4</v>
      </c>
      <c r="X300">
        <v>8.65</v>
      </c>
      <c r="Y300">
        <v>0</v>
      </c>
      <c r="Z300">
        <v>0</v>
      </c>
      <c r="AA300">
        <v>0</v>
      </c>
      <c r="AB300">
        <v>0</v>
      </c>
      <c r="AC300">
        <v>8.65</v>
      </c>
      <c r="AD300">
        <v>0</v>
      </c>
      <c r="AE300">
        <v>0</v>
      </c>
      <c r="AF300">
        <v>0</v>
      </c>
      <c r="AG300">
        <v>1</v>
      </c>
      <c r="AH300">
        <v>8.65</v>
      </c>
      <c r="AI300">
        <v>4</v>
      </c>
      <c r="AJ300">
        <v>8.6499999999999861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8.4499999999999869</v>
      </c>
      <c r="AQ300">
        <v>0.2</v>
      </c>
      <c r="AR300">
        <v>0</v>
      </c>
      <c r="AS300">
        <v>0.97687861271676302</v>
      </c>
      <c r="AT300">
        <v>8.65</v>
      </c>
      <c r="AU300">
        <v>0</v>
      </c>
      <c r="AV300">
        <v>0</v>
      </c>
      <c r="AW300">
        <v>8.6499996185302734</v>
      </c>
      <c r="AX300">
        <v>0</v>
      </c>
      <c r="AY300">
        <v>2.75</v>
      </c>
      <c r="AZ300">
        <v>5.5999999046325684</v>
      </c>
      <c r="BA300">
        <v>0.30000001192092901</v>
      </c>
      <c r="BB300">
        <v>0</v>
      </c>
      <c r="BC300">
        <v>8.3499999046325684</v>
      </c>
      <c r="BD300">
        <v>0.30000001192092901</v>
      </c>
      <c r="BE300">
        <v>0.96531791736242456</v>
      </c>
      <c r="BF300">
        <v>3.4682082637575433E-2</v>
      </c>
      <c r="BG300">
        <v>150</v>
      </c>
      <c r="BH300">
        <v>2.75</v>
      </c>
      <c r="BI300">
        <v>5.5999999046325684</v>
      </c>
      <c r="BJ300">
        <v>0.30000001192092901</v>
      </c>
      <c r="BK300">
        <v>0</v>
      </c>
      <c r="BL300">
        <v>1</v>
      </c>
      <c r="BM300">
        <v>1</v>
      </c>
      <c r="BN300">
        <v>2022</v>
      </c>
      <c r="BO300">
        <v>2</v>
      </c>
      <c r="BP300">
        <v>1</v>
      </c>
      <c r="BQ300">
        <v>2</v>
      </c>
      <c r="BR300">
        <v>2024</v>
      </c>
      <c r="BS300">
        <v>1</v>
      </c>
      <c r="BT300">
        <v>1</v>
      </c>
      <c r="BU300">
        <v>3</v>
      </c>
      <c r="BV300">
        <v>2025</v>
      </c>
      <c r="BW300">
        <v>1</v>
      </c>
      <c r="BX300">
        <v>0</v>
      </c>
      <c r="BY300">
        <v>1</v>
      </c>
      <c r="BZ300">
        <v>0</v>
      </c>
      <c r="CA300">
        <v>1</v>
      </c>
      <c r="CB300">
        <v>1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1</v>
      </c>
      <c r="CM300">
        <v>0</v>
      </c>
      <c r="CN300">
        <v>1</v>
      </c>
      <c r="CO300">
        <v>0</v>
      </c>
      <c r="CP300">
        <v>1</v>
      </c>
      <c r="CQ300">
        <v>0</v>
      </c>
      <c r="CR300">
        <v>0</v>
      </c>
    </row>
    <row r="301" spans="1:96" x14ac:dyDescent="0.25">
      <c r="A301">
        <v>300</v>
      </c>
      <c r="B301" t="s">
        <v>1238</v>
      </c>
      <c r="C301" t="s">
        <v>1239</v>
      </c>
      <c r="D301" t="s">
        <v>1240</v>
      </c>
      <c r="E301" t="s">
        <v>1241</v>
      </c>
      <c r="F301" t="s">
        <v>176</v>
      </c>
      <c r="G301">
        <v>4</v>
      </c>
      <c r="H301">
        <v>1</v>
      </c>
      <c r="I301">
        <v>1341</v>
      </c>
      <c r="J301">
        <v>0</v>
      </c>
      <c r="K301">
        <v>1</v>
      </c>
      <c r="L301">
        <v>3454.7</v>
      </c>
      <c r="M301">
        <v>3630</v>
      </c>
      <c r="N301">
        <v>4533.5</v>
      </c>
      <c r="O301">
        <v>596.29999999999995</v>
      </c>
      <c r="P301">
        <v>6205.3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4.97</v>
      </c>
      <c r="W301">
        <v>3.5</v>
      </c>
      <c r="X301">
        <v>4.97</v>
      </c>
      <c r="Y301">
        <v>0</v>
      </c>
      <c r="Z301">
        <v>0</v>
      </c>
      <c r="AA301">
        <v>0</v>
      </c>
      <c r="AB301">
        <v>0</v>
      </c>
      <c r="AC301">
        <v>4.97</v>
      </c>
      <c r="AD301">
        <v>0</v>
      </c>
      <c r="AE301">
        <v>0</v>
      </c>
      <c r="AF301">
        <v>0</v>
      </c>
      <c r="AG301">
        <v>1</v>
      </c>
      <c r="AH301">
        <v>4.97</v>
      </c>
      <c r="AI301">
        <v>3.5</v>
      </c>
      <c r="AJ301">
        <v>4.9699999999999989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4.9699999999999989</v>
      </c>
      <c r="AQ301">
        <v>0</v>
      </c>
      <c r="AR301">
        <v>0</v>
      </c>
      <c r="AS301">
        <v>1</v>
      </c>
      <c r="AT301">
        <v>4.97</v>
      </c>
      <c r="AU301">
        <v>0</v>
      </c>
      <c r="AV301">
        <v>0</v>
      </c>
      <c r="AW301">
        <v>4.9699997901916504</v>
      </c>
      <c r="AX301">
        <v>0</v>
      </c>
      <c r="AY301">
        <v>4.4699997901916504</v>
      </c>
      <c r="AZ301">
        <v>0.5</v>
      </c>
      <c r="BA301">
        <v>0</v>
      </c>
      <c r="BB301">
        <v>0</v>
      </c>
      <c r="BC301">
        <v>4.9699997901916504</v>
      </c>
      <c r="BD301">
        <v>0</v>
      </c>
      <c r="BE301">
        <v>1</v>
      </c>
      <c r="BF301">
        <v>0</v>
      </c>
      <c r="BG301">
        <v>150</v>
      </c>
      <c r="BH301">
        <v>4.4699997901916504</v>
      </c>
      <c r="BI301">
        <v>0.5</v>
      </c>
      <c r="BJ301">
        <v>0</v>
      </c>
      <c r="BK301">
        <v>0</v>
      </c>
      <c r="BL301">
        <v>1</v>
      </c>
      <c r="BM301">
        <v>3</v>
      </c>
      <c r="BN301">
        <v>2023</v>
      </c>
      <c r="BO301">
        <v>1</v>
      </c>
      <c r="BP301">
        <v>1</v>
      </c>
      <c r="BQ301">
        <v>4</v>
      </c>
      <c r="BR301">
        <v>2024</v>
      </c>
      <c r="BS301">
        <v>1</v>
      </c>
      <c r="BT301">
        <v>1</v>
      </c>
      <c r="BU301">
        <v>4</v>
      </c>
      <c r="BV301">
        <v>2024</v>
      </c>
      <c r="BW301">
        <v>2</v>
      </c>
      <c r="BX301">
        <v>1</v>
      </c>
      <c r="BY301">
        <v>1</v>
      </c>
      <c r="BZ301">
        <v>1</v>
      </c>
      <c r="CA301">
        <v>1</v>
      </c>
      <c r="CB301">
        <v>0</v>
      </c>
      <c r="CC301">
        <v>1</v>
      </c>
      <c r="CD301">
        <v>1</v>
      </c>
      <c r="CE301">
        <v>1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</v>
      </c>
      <c r="CO301">
        <v>1</v>
      </c>
      <c r="CP301">
        <v>0</v>
      </c>
      <c r="CQ301">
        <v>0</v>
      </c>
      <c r="CR301">
        <v>0</v>
      </c>
    </row>
    <row r="302" spans="1:96" x14ac:dyDescent="0.25">
      <c r="A302">
        <v>301</v>
      </c>
      <c r="B302" t="s">
        <v>1242</v>
      </c>
      <c r="C302" t="s">
        <v>1243</v>
      </c>
      <c r="D302" t="s">
        <v>1244</v>
      </c>
      <c r="E302" t="s">
        <v>1245</v>
      </c>
      <c r="F302" t="s">
        <v>105</v>
      </c>
      <c r="G302">
        <v>2</v>
      </c>
      <c r="H302">
        <v>1</v>
      </c>
      <c r="I302">
        <v>1174</v>
      </c>
      <c r="J302">
        <v>0</v>
      </c>
      <c r="K302">
        <v>0</v>
      </c>
      <c r="L302">
        <v>3864.4</v>
      </c>
      <c r="M302">
        <v>3774.1</v>
      </c>
      <c r="N302">
        <v>3834.9</v>
      </c>
      <c r="O302">
        <v>1360.2</v>
      </c>
      <c r="P302">
        <v>27289.5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0.76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0.76</v>
      </c>
      <c r="AC302">
        <v>0</v>
      </c>
      <c r="AD302">
        <v>0</v>
      </c>
      <c r="AE302">
        <v>0</v>
      </c>
      <c r="AF302">
        <v>0.76</v>
      </c>
      <c r="AG302">
        <v>0</v>
      </c>
      <c r="AH302">
        <v>0.76</v>
      </c>
      <c r="AI302">
        <v>3</v>
      </c>
      <c r="AJ302">
        <v>0.16</v>
      </c>
      <c r="AK302">
        <v>0</v>
      </c>
      <c r="AL302">
        <v>0</v>
      </c>
      <c r="AM302">
        <v>0</v>
      </c>
      <c r="AN302">
        <v>0.6</v>
      </c>
      <c r="AO302">
        <v>0</v>
      </c>
      <c r="AP302">
        <v>0</v>
      </c>
      <c r="AQ302">
        <v>0.16</v>
      </c>
      <c r="AR302">
        <v>0.6</v>
      </c>
      <c r="AS302">
        <v>0</v>
      </c>
      <c r="AT302">
        <v>0.76</v>
      </c>
      <c r="AU302">
        <v>0</v>
      </c>
      <c r="AV302">
        <v>0</v>
      </c>
      <c r="AW302">
        <v>0.15999999642372131</v>
      </c>
      <c r="AX302">
        <v>0</v>
      </c>
      <c r="AY302">
        <v>0</v>
      </c>
      <c r="AZ302">
        <v>0.15999999642372131</v>
      </c>
      <c r="BA302">
        <v>0</v>
      </c>
      <c r="BB302">
        <v>0</v>
      </c>
      <c r="BC302">
        <v>0.15999999642372131</v>
      </c>
      <c r="BD302">
        <v>0</v>
      </c>
      <c r="BE302">
        <v>1</v>
      </c>
      <c r="BF302">
        <v>0</v>
      </c>
      <c r="BG302">
        <v>150</v>
      </c>
      <c r="BH302">
        <v>0</v>
      </c>
      <c r="BI302">
        <v>0.15999999642372131</v>
      </c>
      <c r="BJ302">
        <v>0</v>
      </c>
      <c r="BK302">
        <v>0</v>
      </c>
      <c r="BL302">
        <v>0</v>
      </c>
      <c r="BM302">
        <v>0</v>
      </c>
      <c r="BP302">
        <v>0</v>
      </c>
      <c r="BQ302">
        <v>0</v>
      </c>
      <c r="BT302">
        <v>0</v>
      </c>
      <c r="BU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1</v>
      </c>
    </row>
    <row r="303" spans="1:96" x14ac:dyDescent="0.25">
      <c r="A303">
        <v>302</v>
      </c>
      <c r="B303" t="s">
        <v>1246</v>
      </c>
      <c r="C303" t="s">
        <v>1247</v>
      </c>
      <c r="D303" t="s">
        <v>1248</v>
      </c>
      <c r="E303" t="s">
        <v>305</v>
      </c>
      <c r="F303" t="s">
        <v>127</v>
      </c>
      <c r="G303">
        <v>1</v>
      </c>
      <c r="H303">
        <v>1</v>
      </c>
      <c r="I303">
        <v>507</v>
      </c>
      <c r="J303">
        <v>0</v>
      </c>
      <c r="K303">
        <v>0</v>
      </c>
      <c r="L303">
        <v>25176.7</v>
      </c>
      <c r="M303">
        <v>21227</v>
      </c>
      <c r="N303">
        <v>27387.1</v>
      </c>
      <c r="O303">
        <v>1857.4</v>
      </c>
      <c r="P303">
        <v>20527.7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1.98</v>
      </c>
      <c r="W303">
        <v>1.5</v>
      </c>
      <c r="X303">
        <v>0</v>
      </c>
      <c r="Y303">
        <v>0</v>
      </c>
      <c r="Z303">
        <v>1.98</v>
      </c>
      <c r="AA303">
        <v>0</v>
      </c>
      <c r="AB303">
        <v>0</v>
      </c>
      <c r="AC303">
        <v>0</v>
      </c>
      <c r="AD303">
        <v>0</v>
      </c>
      <c r="AE303">
        <v>1.98</v>
      </c>
      <c r="AF303">
        <v>0</v>
      </c>
      <c r="AG303">
        <v>0</v>
      </c>
      <c r="AH303">
        <v>1.98</v>
      </c>
      <c r="AI303">
        <v>1.5</v>
      </c>
      <c r="AJ303">
        <v>0</v>
      </c>
      <c r="AK303">
        <v>0</v>
      </c>
      <c r="AL303">
        <v>1.9800000000000011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1.9800000000000011</v>
      </c>
      <c r="AS303">
        <v>0</v>
      </c>
      <c r="AT303">
        <v>1.98</v>
      </c>
      <c r="AU303">
        <v>1.9800000190734861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1.9800000190734861</v>
      </c>
      <c r="BC303">
        <v>0</v>
      </c>
      <c r="BD303">
        <v>1.9800000190734861</v>
      </c>
      <c r="BE303">
        <v>0</v>
      </c>
      <c r="BF303">
        <v>1</v>
      </c>
      <c r="BG303">
        <v>150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P303">
        <v>0</v>
      </c>
      <c r="BQ303">
        <v>0</v>
      </c>
      <c r="BT303">
        <v>0</v>
      </c>
      <c r="BU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</row>
    <row r="304" spans="1:96" x14ac:dyDescent="0.25">
      <c r="A304">
        <v>303</v>
      </c>
      <c r="B304" t="s">
        <v>1249</v>
      </c>
      <c r="C304" t="s">
        <v>1250</v>
      </c>
      <c r="D304" t="s">
        <v>1251</v>
      </c>
      <c r="E304" t="s">
        <v>1252</v>
      </c>
      <c r="F304" t="s">
        <v>127</v>
      </c>
      <c r="G304">
        <v>2</v>
      </c>
      <c r="H304">
        <v>1</v>
      </c>
      <c r="I304">
        <v>878</v>
      </c>
      <c r="J304">
        <v>0</v>
      </c>
      <c r="K304">
        <v>0</v>
      </c>
      <c r="L304">
        <v>18414.900000000001</v>
      </c>
      <c r="M304">
        <v>14465.2</v>
      </c>
      <c r="N304">
        <v>20625.3</v>
      </c>
      <c r="O304">
        <v>3828.7</v>
      </c>
      <c r="P304">
        <v>31142.7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4.88</v>
      </c>
      <c r="W304">
        <v>3.5</v>
      </c>
      <c r="X304">
        <v>0</v>
      </c>
      <c r="Y304">
        <v>0</v>
      </c>
      <c r="Z304">
        <v>0</v>
      </c>
      <c r="AA304">
        <v>0</v>
      </c>
      <c r="AB304">
        <v>4.88</v>
      </c>
      <c r="AC304">
        <v>0</v>
      </c>
      <c r="AD304">
        <v>0</v>
      </c>
      <c r="AE304">
        <v>0</v>
      </c>
      <c r="AF304">
        <v>4.88</v>
      </c>
      <c r="AG304">
        <v>0</v>
      </c>
      <c r="AH304">
        <v>4.88</v>
      </c>
      <c r="AI304">
        <v>3.5</v>
      </c>
      <c r="AJ304">
        <v>0</v>
      </c>
      <c r="AK304">
        <v>0</v>
      </c>
      <c r="AL304">
        <v>0</v>
      </c>
      <c r="AM304">
        <v>0</v>
      </c>
      <c r="AN304">
        <v>4.879999999999999</v>
      </c>
      <c r="AO304">
        <v>0</v>
      </c>
      <c r="AP304">
        <v>0</v>
      </c>
      <c r="AQ304">
        <v>0</v>
      </c>
      <c r="AR304">
        <v>4.879999999999999</v>
      </c>
      <c r="AS304">
        <v>0</v>
      </c>
      <c r="AT304">
        <v>4.88</v>
      </c>
      <c r="AU304">
        <v>0.98000001907348633</v>
      </c>
      <c r="AV304">
        <v>0</v>
      </c>
      <c r="AW304">
        <v>0</v>
      </c>
      <c r="AX304">
        <v>0</v>
      </c>
      <c r="AY304">
        <v>0</v>
      </c>
      <c r="AZ304">
        <v>0.98000001907348633</v>
      </c>
      <c r="BA304">
        <v>0</v>
      </c>
      <c r="BB304">
        <v>0</v>
      </c>
      <c r="BC304">
        <v>0.98000001907348633</v>
      </c>
      <c r="BD304">
        <v>0</v>
      </c>
      <c r="BE304">
        <v>1</v>
      </c>
      <c r="BF304">
        <v>0</v>
      </c>
      <c r="BG304">
        <v>150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P304">
        <v>0</v>
      </c>
      <c r="BQ304">
        <v>0</v>
      </c>
      <c r="BT304">
        <v>0</v>
      </c>
      <c r="BU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</row>
    <row r="305" spans="1:96" x14ac:dyDescent="0.25">
      <c r="A305">
        <v>304</v>
      </c>
      <c r="B305" t="s">
        <v>1253</v>
      </c>
      <c r="C305" t="s">
        <v>1254</v>
      </c>
      <c r="D305" t="s">
        <v>1255</v>
      </c>
      <c r="E305" t="s">
        <v>1256</v>
      </c>
      <c r="F305" t="s">
        <v>315</v>
      </c>
      <c r="G305">
        <v>2</v>
      </c>
      <c r="H305">
        <v>1</v>
      </c>
      <c r="I305">
        <v>3896</v>
      </c>
      <c r="J305">
        <v>0</v>
      </c>
      <c r="K305">
        <v>0</v>
      </c>
      <c r="L305">
        <v>3310.7</v>
      </c>
      <c r="M305">
        <v>613.79999999999995</v>
      </c>
      <c r="N305">
        <v>4529.6000000000004</v>
      </c>
      <c r="O305">
        <v>201.4</v>
      </c>
      <c r="P305">
        <v>4114.8999999999996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2.23</v>
      </c>
      <c r="W305">
        <v>3</v>
      </c>
      <c r="X305">
        <v>0.2</v>
      </c>
      <c r="Y305">
        <v>0</v>
      </c>
      <c r="Z305">
        <v>1.03</v>
      </c>
      <c r="AA305">
        <v>0.2</v>
      </c>
      <c r="AB305">
        <v>0.8</v>
      </c>
      <c r="AC305">
        <v>0</v>
      </c>
      <c r="AD305">
        <v>0</v>
      </c>
      <c r="AE305">
        <v>1.23</v>
      </c>
      <c r="AF305">
        <v>1</v>
      </c>
      <c r="AG305">
        <v>0</v>
      </c>
      <c r="AH305">
        <v>2.23</v>
      </c>
      <c r="AI305">
        <v>3</v>
      </c>
      <c r="AJ305">
        <v>0.2</v>
      </c>
      <c r="AK305">
        <v>0</v>
      </c>
      <c r="AL305">
        <v>1.03</v>
      </c>
      <c r="AM305">
        <v>0.2</v>
      </c>
      <c r="AN305">
        <v>0.79999999999999993</v>
      </c>
      <c r="AO305">
        <v>0</v>
      </c>
      <c r="AP305">
        <v>0</v>
      </c>
      <c r="AQ305">
        <v>1.03</v>
      </c>
      <c r="AR305">
        <v>1.2</v>
      </c>
      <c r="AS305">
        <v>0</v>
      </c>
      <c r="AT305">
        <v>2.23</v>
      </c>
      <c r="AU305">
        <v>1.029999971389771</v>
      </c>
      <c r="AV305">
        <v>0</v>
      </c>
      <c r="AW305">
        <v>0.10000000149011611</v>
      </c>
      <c r="AX305">
        <v>0</v>
      </c>
      <c r="AY305">
        <v>0</v>
      </c>
      <c r="AZ305">
        <v>0</v>
      </c>
      <c r="BA305">
        <v>0.62999999523162842</v>
      </c>
      <c r="BB305">
        <v>0.5</v>
      </c>
      <c r="BC305">
        <v>0</v>
      </c>
      <c r="BD305">
        <v>1.129999995231628</v>
      </c>
      <c r="BE305">
        <v>0</v>
      </c>
      <c r="BF305">
        <v>1</v>
      </c>
      <c r="BG305">
        <v>150</v>
      </c>
      <c r="BH305">
        <v>0</v>
      </c>
      <c r="BI305">
        <v>0</v>
      </c>
      <c r="BJ305">
        <v>0</v>
      </c>
      <c r="BK305">
        <v>0.10000000149011611</v>
      </c>
      <c r="BL305">
        <v>0</v>
      </c>
      <c r="BM305">
        <v>0</v>
      </c>
      <c r="BP305">
        <v>1</v>
      </c>
      <c r="BQ305">
        <v>1</v>
      </c>
      <c r="BR305">
        <v>2024</v>
      </c>
      <c r="BS305">
        <v>1</v>
      </c>
      <c r="BT305">
        <v>1</v>
      </c>
      <c r="BU305">
        <v>1</v>
      </c>
      <c r="BV305">
        <v>2024</v>
      </c>
      <c r="BW305">
        <v>2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1</v>
      </c>
      <c r="CR305">
        <v>0</v>
      </c>
    </row>
    <row r="306" spans="1:96" x14ac:dyDescent="0.25">
      <c r="A306">
        <v>305</v>
      </c>
      <c r="B306" t="s">
        <v>1257</v>
      </c>
      <c r="C306" t="s">
        <v>1258</v>
      </c>
      <c r="D306" t="s">
        <v>1259</v>
      </c>
      <c r="E306" t="s">
        <v>1260</v>
      </c>
      <c r="F306" t="s">
        <v>176</v>
      </c>
      <c r="G306">
        <v>2</v>
      </c>
      <c r="H306">
        <v>1</v>
      </c>
      <c r="I306">
        <v>1049</v>
      </c>
      <c r="J306">
        <v>0</v>
      </c>
      <c r="K306">
        <v>0</v>
      </c>
      <c r="L306">
        <v>4069.8</v>
      </c>
      <c r="M306">
        <v>4190.8999999999996</v>
      </c>
      <c r="N306">
        <v>2443.1</v>
      </c>
      <c r="O306">
        <v>1566.7</v>
      </c>
      <c r="P306">
        <v>13203.1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2.02</v>
      </c>
      <c r="W306">
        <v>3.5</v>
      </c>
      <c r="X306">
        <v>2.02</v>
      </c>
      <c r="Y306">
        <v>0</v>
      </c>
      <c r="Z306">
        <v>0</v>
      </c>
      <c r="AA306">
        <v>0</v>
      </c>
      <c r="AB306">
        <v>0</v>
      </c>
      <c r="AC306">
        <v>2.02</v>
      </c>
      <c r="AD306">
        <v>0</v>
      </c>
      <c r="AE306">
        <v>0</v>
      </c>
      <c r="AF306">
        <v>0</v>
      </c>
      <c r="AG306">
        <v>1</v>
      </c>
      <c r="AH306">
        <v>2.02</v>
      </c>
      <c r="AI306">
        <v>3.5</v>
      </c>
      <c r="AJ306">
        <v>2.02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2.02</v>
      </c>
      <c r="AQ306">
        <v>0</v>
      </c>
      <c r="AR306">
        <v>0</v>
      </c>
      <c r="AS306">
        <v>1</v>
      </c>
      <c r="AT306">
        <v>2.02</v>
      </c>
      <c r="AU306">
        <v>0</v>
      </c>
      <c r="AV306">
        <v>0</v>
      </c>
      <c r="AW306">
        <v>2</v>
      </c>
      <c r="AX306">
        <v>0</v>
      </c>
      <c r="AY306">
        <v>0</v>
      </c>
      <c r="AZ306">
        <v>2</v>
      </c>
      <c r="BA306">
        <v>0</v>
      </c>
      <c r="BB306">
        <v>0</v>
      </c>
      <c r="BC306">
        <v>2</v>
      </c>
      <c r="BD306">
        <v>0</v>
      </c>
      <c r="BE306">
        <v>1</v>
      </c>
      <c r="BF306">
        <v>0</v>
      </c>
      <c r="BG306">
        <v>150</v>
      </c>
      <c r="BH306">
        <v>0</v>
      </c>
      <c r="BI306">
        <v>2</v>
      </c>
      <c r="BJ306">
        <v>0</v>
      </c>
      <c r="BK306">
        <v>0</v>
      </c>
      <c r="BL306">
        <v>1</v>
      </c>
      <c r="BM306">
        <v>2</v>
      </c>
      <c r="BN306">
        <v>2023</v>
      </c>
      <c r="BO306">
        <v>1</v>
      </c>
      <c r="BP306">
        <v>1</v>
      </c>
      <c r="BQ306">
        <v>2</v>
      </c>
      <c r="BR306">
        <v>2023</v>
      </c>
      <c r="BS306">
        <v>2</v>
      </c>
      <c r="BT306">
        <v>1</v>
      </c>
      <c r="BU306">
        <v>2</v>
      </c>
      <c r="BV306">
        <v>2023</v>
      </c>
      <c r="BW306">
        <v>3</v>
      </c>
      <c r="BX306">
        <v>1</v>
      </c>
      <c r="BY306">
        <v>0</v>
      </c>
      <c r="BZ306">
        <v>1</v>
      </c>
      <c r="CA306">
        <v>0</v>
      </c>
      <c r="CB306">
        <v>0</v>
      </c>
      <c r="CC306">
        <v>1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1</v>
      </c>
      <c r="CP306">
        <v>0</v>
      </c>
      <c r="CQ306">
        <v>0</v>
      </c>
      <c r="CR306">
        <v>0</v>
      </c>
    </row>
    <row r="307" spans="1:96" x14ac:dyDescent="0.25">
      <c r="A307">
        <v>306</v>
      </c>
      <c r="B307" t="s">
        <v>1261</v>
      </c>
      <c r="C307" t="s">
        <v>1262</v>
      </c>
      <c r="D307" t="s">
        <v>1263</v>
      </c>
      <c r="E307" t="s">
        <v>1264</v>
      </c>
      <c r="F307" t="s">
        <v>176</v>
      </c>
      <c r="G307">
        <v>2</v>
      </c>
      <c r="H307">
        <v>1</v>
      </c>
      <c r="I307">
        <v>644</v>
      </c>
      <c r="J307">
        <v>0</v>
      </c>
      <c r="K307">
        <v>0</v>
      </c>
      <c r="L307">
        <v>4359.3999999999996</v>
      </c>
      <c r="M307">
        <v>4390.1000000000004</v>
      </c>
      <c r="N307">
        <v>11531.3</v>
      </c>
      <c r="O307">
        <v>1786.9</v>
      </c>
      <c r="P307">
        <v>6516.8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2.04</v>
      </c>
      <c r="W307">
        <v>3</v>
      </c>
      <c r="X307">
        <v>0</v>
      </c>
      <c r="Y307">
        <v>0</v>
      </c>
      <c r="Z307">
        <v>0</v>
      </c>
      <c r="AA307">
        <v>2.04</v>
      </c>
      <c r="AB307">
        <v>0</v>
      </c>
      <c r="AC307">
        <v>0</v>
      </c>
      <c r="AD307">
        <v>0</v>
      </c>
      <c r="AE307">
        <v>0</v>
      </c>
      <c r="AF307">
        <v>2.04</v>
      </c>
      <c r="AG307">
        <v>0</v>
      </c>
      <c r="AH307">
        <v>2.04</v>
      </c>
      <c r="AI307">
        <v>3</v>
      </c>
      <c r="AJ307">
        <v>0</v>
      </c>
      <c r="AK307">
        <v>0</v>
      </c>
      <c r="AL307">
        <v>0</v>
      </c>
      <c r="AM307">
        <v>2.04</v>
      </c>
      <c r="AN307">
        <v>0</v>
      </c>
      <c r="AO307">
        <v>0</v>
      </c>
      <c r="AP307">
        <v>0</v>
      </c>
      <c r="AQ307">
        <v>0</v>
      </c>
      <c r="AR307">
        <v>2.04</v>
      </c>
      <c r="AS307">
        <v>0</v>
      </c>
      <c r="AT307">
        <v>2.04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150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P307">
        <v>0</v>
      </c>
      <c r="BQ307">
        <v>0</v>
      </c>
      <c r="BT307">
        <v>1</v>
      </c>
      <c r="BU307">
        <v>1</v>
      </c>
      <c r="BV307">
        <v>2025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</row>
    <row r="308" spans="1:96" x14ac:dyDescent="0.25">
      <c r="A308">
        <v>307</v>
      </c>
      <c r="B308" t="s">
        <v>1265</v>
      </c>
      <c r="C308" t="s">
        <v>1266</v>
      </c>
      <c r="D308" t="s">
        <v>1267</v>
      </c>
      <c r="E308" t="s">
        <v>1268</v>
      </c>
      <c r="F308" t="s">
        <v>127</v>
      </c>
      <c r="G308">
        <v>1</v>
      </c>
      <c r="H308">
        <v>1</v>
      </c>
      <c r="I308">
        <v>340</v>
      </c>
      <c r="J308">
        <v>0</v>
      </c>
      <c r="K308">
        <v>0</v>
      </c>
      <c r="L308">
        <v>6198.5</v>
      </c>
      <c r="M308">
        <v>3506.8</v>
      </c>
      <c r="N308">
        <v>6173.1</v>
      </c>
      <c r="O308">
        <v>314.39999999999998</v>
      </c>
      <c r="P308">
        <v>7923.7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0.66</v>
      </c>
      <c r="W308">
        <v>3</v>
      </c>
      <c r="X308">
        <v>0.66</v>
      </c>
      <c r="Y308">
        <v>0</v>
      </c>
      <c r="Z308">
        <v>0</v>
      </c>
      <c r="AA308">
        <v>0</v>
      </c>
      <c r="AB308">
        <v>0</v>
      </c>
      <c r="AC308">
        <v>0.66</v>
      </c>
      <c r="AD308">
        <v>0</v>
      </c>
      <c r="AE308">
        <v>0</v>
      </c>
      <c r="AF308">
        <v>0</v>
      </c>
      <c r="AG308">
        <v>1</v>
      </c>
      <c r="AH308">
        <v>0.66</v>
      </c>
      <c r="AI308">
        <v>3</v>
      </c>
      <c r="AJ308">
        <v>0.65999999999999992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0.4</v>
      </c>
      <c r="AQ308">
        <v>0.2</v>
      </c>
      <c r="AR308">
        <v>0.06</v>
      </c>
      <c r="AS308">
        <v>0.60606060606060597</v>
      </c>
      <c r="AT308">
        <v>0.66</v>
      </c>
      <c r="AU308">
        <v>0</v>
      </c>
      <c r="AV308">
        <v>0</v>
      </c>
      <c r="AW308">
        <v>0.6600000262260437</v>
      </c>
      <c r="AX308">
        <v>0</v>
      </c>
      <c r="AY308">
        <v>0</v>
      </c>
      <c r="AZ308">
        <v>0.20000000298023221</v>
      </c>
      <c r="BA308">
        <v>0.10000000149011611</v>
      </c>
      <c r="BB308">
        <v>0.36000001430511469</v>
      </c>
      <c r="BC308">
        <v>0.20000000298023221</v>
      </c>
      <c r="BD308">
        <v>0.46000001579523092</v>
      </c>
      <c r="BE308">
        <v>0.30303029892530009</v>
      </c>
      <c r="BF308">
        <v>0.69696970107469991</v>
      </c>
      <c r="BG308">
        <v>150</v>
      </c>
      <c r="BH308">
        <v>0</v>
      </c>
      <c r="BI308">
        <v>0.20000000298023221</v>
      </c>
      <c r="BJ308">
        <v>0.10000000149011611</v>
      </c>
      <c r="BK308">
        <v>0.36000001430511469</v>
      </c>
      <c r="BL308">
        <v>0</v>
      </c>
      <c r="BM308">
        <v>0</v>
      </c>
      <c r="BP308">
        <v>0</v>
      </c>
      <c r="BQ308">
        <v>0</v>
      </c>
      <c r="BT308">
        <v>0</v>
      </c>
      <c r="BU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</row>
    <row r="309" spans="1:96" x14ac:dyDescent="0.25">
      <c r="A309">
        <v>308</v>
      </c>
      <c r="B309" t="s">
        <v>1269</v>
      </c>
      <c r="C309" t="s">
        <v>1270</v>
      </c>
      <c r="D309" t="s">
        <v>1271</v>
      </c>
      <c r="E309" t="s">
        <v>1272</v>
      </c>
      <c r="F309" t="s">
        <v>105</v>
      </c>
      <c r="G309">
        <v>2</v>
      </c>
      <c r="H309">
        <v>1</v>
      </c>
      <c r="I309">
        <v>1152</v>
      </c>
      <c r="J309">
        <v>0</v>
      </c>
      <c r="K309">
        <v>0</v>
      </c>
      <c r="L309">
        <v>1719.7</v>
      </c>
      <c r="M309">
        <v>1507.5</v>
      </c>
      <c r="N309">
        <v>6525</v>
      </c>
      <c r="O309">
        <v>1400.5</v>
      </c>
      <c r="P309">
        <v>5074.2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1.05</v>
      </c>
      <c r="W309">
        <v>3.5</v>
      </c>
      <c r="X309">
        <v>0</v>
      </c>
      <c r="Y309">
        <v>0</v>
      </c>
      <c r="Z309">
        <v>0</v>
      </c>
      <c r="AA309">
        <v>1.05</v>
      </c>
      <c r="AB309">
        <v>0</v>
      </c>
      <c r="AC309">
        <v>0</v>
      </c>
      <c r="AD309">
        <v>0</v>
      </c>
      <c r="AE309">
        <v>0</v>
      </c>
      <c r="AF309">
        <v>1.05</v>
      </c>
      <c r="AG309">
        <v>0</v>
      </c>
      <c r="AH309">
        <v>1.05</v>
      </c>
      <c r="AI309">
        <v>3.5</v>
      </c>
      <c r="AJ309">
        <v>0</v>
      </c>
      <c r="AK309">
        <v>0</v>
      </c>
      <c r="AL309">
        <v>0</v>
      </c>
      <c r="AM309">
        <v>1.05</v>
      </c>
      <c r="AN309">
        <v>0</v>
      </c>
      <c r="AO309">
        <v>0</v>
      </c>
      <c r="AP309">
        <v>0</v>
      </c>
      <c r="AQ309">
        <v>0</v>
      </c>
      <c r="AR309">
        <v>1.05</v>
      </c>
      <c r="AS309">
        <v>0</v>
      </c>
      <c r="AT309">
        <v>1.05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150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2</v>
      </c>
      <c r="BN309">
        <v>2023</v>
      </c>
      <c r="BO309">
        <v>1</v>
      </c>
      <c r="BP309">
        <v>1</v>
      </c>
      <c r="BQ309">
        <v>2</v>
      </c>
      <c r="BR309">
        <v>2023</v>
      </c>
      <c r="BS309">
        <v>2</v>
      </c>
      <c r="BT309">
        <v>1</v>
      </c>
      <c r="BU309">
        <v>2</v>
      </c>
      <c r="BV309">
        <v>2023</v>
      </c>
      <c r="BW309">
        <v>3</v>
      </c>
      <c r="BX309">
        <v>0</v>
      </c>
      <c r="BY309">
        <v>1</v>
      </c>
      <c r="BZ309">
        <v>1</v>
      </c>
      <c r="CA309">
        <v>0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1</v>
      </c>
    </row>
    <row r="310" spans="1:96" x14ac:dyDescent="0.25">
      <c r="A310">
        <v>309</v>
      </c>
      <c r="B310" t="s">
        <v>1273</v>
      </c>
      <c r="C310" t="s">
        <v>1274</v>
      </c>
      <c r="D310" t="s">
        <v>1275</v>
      </c>
      <c r="E310" t="s">
        <v>1276</v>
      </c>
      <c r="F310" t="s">
        <v>127</v>
      </c>
      <c r="G310">
        <v>2</v>
      </c>
      <c r="H310">
        <v>1</v>
      </c>
      <c r="I310">
        <v>1327</v>
      </c>
      <c r="J310">
        <v>0</v>
      </c>
      <c r="K310">
        <v>0</v>
      </c>
      <c r="L310">
        <v>1930.8</v>
      </c>
      <c r="M310">
        <v>2770.5</v>
      </c>
      <c r="N310">
        <v>6675.5</v>
      </c>
      <c r="O310">
        <v>763.3</v>
      </c>
      <c r="P310">
        <v>5253.2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1.61</v>
      </c>
      <c r="W310">
        <v>3.5</v>
      </c>
      <c r="X310">
        <v>1.61</v>
      </c>
      <c r="Y310">
        <v>0</v>
      </c>
      <c r="Z310">
        <v>0</v>
      </c>
      <c r="AA310">
        <v>0</v>
      </c>
      <c r="AB310">
        <v>0</v>
      </c>
      <c r="AC310">
        <v>1.61</v>
      </c>
      <c r="AD310">
        <v>0</v>
      </c>
      <c r="AE310">
        <v>0</v>
      </c>
      <c r="AF310">
        <v>0</v>
      </c>
      <c r="AG310">
        <v>1</v>
      </c>
      <c r="AH310">
        <v>1.61</v>
      </c>
      <c r="AI310">
        <v>3.5</v>
      </c>
      <c r="AJ310">
        <v>1.61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1.61</v>
      </c>
      <c r="AQ310">
        <v>0</v>
      </c>
      <c r="AR310">
        <v>0</v>
      </c>
      <c r="AS310">
        <v>1</v>
      </c>
      <c r="AT310">
        <v>1.61</v>
      </c>
      <c r="AU310">
        <v>0</v>
      </c>
      <c r="AV310">
        <v>0</v>
      </c>
      <c r="AW310">
        <v>1.610000014305115</v>
      </c>
      <c r="AX310">
        <v>0</v>
      </c>
      <c r="AY310">
        <v>0</v>
      </c>
      <c r="AZ310">
        <v>1.2100000381469731</v>
      </c>
      <c r="BA310">
        <v>0.30000001192092901</v>
      </c>
      <c r="BB310">
        <v>0.10000000149011611</v>
      </c>
      <c r="BC310">
        <v>1.2100000381469731</v>
      </c>
      <c r="BD310">
        <v>0.40000001341104507</v>
      </c>
      <c r="BE310">
        <v>0.75155279465739155</v>
      </c>
      <c r="BF310">
        <v>0.2484472053426085</v>
      </c>
      <c r="BG310">
        <v>150</v>
      </c>
      <c r="BH310">
        <v>0</v>
      </c>
      <c r="BI310">
        <v>1.2100000381469731</v>
      </c>
      <c r="BJ310">
        <v>0.30000001192092901</v>
      </c>
      <c r="BK310">
        <v>0.10000000149011611</v>
      </c>
      <c r="BL310">
        <v>1</v>
      </c>
      <c r="BM310">
        <v>1</v>
      </c>
      <c r="BN310">
        <v>2023</v>
      </c>
      <c r="BO310">
        <v>1</v>
      </c>
      <c r="BP310">
        <v>1</v>
      </c>
      <c r="BQ310">
        <v>2</v>
      </c>
      <c r="BR310">
        <v>2024</v>
      </c>
      <c r="BS310">
        <v>1</v>
      </c>
      <c r="BT310">
        <v>1</v>
      </c>
      <c r="BU310">
        <v>2</v>
      </c>
      <c r="BV310">
        <v>2024</v>
      </c>
      <c r="BW310">
        <v>2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0</v>
      </c>
      <c r="CD310">
        <v>0</v>
      </c>
      <c r="CE310">
        <v>1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</row>
    <row r="311" spans="1:96" x14ac:dyDescent="0.25">
      <c r="A311">
        <v>310</v>
      </c>
      <c r="B311" t="s">
        <v>1277</v>
      </c>
      <c r="C311" t="s">
        <v>1278</v>
      </c>
      <c r="D311" t="s">
        <v>1279</v>
      </c>
      <c r="E311" t="s">
        <v>378</v>
      </c>
      <c r="F311" t="s">
        <v>105</v>
      </c>
      <c r="G311">
        <v>2</v>
      </c>
      <c r="H311">
        <v>1</v>
      </c>
      <c r="I311">
        <v>1247</v>
      </c>
      <c r="J311">
        <v>0</v>
      </c>
      <c r="K311">
        <v>0</v>
      </c>
      <c r="L311">
        <v>2227.1999999999998</v>
      </c>
      <c r="M311">
        <v>2247</v>
      </c>
      <c r="N311">
        <v>3854.6</v>
      </c>
      <c r="O311">
        <v>338.4</v>
      </c>
      <c r="P311">
        <v>40544.1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</v>
      </c>
      <c r="W311">
        <v>3</v>
      </c>
      <c r="X311">
        <v>0.5</v>
      </c>
      <c r="Y311">
        <v>0</v>
      </c>
      <c r="Z311">
        <v>0</v>
      </c>
      <c r="AA311">
        <v>0</v>
      </c>
      <c r="AB311">
        <v>0</v>
      </c>
      <c r="AC311">
        <v>0.5</v>
      </c>
      <c r="AD311">
        <v>0</v>
      </c>
      <c r="AE311">
        <v>0</v>
      </c>
      <c r="AF311">
        <v>0</v>
      </c>
      <c r="AG311">
        <v>1</v>
      </c>
      <c r="AH311">
        <v>0.5</v>
      </c>
      <c r="AI311">
        <v>3</v>
      </c>
      <c r="AJ311">
        <v>0.5</v>
      </c>
      <c r="AK311">
        <v>0</v>
      </c>
      <c r="AL311">
        <v>0</v>
      </c>
      <c r="AM311">
        <v>0</v>
      </c>
      <c r="AN311">
        <v>0</v>
      </c>
      <c r="AO311">
        <v>0.5</v>
      </c>
      <c r="AP311">
        <v>0</v>
      </c>
      <c r="AQ311">
        <v>0</v>
      </c>
      <c r="AR311">
        <v>0</v>
      </c>
      <c r="AS311">
        <v>1</v>
      </c>
      <c r="AT311">
        <v>0.5</v>
      </c>
      <c r="AU311">
        <v>0</v>
      </c>
      <c r="AV311">
        <v>0</v>
      </c>
      <c r="AW311">
        <v>0.5</v>
      </c>
      <c r="AX311">
        <v>0</v>
      </c>
      <c r="AY311">
        <v>0.20000000298023221</v>
      </c>
      <c r="AZ311">
        <v>0.30000001192092901</v>
      </c>
      <c r="BA311">
        <v>0</v>
      </c>
      <c r="BB311">
        <v>0</v>
      </c>
      <c r="BC311">
        <v>0.50000001490116119</v>
      </c>
      <c r="BD311">
        <v>0</v>
      </c>
      <c r="BE311">
        <v>1</v>
      </c>
      <c r="BF311">
        <v>0</v>
      </c>
      <c r="BG311">
        <v>150</v>
      </c>
      <c r="BH311">
        <v>0.20000000298023221</v>
      </c>
      <c r="BI311">
        <v>0.30000001192092901</v>
      </c>
      <c r="BJ311">
        <v>0</v>
      </c>
      <c r="BK311">
        <v>0</v>
      </c>
      <c r="BL311">
        <v>0</v>
      </c>
      <c r="BM311">
        <v>0</v>
      </c>
      <c r="BP311">
        <v>0</v>
      </c>
      <c r="BQ311">
        <v>0</v>
      </c>
      <c r="BT311">
        <v>0</v>
      </c>
      <c r="BU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</row>
    <row r="312" spans="1:96" x14ac:dyDescent="0.25">
      <c r="A312">
        <v>311</v>
      </c>
      <c r="B312" t="s">
        <v>1280</v>
      </c>
      <c r="C312" t="s">
        <v>1281</v>
      </c>
      <c r="D312" t="s">
        <v>1282</v>
      </c>
      <c r="E312" t="s">
        <v>1283</v>
      </c>
      <c r="F312" t="s">
        <v>310</v>
      </c>
      <c r="G312">
        <v>2</v>
      </c>
      <c r="H312">
        <v>1</v>
      </c>
      <c r="I312">
        <v>383</v>
      </c>
      <c r="J312">
        <v>0</v>
      </c>
      <c r="K312">
        <v>0</v>
      </c>
      <c r="L312">
        <v>38431.300000000003</v>
      </c>
      <c r="M312">
        <v>5308.5</v>
      </c>
      <c r="N312">
        <v>40641.699999999997</v>
      </c>
      <c r="O312">
        <v>1530.9</v>
      </c>
      <c r="P312">
        <v>5930.7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1.1599999999999999</v>
      </c>
      <c r="W312">
        <v>1</v>
      </c>
      <c r="X312">
        <v>0</v>
      </c>
      <c r="Y312">
        <v>0</v>
      </c>
      <c r="Z312">
        <v>1.1599999999999999</v>
      </c>
      <c r="AA312">
        <v>0</v>
      </c>
      <c r="AB312">
        <v>0</v>
      </c>
      <c r="AC312">
        <v>0.36</v>
      </c>
      <c r="AD312">
        <v>0.2</v>
      </c>
      <c r="AE312">
        <v>0.6</v>
      </c>
      <c r="AF312">
        <v>0</v>
      </c>
      <c r="AG312">
        <v>0.48275862068965508</v>
      </c>
      <c r="AH312">
        <v>1.1599999999999999</v>
      </c>
      <c r="AI312">
        <v>1.5</v>
      </c>
      <c r="AJ312">
        <v>0</v>
      </c>
      <c r="AK312">
        <v>0</v>
      </c>
      <c r="AL312">
        <v>1.1599999999999999</v>
      </c>
      <c r="AM312">
        <v>0</v>
      </c>
      <c r="AN312">
        <v>0</v>
      </c>
      <c r="AO312">
        <v>0</v>
      </c>
      <c r="AP312">
        <v>0.36</v>
      </c>
      <c r="AQ312">
        <v>0.79999999999999993</v>
      </c>
      <c r="AR312">
        <v>0</v>
      </c>
      <c r="AS312">
        <v>0.31034482758620702</v>
      </c>
      <c r="AT312">
        <v>1.1599999999999999</v>
      </c>
      <c r="AU312">
        <v>1.1599999666213989</v>
      </c>
      <c r="AV312">
        <v>0</v>
      </c>
      <c r="AW312">
        <v>0</v>
      </c>
      <c r="AX312">
        <v>0</v>
      </c>
      <c r="AY312">
        <v>0</v>
      </c>
      <c r="AZ312">
        <v>0.36000001430511469</v>
      </c>
      <c r="BA312">
        <v>0.80000001192092896</v>
      </c>
      <c r="BB312">
        <v>0</v>
      </c>
      <c r="BC312">
        <v>0.36000001430511469</v>
      </c>
      <c r="BD312">
        <v>0.80000001192092896</v>
      </c>
      <c r="BE312">
        <v>0.31034483290172199</v>
      </c>
      <c r="BF312">
        <v>0.6896551670982779</v>
      </c>
      <c r="BG312">
        <v>150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1</v>
      </c>
      <c r="BN312">
        <v>2023</v>
      </c>
      <c r="BO312">
        <v>1</v>
      </c>
      <c r="BP312">
        <v>1</v>
      </c>
      <c r="BQ312">
        <v>1</v>
      </c>
      <c r="BR312">
        <v>2023</v>
      </c>
      <c r="BS312">
        <v>2</v>
      </c>
      <c r="BT312">
        <v>1</v>
      </c>
      <c r="BU312">
        <v>1</v>
      </c>
      <c r="BV312">
        <v>2023</v>
      </c>
      <c r="BW312">
        <v>3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</row>
    <row r="313" spans="1:96" x14ac:dyDescent="0.25">
      <c r="A313">
        <v>312</v>
      </c>
      <c r="B313" t="s">
        <v>1284</v>
      </c>
      <c r="C313" t="s">
        <v>1285</v>
      </c>
      <c r="D313" t="s">
        <v>1286</v>
      </c>
      <c r="E313" t="s">
        <v>1009</v>
      </c>
      <c r="F313" t="s">
        <v>203</v>
      </c>
      <c r="G313">
        <v>3</v>
      </c>
      <c r="H313">
        <v>2</v>
      </c>
      <c r="I313">
        <v>1967</v>
      </c>
      <c r="J313">
        <v>0</v>
      </c>
      <c r="K313">
        <v>1</v>
      </c>
      <c r="L313">
        <v>1183.2</v>
      </c>
      <c r="M313">
        <v>2223.6</v>
      </c>
      <c r="N313">
        <v>7793.6</v>
      </c>
      <c r="O313">
        <v>981.5</v>
      </c>
      <c r="P313">
        <v>9536.7999999999993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1.1100000000000001</v>
      </c>
      <c r="W313">
        <v>3</v>
      </c>
      <c r="X313">
        <v>1.1100000000000001</v>
      </c>
      <c r="Y313">
        <v>0</v>
      </c>
      <c r="Z313">
        <v>0</v>
      </c>
      <c r="AA313">
        <v>0</v>
      </c>
      <c r="AB313">
        <v>0</v>
      </c>
      <c r="AC313">
        <v>1.1100000000000001</v>
      </c>
      <c r="AD313">
        <v>0</v>
      </c>
      <c r="AE313">
        <v>0</v>
      </c>
      <c r="AF313">
        <v>0</v>
      </c>
      <c r="AG313">
        <v>1</v>
      </c>
      <c r="AH313">
        <v>1.1100000000000001</v>
      </c>
      <c r="AI313">
        <v>3</v>
      </c>
      <c r="AJ313">
        <v>1.1100000000000001</v>
      </c>
      <c r="AK313">
        <v>0</v>
      </c>
      <c r="AL313">
        <v>0</v>
      </c>
      <c r="AM313">
        <v>0</v>
      </c>
      <c r="AN313">
        <v>0</v>
      </c>
      <c r="AO313">
        <v>1.1100000000000001</v>
      </c>
      <c r="AP313">
        <v>0</v>
      </c>
      <c r="AQ313">
        <v>0</v>
      </c>
      <c r="AR313">
        <v>0</v>
      </c>
      <c r="AS313">
        <v>1</v>
      </c>
      <c r="AT313">
        <v>1.1100000000000001</v>
      </c>
      <c r="AU313">
        <v>0</v>
      </c>
      <c r="AV313">
        <v>0</v>
      </c>
      <c r="AW313">
        <v>1.110000014305115</v>
      </c>
      <c r="AX313">
        <v>0</v>
      </c>
      <c r="AY313">
        <v>0.9100000262260437</v>
      </c>
      <c r="AZ313">
        <v>0.20000000298023221</v>
      </c>
      <c r="BA313">
        <v>0</v>
      </c>
      <c r="BB313">
        <v>0</v>
      </c>
      <c r="BC313">
        <v>1.1100000292062759</v>
      </c>
      <c r="BD313">
        <v>0</v>
      </c>
      <c r="BE313">
        <v>1</v>
      </c>
      <c r="BF313">
        <v>0</v>
      </c>
      <c r="BG313">
        <v>150</v>
      </c>
      <c r="BH313">
        <v>0.9100000262260437</v>
      </c>
      <c r="BI313">
        <v>0.20000000298023221</v>
      </c>
      <c r="BJ313">
        <v>0</v>
      </c>
      <c r="BK313">
        <v>0</v>
      </c>
      <c r="BL313">
        <v>1</v>
      </c>
      <c r="BM313">
        <v>1</v>
      </c>
      <c r="BN313">
        <v>2023</v>
      </c>
      <c r="BO313">
        <v>1</v>
      </c>
      <c r="BP313">
        <v>1</v>
      </c>
      <c r="BQ313">
        <v>1</v>
      </c>
      <c r="BR313">
        <v>2023</v>
      </c>
      <c r="BS313">
        <v>2</v>
      </c>
      <c r="BT313">
        <v>1</v>
      </c>
      <c r="BU313">
        <v>1</v>
      </c>
      <c r="BV313">
        <v>2023</v>
      </c>
      <c r="BW313">
        <v>3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</row>
    <row r="314" spans="1:96" x14ac:dyDescent="0.25">
      <c r="A314">
        <v>313</v>
      </c>
      <c r="B314" t="s">
        <v>1287</v>
      </c>
      <c r="C314" t="s">
        <v>1288</v>
      </c>
      <c r="D314" t="s">
        <v>1289</v>
      </c>
      <c r="E314" t="s">
        <v>1290</v>
      </c>
      <c r="F314" t="s">
        <v>203</v>
      </c>
      <c r="G314">
        <v>4</v>
      </c>
      <c r="H314">
        <v>2</v>
      </c>
      <c r="I314">
        <v>3450</v>
      </c>
      <c r="J314">
        <v>1</v>
      </c>
      <c r="K314">
        <v>1</v>
      </c>
      <c r="L314">
        <v>3451.8</v>
      </c>
      <c r="M314">
        <v>5726.6</v>
      </c>
      <c r="N314">
        <v>11399.7</v>
      </c>
      <c r="O314">
        <v>145.5</v>
      </c>
      <c r="P314">
        <v>6836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</v>
      </c>
      <c r="W314">
        <v>3</v>
      </c>
      <c r="X314">
        <v>6.74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4.4000000000000004</v>
      </c>
      <c r="AE314">
        <v>2.14</v>
      </c>
      <c r="AF314">
        <v>0.2</v>
      </c>
      <c r="AG314">
        <v>0.65281899109792274</v>
      </c>
      <c r="AH314">
        <v>6.74</v>
      </c>
      <c r="AI314">
        <v>3</v>
      </c>
      <c r="AJ314">
        <v>6.7399999999999922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3.740000000000002</v>
      </c>
      <c r="AQ314">
        <v>2.2000000000000011</v>
      </c>
      <c r="AR314">
        <v>0.79999999999999993</v>
      </c>
      <c r="AS314">
        <v>0.55489614243323448</v>
      </c>
      <c r="AT314">
        <v>6.74</v>
      </c>
      <c r="AU314">
        <v>0</v>
      </c>
      <c r="AV314">
        <v>0</v>
      </c>
      <c r="AW314">
        <v>6.7399997711181641</v>
      </c>
      <c r="AX314">
        <v>0</v>
      </c>
      <c r="AY314">
        <v>0.89999997615814209</v>
      </c>
      <c r="AZ314">
        <v>2.1400001049041748</v>
      </c>
      <c r="BA314">
        <v>2</v>
      </c>
      <c r="BB314">
        <v>1.700000047683716</v>
      </c>
      <c r="BC314">
        <v>3.0400000810623169</v>
      </c>
      <c r="BD314">
        <v>3.7000000476837158</v>
      </c>
      <c r="BE314">
        <v>0.4510385790790637</v>
      </c>
      <c r="BF314">
        <v>0.54896142092093636</v>
      </c>
      <c r="BG314">
        <v>150</v>
      </c>
      <c r="BH314">
        <v>0.89999997615814209</v>
      </c>
      <c r="BI314">
        <v>2.1400001049041748</v>
      </c>
      <c r="BJ314">
        <v>2</v>
      </c>
      <c r="BK314">
        <v>1.700000047683716</v>
      </c>
      <c r="BL314">
        <v>1</v>
      </c>
      <c r="BM314">
        <v>1</v>
      </c>
      <c r="BN314">
        <v>2023</v>
      </c>
      <c r="BO314">
        <v>1</v>
      </c>
      <c r="BP314">
        <v>1</v>
      </c>
      <c r="BQ314">
        <v>2</v>
      </c>
      <c r="BR314">
        <v>2024</v>
      </c>
      <c r="BS314">
        <v>1</v>
      </c>
      <c r="BT314">
        <v>1</v>
      </c>
      <c r="BU314">
        <v>3</v>
      </c>
      <c r="BV314">
        <v>2025</v>
      </c>
      <c r="BW314">
        <v>1</v>
      </c>
      <c r="BX314">
        <v>0</v>
      </c>
      <c r="BY314">
        <v>0</v>
      </c>
      <c r="BZ314">
        <v>1</v>
      </c>
      <c r="CA314">
        <v>1</v>
      </c>
      <c r="CB314">
        <v>1</v>
      </c>
      <c r="CC314">
        <v>0</v>
      </c>
      <c r="CD314">
        <v>0</v>
      </c>
      <c r="CE314">
        <v>1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1</v>
      </c>
      <c r="CN314">
        <v>0</v>
      </c>
      <c r="CO314">
        <v>0</v>
      </c>
      <c r="CP314">
        <v>0</v>
      </c>
      <c r="CQ314">
        <v>1</v>
      </c>
      <c r="CR314">
        <v>0</v>
      </c>
    </row>
    <row r="315" spans="1:96" x14ac:dyDescent="0.25">
      <c r="A315">
        <v>314</v>
      </c>
      <c r="B315" t="s">
        <v>1291</v>
      </c>
      <c r="C315" t="s">
        <v>1292</v>
      </c>
      <c r="D315" t="s">
        <v>1293</v>
      </c>
      <c r="E315" t="s">
        <v>1294</v>
      </c>
      <c r="F315" t="s">
        <v>149</v>
      </c>
      <c r="G315">
        <v>2</v>
      </c>
      <c r="H315">
        <v>1</v>
      </c>
      <c r="I315">
        <v>1383</v>
      </c>
      <c r="J315">
        <v>0</v>
      </c>
      <c r="K315">
        <v>0</v>
      </c>
      <c r="L315">
        <v>1884.6</v>
      </c>
      <c r="M315">
        <v>3129</v>
      </c>
      <c r="N315">
        <v>8698.9</v>
      </c>
      <c r="O315">
        <v>1459.4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2.2599999999999998</v>
      </c>
      <c r="W315">
        <v>3</v>
      </c>
      <c r="X315">
        <v>2.2599999999999998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1.46</v>
      </c>
      <c r="AE315">
        <v>0.6</v>
      </c>
      <c r="AF315">
        <v>0.2</v>
      </c>
      <c r="AG315">
        <v>0.64601769911504414</v>
      </c>
      <c r="AH315">
        <v>2.2599999999999998</v>
      </c>
      <c r="AI315">
        <v>3</v>
      </c>
      <c r="AJ315">
        <v>2.2600000000000011</v>
      </c>
      <c r="AK315">
        <v>0</v>
      </c>
      <c r="AL315">
        <v>0</v>
      </c>
      <c r="AM315">
        <v>0</v>
      </c>
      <c r="AN315">
        <v>0</v>
      </c>
      <c r="AO315">
        <v>0.99999999999999989</v>
      </c>
      <c r="AP315">
        <v>0.85999999999999988</v>
      </c>
      <c r="AQ315">
        <v>0.4</v>
      </c>
      <c r="AR315">
        <v>0</v>
      </c>
      <c r="AS315">
        <v>0.82300884955752218</v>
      </c>
      <c r="AT315">
        <v>2.2599999999999998</v>
      </c>
      <c r="AU315">
        <v>0</v>
      </c>
      <c r="AV315">
        <v>0</v>
      </c>
      <c r="AW315">
        <v>2.2599999904632568</v>
      </c>
      <c r="AX315">
        <v>0</v>
      </c>
      <c r="AY315">
        <v>1.200000047683716</v>
      </c>
      <c r="AZ315">
        <v>1.059999942779541</v>
      </c>
      <c r="BA315">
        <v>0</v>
      </c>
      <c r="BB315">
        <v>0</v>
      </c>
      <c r="BC315">
        <v>2.2599999904632568</v>
      </c>
      <c r="BD315">
        <v>0</v>
      </c>
      <c r="BE315">
        <v>1</v>
      </c>
      <c r="BF315">
        <v>0</v>
      </c>
      <c r="BG315">
        <v>150</v>
      </c>
      <c r="BH315">
        <v>1.200000047683716</v>
      </c>
      <c r="BI315">
        <v>1.059999942779541</v>
      </c>
      <c r="BJ315">
        <v>0</v>
      </c>
      <c r="BK315">
        <v>0</v>
      </c>
      <c r="BL315">
        <v>0</v>
      </c>
      <c r="BM315">
        <v>0</v>
      </c>
      <c r="BP315">
        <v>1</v>
      </c>
      <c r="BQ315">
        <v>1</v>
      </c>
      <c r="BR315">
        <v>2024</v>
      </c>
      <c r="BS315">
        <v>1</v>
      </c>
      <c r="BT315">
        <v>1</v>
      </c>
      <c r="BU315">
        <v>1</v>
      </c>
      <c r="BV315">
        <v>2024</v>
      </c>
      <c r="BW315">
        <v>2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</row>
    <row r="316" spans="1:96" x14ac:dyDescent="0.25">
      <c r="A316">
        <v>315</v>
      </c>
      <c r="B316" t="s">
        <v>1295</v>
      </c>
      <c r="C316" t="s">
        <v>1296</v>
      </c>
      <c r="D316" t="s">
        <v>1297</v>
      </c>
      <c r="E316" t="s">
        <v>1298</v>
      </c>
      <c r="F316" t="s">
        <v>185</v>
      </c>
      <c r="G316">
        <v>3</v>
      </c>
      <c r="H316">
        <v>1</v>
      </c>
      <c r="I316">
        <v>1322</v>
      </c>
      <c r="J316">
        <v>0</v>
      </c>
      <c r="K316">
        <v>0</v>
      </c>
      <c r="O316">
        <v>737.9</v>
      </c>
      <c r="P316">
        <v>9365.6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8.0299999999999994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8.0299999999999994</v>
      </c>
      <c r="AC316">
        <v>0</v>
      </c>
      <c r="AD316">
        <v>0</v>
      </c>
      <c r="AE316">
        <v>0</v>
      </c>
      <c r="AF316">
        <v>8.0299999999999994</v>
      </c>
      <c r="AG316">
        <v>0</v>
      </c>
      <c r="AH316">
        <v>8.0299999999999994</v>
      </c>
      <c r="AI316">
        <v>3</v>
      </c>
      <c r="AJ316">
        <v>0</v>
      </c>
      <c r="AK316">
        <v>0</v>
      </c>
      <c r="AL316">
        <v>0</v>
      </c>
      <c r="AM316">
        <v>0</v>
      </c>
      <c r="AN316">
        <v>8.0299999999999869</v>
      </c>
      <c r="AO316">
        <v>0</v>
      </c>
      <c r="AP316">
        <v>0</v>
      </c>
      <c r="AQ316">
        <v>0</v>
      </c>
      <c r="AR316">
        <v>8.0299999999999869</v>
      </c>
      <c r="AS316">
        <v>0</v>
      </c>
      <c r="AT316">
        <v>8.0299999999999994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150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P316">
        <v>0</v>
      </c>
      <c r="BQ316">
        <v>0</v>
      </c>
      <c r="BT316">
        <v>0</v>
      </c>
      <c r="BU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</row>
    <row r="317" spans="1:96" x14ac:dyDescent="0.25">
      <c r="A317">
        <v>316</v>
      </c>
      <c r="B317" t="s">
        <v>1299</v>
      </c>
      <c r="C317" t="s">
        <v>1300</v>
      </c>
      <c r="D317" t="s">
        <v>1301</v>
      </c>
      <c r="E317" t="s">
        <v>1302</v>
      </c>
      <c r="F317" t="s">
        <v>176</v>
      </c>
      <c r="G317">
        <v>8</v>
      </c>
      <c r="H317">
        <v>1</v>
      </c>
      <c r="I317">
        <v>2472</v>
      </c>
      <c r="J317">
        <v>0</v>
      </c>
      <c r="K317">
        <v>1</v>
      </c>
      <c r="L317">
        <v>521.79999999999995</v>
      </c>
      <c r="M317">
        <v>552.5</v>
      </c>
      <c r="N317">
        <v>7693.7</v>
      </c>
      <c r="O317">
        <v>1000.2</v>
      </c>
      <c r="P317">
        <v>6193.3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7.3</v>
      </c>
      <c r="W317">
        <v>3</v>
      </c>
      <c r="X317">
        <v>7.3</v>
      </c>
      <c r="Y317">
        <v>0</v>
      </c>
      <c r="Z317">
        <v>0</v>
      </c>
      <c r="AA317">
        <v>0</v>
      </c>
      <c r="AB317">
        <v>0</v>
      </c>
      <c r="AC317">
        <v>7</v>
      </c>
      <c r="AD317">
        <v>0.3</v>
      </c>
      <c r="AE317">
        <v>0</v>
      </c>
      <c r="AF317">
        <v>0</v>
      </c>
      <c r="AG317">
        <v>1</v>
      </c>
      <c r="AH317">
        <v>7.3</v>
      </c>
      <c r="AI317">
        <v>3</v>
      </c>
      <c r="AJ317">
        <v>7.2999999999999901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7.0999999999999908</v>
      </c>
      <c r="AQ317">
        <v>0.2</v>
      </c>
      <c r="AR317">
        <v>0</v>
      </c>
      <c r="AS317">
        <v>0.97260273972602729</v>
      </c>
      <c r="AT317">
        <v>7.3</v>
      </c>
      <c r="AU317">
        <v>0</v>
      </c>
      <c r="AV317">
        <v>0</v>
      </c>
      <c r="AW317">
        <v>7.3000001907348633</v>
      </c>
      <c r="AX317">
        <v>0</v>
      </c>
      <c r="AY317">
        <v>0</v>
      </c>
      <c r="AZ317">
        <v>7</v>
      </c>
      <c r="BA317">
        <v>0.30000001192092901</v>
      </c>
      <c r="BB317">
        <v>0</v>
      </c>
      <c r="BC317">
        <v>7</v>
      </c>
      <c r="BD317">
        <v>0.30000001192092901</v>
      </c>
      <c r="BE317">
        <v>0.95890410802314685</v>
      </c>
      <c r="BF317">
        <v>4.1095891976853108E-2</v>
      </c>
      <c r="BG317">
        <v>150</v>
      </c>
      <c r="BH317">
        <v>0</v>
      </c>
      <c r="BI317">
        <v>7</v>
      </c>
      <c r="BJ317">
        <v>0.30000001192092901</v>
      </c>
      <c r="BK317">
        <v>0</v>
      </c>
      <c r="BL317">
        <v>1</v>
      </c>
      <c r="BM317">
        <v>3</v>
      </c>
      <c r="BN317">
        <v>2023</v>
      </c>
      <c r="BO317">
        <v>1</v>
      </c>
      <c r="BP317">
        <v>1</v>
      </c>
      <c r="BQ317">
        <v>3</v>
      </c>
      <c r="BR317">
        <v>2023</v>
      </c>
      <c r="BS317">
        <v>2</v>
      </c>
      <c r="BT317">
        <v>1</v>
      </c>
      <c r="BU317">
        <v>3</v>
      </c>
      <c r="BV317">
        <v>2023</v>
      </c>
      <c r="BW317">
        <v>3</v>
      </c>
      <c r="BX317">
        <v>1</v>
      </c>
      <c r="BY317">
        <v>1</v>
      </c>
      <c r="BZ317">
        <v>1</v>
      </c>
      <c r="CA317">
        <v>0</v>
      </c>
      <c r="CB317">
        <v>0</v>
      </c>
      <c r="CC317">
        <v>0</v>
      </c>
      <c r="CD317">
        <v>1</v>
      </c>
      <c r="CE317">
        <v>1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1</v>
      </c>
      <c r="CN317">
        <v>0</v>
      </c>
      <c r="CO317">
        <v>1</v>
      </c>
      <c r="CP317">
        <v>0</v>
      </c>
      <c r="CQ317">
        <v>0</v>
      </c>
      <c r="CR317">
        <v>0</v>
      </c>
    </row>
    <row r="318" spans="1:96" x14ac:dyDescent="0.25">
      <c r="A318">
        <v>317</v>
      </c>
      <c r="B318" t="s">
        <v>1303</v>
      </c>
      <c r="C318" t="s">
        <v>1304</v>
      </c>
      <c r="D318" t="s">
        <v>1305</v>
      </c>
      <c r="E318" t="s">
        <v>1306</v>
      </c>
      <c r="F318" t="s">
        <v>176</v>
      </c>
      <c r="G318">
        <v>3</v>
      </c>
      <c r="H318">
        <v>1</v>
      </c>
      <c r="I318">
        <v>1361</v>
      </c>
      <c r="J318">
        <v>0</v>
      </c>
      <c r="K318">
        <v>0</v>
      </c>
      <c r="L318">
        <v>4723.8</v>
      </c>
      <c r="M318">
        <v>1843.3</v>
      </c>
      <c r="N318">
        <v>4521.5</v>
      </c>
      <c r="O318">
        <v>1010.2</v>
      </c>
      <c r="P318">
        <v>30302.6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1.59</v>
      </c>
      <c r="W318">
        <v>3</v>
      </c>
      <c r="X318">
        <v>1.59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0.99</v>
      </c>
      <c r="AE318">
        <v>0.6</v>
      </c>
      <c r="AF318">
        <v>0</v>
      </c>
      <c r="AG318">
        <v>0.62264150943396235</v>
      </c>
      <c r="AH318">
        <v>1.59</v>
      </c>
      <c r="AI318">
        <v>3</v>
      </c>
      <c r="AJ318">
        <v>1.59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1.0900000000000001</v>
      </c>
      <c r="AQ318">
        <v>0.5</v>
      </c>
      <c r="AR318">
        <v>0</v>
      </c>
      <c r="AS318">
        <v>0.68553459119496851</v>
      </c>
      <c r="AT318">
        <v>1.59</v>
      </c>
      <c r="AU318">
        <v>0</v>
      </c>
      <c r="AV318">
        <v>0</v>
      </c>
      <c r="AW318">
        <v>1.5900000333786011</v>
      </c>
      <c r="AX318">
        <v>0</v>
      </c>
      <c r="AY318">
        <v>0</v>
      </c>
      <c r="AZ318">
        <v>0.10000000149011611</v>
      </c>
      <c r="BA318">
        <v>0.5</v>
      </c>
      <c r="BB318">
        <v>0.99000000953674316</v>
      </c>
      <c r="BC318">
        <v>0.10000000149011611</v>
      </c>
      <c r="BD318">
        <v>1.4900000095367429</v>
      </c>
      <c r="BE318">
        <v>6.2893082262014441E-2</v>
      </c>
      <c r="BF318">
        <v>0.9371069177379856</v>
      </c>
      <c r="BG318">
        <v>150</v>
      </c>
      <c r="BH318">
        <v>0</v>
      </c>
      <c r="BI318">
        <v>0.10000000149011611</v>
      </c>
      <c r="BJ318">
        <v>0.5</v>
      </c>
      <c r="BK318">
        <v>0.99000000953674316</v>
      </c>
      <c r="BL318">
        <v>1</v>
      </c>
      <c r="BM318">
        <v>1</v>
      </c>
      <c r="BN318">
        <v>2022</v>
      </c>
      <c r="BO318">
        <v>2</v>
      </c>
      <c r="BP318">
        <v>1</v>
      </c>
      <c r="BQ318">
        <v>1</v>
      </c>
      <c r="BR318">
        <v>2022</v>
      </c>
      <c r="BS318">
        <v>3</v>
      </c>
      <c r="BT318">
        <v>1</v>
      </c>
      <c r="BU318">
        <v>1</v>
      </c>
      <c r="BV318">
        <v>2022</v>
      </c>
      <c r="BW318">
        <v>4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1</v>
      </c>
      <c r="CQ318">
        <v>0</v>
      </c>
      <c r="CR318">
        <v>0</v>
      </c>
    </row>
    <row r="319" spans="1:96" x14ac:dyDescent="0.25">
      <c r="A319">
        <v>318</v>
      </c>
      <c r="B319" t="s">
        <v>1307</v>
      </c>
      <c r="C319" t="s">
        <v>1308</v>
      </c>
      <c r="D319" t="s">
        <v>1309</v>
      </c>
      <c r="E319" t="s">
        <v>1310</v>
      </c>
      <c r="F319" t="s">
        <v>310</v>
      </c>
      <c r="G319">
        <v>2</v>
      </c>
      <c r="H319">
        <v>1</v>
      </c>
      <c r="I319">
        <v>712</v>
      </c>
      <c r="J319">
        <v>1</v>
      </c>
      <c r="K319">
        <v>0</v>
      </c>
      <c r="L319">
        <v>28189.8</v>
      </c>
      <c r="M319">
        <v>6376.2</v>
      </c>
      <c r="N319">
        <v>30400.2</v>
      </c>
      <c r="O319">
        <v>422.1</v>
      </c>
      <c r="P319">
        <v>33413.1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0.66</v>
      </c>
      <c r="W319">
        <v>1.5</v>
      </c>
      <c r="X319">
        <v>0</v>
      </c>
      <c r="Y319">
        <v>0</v>
      </c>
      <c r="Z319">
        <v>0.66</v>
      </c>
      <c r="AA319">
        <v>0</v>
      </c>
      <c r="AB319">
        <v>0</v>
      </c>
      <c r="AC319">
        <v>0.66</v>
      </c>
      <c r="AD319">
        <v>0</v>
      </c>
      <c r="AE319">
        <v>0</v>
      </c>
      <c r="AF319">
        <v>0</v>
      </c>
      <c r="AG319">
        <v>1</v>
      </c>
      <c r="AH319">
        <v>0.66</v>
      </c>
      <c r="AI319">
        <v>1.5</v>
      </c>
      <c r="AJ319">
        <v>0.65999999999999992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0.65999999999999992</v>
      </c>
      <c r="AQ319">
        <v>0</v>
      </c>
      <c r="AR319">
        <v>0</v>
      </c>
      <c r="AS319">
        <v>1</v>
      </c>
      <c r="AT319">
        <v>0.66</v>
      </c>
      <c r="AU319">
        <v>0.56000000238418579</v>
      </c>
      <c r="AV319">
        <v>0.10000000149011611</v>
      </c>
      <c r="AW319">
        <v>0</v>
      </c>
      <c r="AX319">
        <v>0</v>
      </c>
      <c r="AY319">
        <v>0</v>
      </c>
      <c r="AZ319">
        <v>0.20000000298023221</v>
      </c>
      <c r="BA319">
        <v>0.40000000596046448</v>
      </c>
      <c r="BB319">
        <v>5.9999998658895493E-2</v>
      </c>
      <c r="BC319">
        <v>0.20000000298023221</v>
      </c>
      <c r="BD319">
        <v>0.46000000461936003</v>
      </c>
      <c r="BE319">
        <v>0.30303030405655379</v>
      </c>
      <c r="BF319">
        <v>0.69696969594344627</v>
      </c>
      <c r="BG319">
        <v>150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P319">
        <v>1</v>
      </c>
      <c r="BQ319">
        <v>1</v>
      </c>
      <c r="BR319">
        <v>2024</v>
      </c>
      <c r="BS319">
        <v>1</v>
      </c>
      <c r="BT319">
        <v>1</v>
      </c>
      <c r="BU319">
        <v>1</v>
      </c>
      <c r="BV319">
        <v>2024</v>
      </c>
      <c r="BW319">
        <v>2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</row>
    <row r="320" spans="1:96" x14ac:dyDescent="0.25">
      <c r="A320">
        <v>319</v>
      </c>
      <c r="B320" t="s">
        <v>1311</v>
      </c>
      <c r="C320" t="s">
        <v>1312</v>
      </c>
      <c r="D320" t="s">
        <v>1313</v>
      </c>
      <c r="E320" t="s">
        <v>1314</v>
      </c>
      <c r="F320" t="s">
        <v>310</v>
      </c>
      <c r="G320">
        <v>2</v>
      </c>
      <c r="H320">
        <v>1</v>
      </c>
      <c r="I320">
        <v>740</v>
      </c>
      <c r="J320">
        <v>1</v>
      </c>
      <c r="K320">
        <v>0</v>
      </c>
      <c r="L320">
        <v>31300.400000000001</v>
      </c>
      <c r="M320">
        <v>10246.299999999999</v>
      </c>
      <c r="N320">
        <v>33510.699999999997</v>
      </c>
      <c r="O320">
        <v>2940.2</v>
      </c>
      <c r="P320">
        <v>34426.6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7.65</v>
      </c>
      <c r="W320">
        <v>3</v>
      </c>
      <c r="X320">
        <v>7.65</v>
      </c>
      <c r="Y320">
        <v>0</v>
      </c>
      <c r="Z320">
        <v>0</v>
      </c>
      <c r="AA320">
        <v>0</v>
      </c>
      <c r="AB320">
        <v>0</v>
      </c>
      <c r="AC320">
        <v>0.8</v>
      </c>
      <c r="AD320">
        <v>3.25</v>
      </c>
      <c r="AE320">
        <v>3</v>
      </c>
      <c r="AF320">
        <v>0.6</v>
      </c>
      <c r="AG320">
        <v>0.52941176470588236</v>
      </c>
      <c r="AH320">
        <v>7.65</v>
      </c>
      <c r="AI320">
        <v>3</v>
      </c>
      <c r="AJ320">
        <v>7.6499999999999888</v>
      </c>
      <c r="AK320">
        <v>0</v>
      </c>
      <c r="AL320">
        <v>0</v>
      </c>
      <c r="AM320">
        <v>0</v>
      </c>
      <c r="AN320">
        <v>0</v>
      </c>
      <c r="AO320">
        <v>1.8</v>
      </c>
      <c r="AP320">
        <v>2.6500000000000008</v>
      </c>
      <c r="AQ320">
        <v>2</v>
      </c>
      <c r="AR320">
        <v>1.2</v>
      </c>
      <c r="AS320">
        <v>0.5816993464052288</v>
      </c>
      <c r="AT320">
        <v>7.65</v>
      </c>
      <c r="AU320">
        <v>0</v>
      </c>
      <c r="AV320">
        <v>0</v>
      </c>
      <c r="AW320">
        <v>7.6500000953674316</v>
      </c>
      <c r="AX320">
        <v>0</v>
      </c>
      <c r="AY320">
        <v>2.2000000476837158</v>
      </c>
      <c r="AZ320">
        <v>3.0499999523162842</v>
      </c>
      <c r="BA320">
        <v>2</v>
      </c>
      <c r="BB320">
        <v>0.40000000596046448</v>
      </c>
      <c r="BC320">
        <v>5.25</v>
      </c>
      <c r="BD320">
        <v>2.400000005960464</v>
      </c>
      <c r="BE320">
        <v>0.68627450926921374</v>
      </c>
      <c r="BF320">
        <v>0.31372549073078632</v>
      </c>
      <c r="BG320">
        <v>150</v>
      </c>
      <c r="BH320">
        <v>2.2000000476837158</v>
      </c>
      <c r="BI320">
        <v>3.0499999523162842</v>
      </c>
      <c r="BJ320">
        <v>2</v>
      </c>
      <c r="BK320">
        <v>0.40000000596046448</v>
      </c>
      <c r="BL320">
        <v>1</v>
      </c>
      <c r="BM320">
        <v>1</v>
      </c>
      <c r="BN320">
        <v>2023</v>
      </c>
      <c r="BO320">
        <v>1</v>
      </c>
      <c r="BP320">
        <v>1</v>
      </c>
      <c r="BQ320">
        <v>2</v>
      </c>
      <c r="BR320">
        <v>2024</v>
      </c>
      <c r="BS320">
        <v>1</v>
      </c>
      <c r="BT320">
        <v>1</v>
      </c>
      <c r="BU320">
        <v>3</v>
      </c>
      <c r="BV320">
        <v>2025</v>
      </c>
      <c r="BW320">
        <v>1</v>
      </c>
      <c r="BX320">
        <v>0</v>
      </c>
      <c r="BY320">
        <v>0</v>
      </c>
      <c r="BZ320">
        <v>1</v>
      </c>
      <c r="CA320">
        <v>1</v>
      </c>
      <c r="CB320">
        <v>1</v>
      </c>
      <c r="CC320">
        <v>0</v>
      </c>
      <c r="CD320">
        <v>0</v>
      </c>
      <c r="CE320">
        <v>1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</row>
    <row r="321" spans="1:96" x14ac:dyDescent="0.25">
      <c r="A321">
        <v>320</v>
      </c>
      <c r="B321" t="s">
        <v>1315</v>
      </c>
      <c r="C321" t="s">
        <v>1316</v>
      </c>
      <c r="D321" t="s">
        <v>1317</v>
      </c>
      <c r="E321" t="s">
        <v>575</v>
      </c>
      <c r="F321" t="s">
        <v>310</v>
      </c>
      <c r="G321">
        <v>1</v>
      </c>
      <c r="H321">
        <v>1</v>
      </c>
      <c r="I321">
        <v>266</v>
      </c>
      <c r="J321">
        <v>0</v>
      </c>
      <c r="K321">
        <v>0</v>
      </c>
      <c r="L321">
        <v>32313.9</v>
      </c>
      <c r="M321">
        <v>11259.8</v>
      </c>
      <c r="N321">
        <v>34524.300000000003</v>
      </c>
      <c r="O321">
        <v>2327.6999999999998</v>
      </c>
      <c r="P321">
        <v>8108.2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0.4</v>
      </c>
      <c r="W321">
        <v>1</v>
      </c>
      <c r="X321">
        <v>0</v>
      </c>
      <c r="Y321">
        <v>0</v>
      </c>
      <c r="Z321">
        <v>0.4</v>
      </c>
      <c r="AA321">
        <v>0</v>
      </c>
      <c r="AB321">
        <v>0</v>
      </c>
      <c r="AC321">
        <v>0</v>
      </c>
      <c r="AD321">
        <v>0.2</v>
      </c>
      <c r="AE321">
        <v>0</v>
      </c>
      <c r="AF321">
        <v>0.2</v>
      </c>
      <c r="AG321">
        <v>0.5</v>
      </c>
      <c r="AH321">
        <v>0.4</v>
      </c>
      <c r="AI321">
        <v>1.5</v>
      </c>
      <c r="AJ321">
        <v>0</v>
      </c>
      <c r="AK321">
        <v>0</v>
      </c>
      <c r="AL321">
        <v>0.4</v>
      </c>
      <c r="AM321">
        <v>0</v>
      </c>
      <c r="AN321">
        <v>0</v>
      </c>
      <c r="AO321">
        <v>0</v>
      </c>
      <c r="AP321">
        <v>0.2</v>
      </c>
      <c r="AQ321">
        <v>0</v>
      </c>
      <c r="AR321">
        <v>0.2</v>
      </c>
      <c r="AS321">
        <v>0.5</v>
      </c>
      <c r="AT321">
        <v>0.4</v>
      </c>
      <c r="AU321">
        <v>0.40000000596046448</v>
      </c>
      <c r="AV321">
        <v>0</v>
      </c>
      <c r="AW321">
        <v>0</v>
      </c>
      <c r="AX321">
        <v>0</v>
      </c>
      <c r="AY321">
        <v>0</v>
      </c>
      <c r="AZ321">
        <v>0.30000001192092901</v>
      </c>
      <c r="BA321">
        <v>0</v>
      </c>
      <c r="BB321">
        <v>0.10000000149011611</v>
      </c>
      <c r="BC321">
        <v>0.30000001192092901</v>
      </c>
      <c r="BD321">
        <v>0.10000000149011611</v>
      </c>
      <c r="BE321">
        <v>0.75000000465661276</v>
      </c>
      <c r="BF321">
        <v>0.24999999534338729</v>
      </c>
      <c r="BG321">
        <v>150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P321">
        <v>0</v>
      </c>
      <c r="BQ321">
        <v>0</v>
      </c>
      <c r="BT321">
        <v>0</v>
      </c>
      <c r="BU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</row>
    <row r="322" spans="1:96" x14ac:dyDescent="0.25">
      <c r="A322">
        <v>321</v>
      </c>
      <c r="B322" t="s">
        <v>1318</v>
      </c>
      <c r="C322" t="s">
        <v>1319</v>
      </c>
      <c r="D322" t="s">
        <v>1320</v>
      </c>
      <c r="E322" t="s">
        <v>1321</v>
      </c>
      <c r="F322" t="s">
        <v>149</v>
      </c>
      <c r="G322">
        <v>3</v>
      </c>
      <c r="H322">
        <v>1</v>
      </c>
      <c r="I322">
        <v>1729</v>
      </c>
      <c r="J322">
        <v>0</v>
      </c>
      <c r="K322">
        <v>0</v>
      </c>
      <c r="L322">
        <v>1881.3</v>
      </c>
      <c r="M322">
        <v>2948.4</v>
      </c>
      <c r="N322">
        <v>9971.1</v>
      </c>
      <c r="O322">
        <v>316.3</v>
      </c>
      <c r="P322">
        <v>3930.7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1.49</v>
      </c>
      <c r="W322">
        <v>3</v>
      </c>
      <c r="X322">
        <v>1.49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0.2</v>
      </c>
      <c r="AE322">
        <v>0.49</v>
      </c>
      <c r="AF322">
        <v>0.8</v>
      </c>
      <c r="AG322">
        <v>0.13422818791946309</v>
      </c>
      <c r="AH322">
        <v>1.49</v>
      </c>
      <c r="AI322">
        <v>3</v>
      </c>
      <c r="AJ322">
        <v>1.49</v>
      </c>
      <c r="AK322">
        <v>0</v>
      </c>
      <c r="AL322">
        <v>0</v>
      </c>
      <c r="AM322">
        <v>0</v>
      </c>
      <c r="AN322">
        <v>0</v>
      </c>
      <c r="AO322">
        <v>1.49</v>
      </c>
      <c r="AP322">
        <v>0</v>
      </c>
      <c r="AQ322">
        <v>0</v>
      </c>
      <c r="AR322">
        <v>0</v>
      </c>
      <c r="AS322">
        <v>1</v>
      </c>
      <c r="AT322">
        <v>1.49</v>
      </c>
      <c r="AU322">
        <v>0</v>
      </c>
      <c r="AV322">
        <v>0</v>
      </c>
      <c r="AW322">
        <v>1.4900000095367429</v>
      </c>
      <c r="AX322">
        <v>0</v>
      </c>
      <c r="AY322">
        <v>1.4900000095367429</v>
      </c>
      <c r="AZ322">
        <v>0</v>
      </c>
      <c r="BA322">
        <v>0</v>
      </c>
      <c r="BB322">
        <v>0</v>
      </c>
      <c r="BC322">
        <v>1.4900000095367429</v>
      </c>
      <c r="BD322">
        <v>0</v>
      </c>
      <c r="BE322">
        <v>1</v>
      </c>
      <c r="BF322">
        <v>0</v>
      </c>
      <c r="BG322">
        <v>150</v>
      </c>
      <c r="BH322">
        <v>1.4900000095367429</v>
      </c>
      <c r="BI322">
        <v>0</v>
      </c>
      <c r="BJ322">
        <v>0</v>
      </c>
      <c r="BK322">
        <v>0</v>
      </c>
      <c r="BL322">
        <v>0</v>
      </c>
      <c r="BM322">
        <v>0</v>
      </c>
      <c r="BP322">
        <v>1</v>
      </c>
      <c r="BQ322">
        <v>1</v>
      </c>
      <c r="BR322">
        <v>2024</v>
      </c>
      <c r="BS322">
        <v>1</v>
      </c>
      <c r="BT322">
        <v>1</v>
      </c>
      <c r="BU322">
        <v>1</v>
      </c>
      <c r="BV322">
        <v>2024</v>
      </c>
      <c r="BW322">
        <v>2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</row>
    <row r="323" spans="1:96" x14ac:dyDescent="0.25">
      <c r="A323">
        <v>322</v>
      </c>
      <c r="B323" t="s">
        <v>1322</v>
      </c>
      <c r="C323" t="s">
        <v>1323</v>
      </c>
      <c r="D323" t="s">
        <v>1324</v>
      </c>
      <c r="E323" t="s">
        <v>1325</v>
      </c>
      <c r="F323" t="s">
        <v>100</v>
      </c>
      <c r="G323">
        <v>2</v>
      </c>
      <c r="H323">
        <v>1</v>
      </c>
      <c r="I323">
        <v>717</v>
      </c>
      <c r="J323">
        <v>0</v>
      </c>
      <c r="K323">
        <v>0</v>
      </c>
      <c r="L323">
        <v>4249.1000000000004</v>
      </c>
      <c r="M323">
        <v>4208.3999999999996</v>
      </c>
      <c r="N323">
        <v>5604.4</v>
      </c>
      <c r="O323">
        <v>672.9</v>
      </c>
      <c r="P323">
        <v>13564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0.64</v>
      </c>
      <c r="W323">
        <v>3</v>
      </c>
      <c r="X323">
        <v>0</v>
      </c>
      <c r="Y323">
        <v>0</v>
      </c>
      <c r="Z323">
        <v>0</v>
      </c>
      <c r="AA323">
        <v>0.64</v>
      </c>
      <c r="AB323">
        <v>0</v>
      </c>
      <c r="AC323">
        <v>0</v>
      </c>
      <c r="AD323">
        <v>0</v>
      </c>
      <c r="AE323">
        <v>0</v>
      </c>
      <c r="AF323">
        <v>0.64</v>
      </c>
      <c r="AG323">
        <v>0</v>
      </c>
      <c r="AH323">
        <v>0.64</v>
      </c>
      <c r="AI323">
        <v>3</v>
      </c>
      <c r="AJ323">
        <v>0.64</v>
      </c>
      <c r="AK323">
        <v>0</v>
      </c>
      <c r="AL323">
        <v>0</v>
      </c>
      <c r="AM323">
        <v>0</v>
      </c>
      <c r="AN323">
        <v>0</v>
      </c>
      <c r="AO323">
        <v>0.64</v>
      </c>
      <c r="AP323">
        <v>0</v>
      </c>
      <c r="AQ323">
        <v>0</v>
      </c>
      <c r="AR323">
        <v>0</v>
      </c>
      <c r="AS323">
        <v>1</v>
      </c>
      <c r="AT323">
        <v>0.64</v>
      </c>
      <c r="AU323">
        <v>0</v>
      </c>
      <c r="AV323">
        <v>0</v>
      </c>
      <c r="AW323">
        <v>0.63999998569488525</v>
      </c>
      <c r="AX323">
        <v>0</v>
      </c>
      <c r="AY323">
        <v>0.63999998569488525</v>
      </c>
      <c r="AZ323">
        <v>0</v>
      </c>
      <c r="BA323">
        <v>0</v>
      </c>
      <c r="BB323">
        <v>0</v>
      </c>
      <c r="BC323">
        <v>0.63999998569488525</v>
      </c>
      <c r="BD323">
        <v>0</v>
      </c>
      <c r="BE323">
        <v>1</v>
      </c>
      <c r="BF323">
        <v>0</v>
      </c>
      <c r="BG323">
        <v>150</v>
      </c>
      <c r="BH323">
        <v>0.63999998569488525</v>
      </c>
      <c r="BI323">
        <v>0</v>
      </c>
      <c r="BJ323">
        <v>0</v>
      </c>
      <c r="BK323">
        <v>0</v>
      </c>
      <c r="BL323">
        <v>0</v>
      </c>
      <c r="BM323">
        <v>0</v>
      </c>
      <c r="BP323">
        <v>1</v>
      </c>
      <c r="BQ323">
        <v>1</v>
      </c>
      <c r="BR323">
        <v>2024</v>
      </c>
      <c r="BS323">
        <v>1</v>
      </c>
      <c r="BT323">
        <v>1</v>
      </c>
      <c r="BU323">
        <v>1</v>
      </c>
      <c r="BV323">
        <v>2024</v>
      </c>
      <c r="BW323">
        <v>2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</row>
    <row r="324" spans="1:96" x14ac:dyDescent="0.25">
      <c r="A324">
        <v>323</v>
      </c>
      <c r="B324" t="s">
        <v>1326</v>
      </c>
      <c r="C324" t="s">
        <v>1327</v>
      </c>
      <c r="D324" t="s">
        <v>1328</v>
      </c>
      <c r="E324" t="s">
        <v>1329</v>
      </c>
      <c r="F324" t="s">
        <v>132</v>
      </c>
      <c r="G324">
        <v>3</v>
      </c>
      <c r="H324">
        <v>1</v>
      </c>
      <c r="I324">
        <v>536</v>
      </c>
      <c r="J324">
        <v>0</v>
      </c>
      <c r="K324">
        <v>0</v>
      </c>
      <c r="L324">
        <v>5667.6</v>
      </c>
      <c r="M324">
        <v>1807.7</v>
      </c>
      <c r="N324">
        <v>15354.2</v>
      </c>
      <c r="O324">
        <v>208.6</v>
      </c>
      <c r="P324">
        <v>5233.5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2.82</v>
      </c>
      <c r="W324">
        <v>3</v>
      </c>
      <c r="X324">
        <v>2.82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2.82</v>
      </c>
      <c r="AE324">
        <v>0</v>
      </c>
      <c r="AF324">
        <v>0</v>
      </c>
      <c r="AG324">
        <v>1</v>
      </c>
      <c r="AH324">
        <v>2.82</v>
      </c>
      <c r="AI324">
        <v>3</v>
      </c>
      <c r="AJ324">
        <v>2.8200000000000012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2.02</v>
      </c>
      <c r="AQ324">
        <v>0.6</v>
      </c>
      <c r="AR324">
        <v>0.2</v>
      </c>
      <c r="AS324">
        <v>0.71631205673758858</v>
      </c>
      <c r="AT324">
        <v>2.82</v>
      </c>
      <c r="AU324">
        <v>0</v>
      </c>
      <c r="AV324">
        <v>0</v>
      </c>
      <c r="AW324">
        <v>2.8199999332427979</v>
      </c>
      <c r="AX324">
        <v>0</v>
      </c>
      <c r="AY324">
        <v>0</v>
      </c>
      <c r="AZ324">
        <v>0.89999997615814209</v>
      </c>
      <c r="BA324">
        <v>1.0199999809265139</v>
      </c>
      <c r="BB324">
        <v>0.89999997615814209</v>
      </c>
      <c r="BC324">
        <v>0.89999997615814209</v>
      </c>
      <c r="BD324">
        <v>1.919999957084656</v>
      </c>
      <c r="BE324">
        <v>0.31914893527079152</v>
      </c>
      <c r="BF324">
        <v>0.68085106472920853</v>
      </c>
      <c r="BG324">
        <v>150</v>
      </c>
      <c r="BH324">
        <v>0</v>
      </c>
      <c r="BI324">
        <v>0.89999997615814209</v>
      </c>
      <c r="BJ324">
        <v>1.0199999809265139</v>
      </c>
      <c r="BK324">
        <v>0.89999997615814209</v>
      </c>
      <c r="BL324">
        <v>1</v>
      </c>
      <c r="BM324">
        <v>2</v>
      </c>
      <c r="BN324">
        <v>2022</v>
      </c>
      <c r="BO324">
        <v>2</v>
      </c>
      <c r="BP324">
        <v>1</v>
      </c>
      <c r="BQ324">
        <v>2</v>
      </c>
      <c r="BR324">
        <v>2022</v>
      </c>
      <c r="BS324">
        <v>3</v>
      </c>
      <c r="BT324">
        <v>1</v>
      </c>
      <c r="BU324">
        <v>2</v>
      </c>
      <c r="BV324">
        <v>2022</v>
      </c>
      <c r="BW324">
        <v>4</v>
      </c>
      <c r="BX324">
        <v>1</v>
      </c>
      <c r="BY324">
        <v>1</v>
      </c>
      <c r="BZ324">
        <v>0</v>
      </c>
      <c r="CA324">
        <v>0</v>
      </c>
      <c r="CB324">
        <v>0</v>
      </c>
      <c r="CC324">
        <v>1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</v>
      </c>
      <c r="CN324">
        <v>0</v>
      </c>
      <c r="CO324">
        <v>1</v>
      </c>
      <c r="CP324">
        <v>0</v>
      </c>
      <c r="CQ324">
        <v>0</v>
      </c>
      <c r="CR324">
        <v>0</v>
      </c>
    </row>
    <row r="325" spans="1:96" x14ac:dyDescent="0.25">
      <c r="A325">
        <v>324</v>
      </c>
      <c r="B325" t="s">
        <v>1330</v>
      </c>
      <c r="C325" t="s">
        <v>1331</v>
      </c>
      <c r="D325" t="s">
        <v>1332</v>
      </c>
      <c r="E325" t="s">
        <v>1333</v>
      </c>
      <c r="F325" t="s">
        <v>363</v>
      </c>
      <c r="G325">
        <v>1</v>
      </c>
      <c r="H325">
        <v>1</v>
      </c>
      <c r="I325">
        <v>616</v>
      </c>
      <c r="J325">
        <v>1</v>
      </c>
      <c r="K325">
        <v>0</v>
      </c>
      <c r="L325">
        <v>2918.2</v>
      </c>
      <c r="M325">
        <v>1429</v>
      </c>
      <c r="N325">
        <v>4137.1000000000004</v>
      </c>
      <c r="O325">
        <v>1065.5999999999999</v>
      </c>
      <c r="P325">
        <v>30750.2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0.18</v>
      </c>
      <c r="W325">
        <v>3</v>
      </c>
      <c r="X325">
        <v>0.18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0.18</v>
      </c>
      <c r="AG325">
        <v>0</v>
      </c>
      <c r="AH325">
        <v>0.18</v>
      </c>
      <c r="AI325">
        <v>3</v>
      </c>
      <c r="AJ325">
        <v>0.18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0.18</v>
      </c>
      <c r="AS325">
        <v>0</v>
      </c>
      <c r="AT325">
        <v>0.18</v>
      </c>
      <c r="AU325">
        <v>0</v>
      </c>
      <c r="AV325">
        <v>0</v>
      </c>
      <c r="AW325">
        <v>0.1800000071525574</v>
      </c>
      <c r="AX325">
        <v>0</v>
      </c>
      <c r="AY325">
        <v>0</v>
      </c>
      <c r="AZ325">
        <v>0</v>
      </c>
      <c r="BA325">
        <v>0</v>
      </c>
      <c r="BB325">
        <v>0.1800000071525574</v>
      </c>
      <c r="BC325">
        <v>0</v>
      </c>
      <c r="BD325">
        <v>0.1800000071525574</v>
      </c>
      <c r="BE325">
        <v>0</v>
      </c>
      <c r="BF325">
        <v>1</v>
      </c>
      <c r="BG325">
        <v>150</v>
      </c>
      <c r="BH325">
        <v>0</v>
      </c>
      <c r="BI325">
        <v>0</v>
      </c>
      <c r="BJ325">
        <v>0</v>
      </c>
      <c r="BK325">
        <v>0.1800000071525574</v>
      </c>
      <c r="BL325">
        <v>0</v>
      </c>
      <c r="BM325">
        <v>0</v>
      </c>
      <c r="BP325">
        <v>1</v>
      </c>
      <c r="BQ325">
        <v>1</v>
      </c>
      <c r="BR325">
        <v>2024</v>
      </c>
      <c r="BS325">
        <v>1</v>
      </c>
      <c r="BT325">
        <v>1</v>
      </c>
      <c r="BU325">
        <v>1</v>
      </c>
      <c r="BV325">
        <v>2024</v>
      </c>
      <c r="BW325">
        <v>2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</v>
      </c>
    </row>
    <row r="326" spans="1:96" x14ac:dyDescent="0.25">
      <c r="A326">
        <v>325</v>
      </c>
      <c r="B326" t="s">
        <v>1334</v>
      </c>
      <c r="C326" t="s">
        <v>1335</v>
      </c>
      <c r="D326" t="s">
        <v>1336</v>
      </c>
      <c r="E326" t="s">
        <v>1333</v>
      </c>
      <c r="F326" t="s">
        <v>363</v>
      </c>
      <c r="G326">
        <v>1</v>
      </c>
      <c r="H326">
        <v>1</v>
      </c>
      <c r="I326">
        <v>616</v>
      </c>
      <c r="J326">
        <v>1</v>
      </c>
      <c r="K326">
        <v>0</v>
      </c>
      <c r="L326">
        <v>2535.4</v>
      </c>
      <c r="M326">
        <v>1804.6</v>
      </c>
      <c r="N326">
        <v>3754.3</v>
      </c>
      <c r="O326">
        <v>682.8</v>
      </c>
      <c r="P326">
        <v>30367.4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0.21</v>
      </c>
      <c r="W326">
        <v>3</v>
      </c>
      <c r="X326">
        <v>0.21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0.21</v>
      </c>
      <c r="AG326">
        <v>0</v>
      </c>
      <c r="AH326">
        <v>0.21</v>
      </c>
      <c r="AI326">
        <v>3</v>
      </c>
      <c r="AJ326">
        <v>0.21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0.21</v>
      </c>
      <c r="AS326">
        <v>0</v>
      </c>
      <c r="AT326">
        <v>0.21</v>
      </c>
      <c r="AU326">
        <v>0</v>
      </c>
      <c r="AV326">
        <v>0</v>
      </c>
      <c r="AW326">
        <v>0.10000000149011611</v>
      </c>
      <c r="AX326">
        <v>0</v>
      </c>
      <c r="AY326">
        <v>0</v>
      </c>
      <c r="AZ326">
        <v>0</v>
      </c>
      <c r="BA326">
        <v>0</v>
      </c>
      <c r="BB326">
        <v>0.10000000149011611</v>
      </c>
      <c r="BC326">
        <v>0</v>
      </c>
      <c r="BD326">
        <v>0.10000000149011611</v>
      </c>
      <c r="BE326">
        <v>0</v>
      </c>
      <c r="BF326">
        <v>1</v>
      </c>
      <c r="BG326">
        <v>150</v>
      </c>
      <c r="BH326">
        <v>0</v>
      </c>
      <c r="BI326">
        <v>0</v>
      </c>
      <c r="BJ326">
        <v>0</v>
      </c>
      <c r="BK326">
        <v>0.10000000149011611</v>
      </c>
      <c r="BL326">
        <v>0</v>
      </c>
      <c r="BM326">
        <v>0</v>
      </c>
      <c r="BP326">
        <v>0</v>
      </c>
      <c r="BQ326">
        <v>0</v>
      </c>
      <c r="BT326">
        <v>0</v>
      </c>
      <c r="BU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</v>
      </c>
    </row>
    <row r="327" spans="1:96" x14ac:dyDescent="0.25">
      <c r="A327">
        <v>326</v>
      </c>
      <c r="B327" t="s">
        <v>1337</v>
      </c>
      <c r="C327" t="s">
        <v>1338</v>
      </c>
      <c r="D327" t="s">
        <v>1339</v>
      </c>
      <c r="E327" t="s">
        <v>705</v>
      </c>
      <c r="F327" t="s">
        <v>100</v>
      </c>
      <c r="G327">
        <v>1</v>
      </c>
      <c r="H327">
        <v>1</v>
      </c>
      <c r="I327">
        <v>3189</v>
      </c>
      <c r="J327">
        <v>0</v>
      </c>
      <c r="K327">
        <v>1</v>
      </c>
      <c r="L327">
        <v>1044</v>
      </c>
      <c r="M327">
        <v>1570.5</v>
      </c>
      <c r="N327">
        <v>2861.8</v>
      </c>
      <c r="O327">
        <v>120.5</v>
      </c>
      <c r="P327">
        <v>1157.7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1.43</v>
      </c>
      <c r="W327">
        <v>5</v>
      </c>
      <c r="X327">
        <v>1.43</v>
      </c>
      <c r="Y327">
        <v>0</v>
      </c>
      <c r="Z327">
        <v>0</v>
      </c>
      <c r="AA327">
        <v>0</v>
      </c>
      <c r="AB327">
        <v>0</v>
      </c>
      <c r="AC327">
        <v>1.43</v>
      </c>
      <c r="AD327">
        <v>0</v>
      </c>
      <c r="AE327">
        <v>0</v>
      </c>
      <c r="AF327">
        <v>0</v>
      </c>
      <c r="AG327">
        <v>1</v>
      </c>
      <c r="AH327">
        <v>1.43</v>
      </c>
      <c r="AI327">
        <v>5</v>
      </c>
      <c r="AJ327">
        <v>1.43</v>
      </c>
      <c r="AK327">
        <v>0</v>
      </c>
      <c r="AL327">
        <v>0</v>
      </c>
      <c r="AM327">
        <v>0</v>
      </c>
      <c r="AN327">
        <v>0</v>
      </c>
      <c r="AO327">
        <v>1.23</v>
      </c>
      <c r="AP327">
        <v>0.2</v>
      </c>
      <c r="AQ327">
        <v>0</v>
      </c>
      <c r="AR327">
        <v>0</v>
      </c>
      <c r="AS327">
        <v>1</v>
      </c>
      <c r="AT327">
        <v>1.43</v>
      </c>
      <c r="AU327">
        <v>0</v>
      </c>
      <c r="AV327">
        <v>0</v>
      </c>
      <c r="AW327">
        <v>1.429999947547913</v>
      </c>
      <c r="AX327">
        <v>0</v>
      </c>
      <c r="AY327">
        <v>0</v>
      </c>
      <c r="AZ327">
        <v>1.2300000190734861</v>
      </c>
      <c r="BA327">
        <v>0.20000000298023221</v>
      </c>
      <c r="BB327">
        <v>0</v>
      </c>
      <c r="BC327">
        <v>1.2300000190734861</v>
      </c>
      <c r="BD327">
        <v>0.20000000298023221</v>
      </c>
      <c r="BE327">
        <v>0.86013986021273003</v>
      </c>
      <c r="BF327">
        <v>0.13986013978726999</v>
      </c>
      <c r="BG327">
        <v>120</v>
      </c>
      <c r="BH327">
        <v>0</v>
      </c>
      <c r="BI327">
        <v>1.2300000190734861</v>
      </c>
      <c r="BJ327">
        <v>0.20000000298023221</v>
      </c>
      <c r="BK327">
        <v>0</v>
      </c>
      <c r="BL327">
        <v>0</v>
      </c>
      <c r="BM327">
        <v>0</v>
      </c>
      <c r="BP327">
        <v>0</v>
      </c>
      <c r="BQ327">
        <v>0</v>
      </c>
      <c r="BT327">
        <v>0</v>
      </c>
      <c r="BU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1</v>
      </c>
    </row>
    <row r="328" spans="1:96" x14ac:dyDescent="0.25">
      <c r="A328">
        <v>327</v>
      </c>
      <c r="B328" t="s">
        <v>1340</v>
      </c>
      <c r="C328" t="s">
        <v>1341</v>
      </c>
      <c r="D328" t="s">
        <v>1342</v>
      </c>
      <c r="E328" t="s">
        <v>109</v>
      </c>
      <c r="F328" t="s">
        <v>100</v>
      </c>
      <c r="G328">
        <v>2</v>
      </c>
      <c r="H328">
        <v>1</v>
      </c>
      <c r="I328">
        <v>2315</v>
      </c>
      <c r="J328">
        <v>0</v>
      </c>
      <c r="L328">
        <v>1071.5999999999999</v>
      </c>
      <c r="M328">
        <v>1221.5999999999999</v>
      </c>
      <c r="N328">
        <v>1568.9</v>
      </c>
      <c r="O328">
        <v>323.8</v>
      </c>
      <c r="P328">
        <v>1389.9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1.64</v>
      </c>
      <c r="W328">
        <v>3.5</v>
      </c>
      <c r="X328">
        <v>1.64</v>
      </c>
      <c r="Y328">
        <v>0</v>
      </c>
      <c r="Z328">
        <v>0</v>
      </c>
      <c r="AA328">
        <v>0</v>
      </c>
      <c r="AB328">
        <v>0</v>
      </c>
      <c r="AC328">
        <v>1.64</v>
      </c>
      <c r="AD328">
        <v>0</v>
      </c>
      <c r="AE328">
        <v>0</v>
      </c>
      <c r="AF328">
        <v>0</v>
      </c>
      <c r="AG328">
        <v>1</v>
      </c>
      <c r="AH328">
        <v>1.64</v>
      </c>
      <c r="AI328">
        <v>3.5</v>
      </c>
      <c r="AJ328">
        <v>1.64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1.64</v>
      </c>
      <c r="AQ328">
        <v>0</v>
      </c>
      <c r="AR328">
        <v>0</v>
      </c>
      <c r="AS328">
        <v>1</v>
      </c>
      <c r="AT328">
        <v>1.64</v>
      </c>
      <c r="AU328">
        <v>0</v>
      </c>
      <c r="AV328">
        <v>0</v>
      </c>
      <c r="AW328">
        <v>1.639999985694885</v>
      </c>
      <c r="AX328">
        <v>0</v>
      </c>
      <c r="AY328">
        <v>0</v>
      </c>
      <c r="AZ328">
        <v>1.639999985694885</v>
      </c>
      <c r="BA328">
        <v>0</v>
      </c>
      <c r="BB328">
        <v>0</v>
      </c>
      <c r="BC328">
        <v>1.639999985694885</v>
      </c>
      <c r="BD328">
        <v>0</v>
      </c>
      <c r="BE328">
        <v>1</v>
      </c>
      <c r="BF328">
        <v>0</v>
      </c>
      <c r="BG328">
        <v>150</v>
      </c>
      <c r="BH328">
        <v>0</v>
      </c>
      <c r="BI328">
        <v>1.639999985694885</v>
      </c>
      <c r="BJ328">
        <v>0</v>
      </c>
      <c r="BK328">
        <v>0</v>
      </c>
      <c r="BL328">
        <v>0</v>
      </c>
      <c r="BM328">
        <v>0</v>
      </c>
      <c r="BP328">
        <v>0</v>
      </c>
      <c r="BQ328">
        <v>0</v>
      </c>
      <c r="BT328">
        <v>1</v>
      </c>
      <c r="BU328">
        <v>1</v>
      </c>
      <c r="BV328">
        <v>2025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</row>
    <row r="329" spans="1:96" x14ac:dyDescent="0.25">
      <c r="A329">
        <v>328</v>
      </c>
      <c r="B329" t="s">
        <v>1343</v>
      </c>
      <c r="C329" t="s">
        <v>1344</v>
      </c>
      <c r="D329" t="s">
        <v>1345</v>
      </c>
      <c r="E329" t="s">
        <v>1346</v>
      </c>
      <c r="F329" t="s">
        <v>213</v>
      </c>
      <c r="G329">
        <v>3</v>
      </c>
      <c r="H329">
        <v>2</v>
      </c>
      <c r="I329">
        <v>3515</v>
      </c>
      <c r="J329">
        <v>0</v>
      </c>
      <c r="K329">
        <v>1</v>
      </c>
      <c r="L329">
        <v>3128.2</v>
      </c>
      <c r="M329">
        <v>2288.5</v>
      </c>
      <c r="N329">
        <v>3236.9</v>
      </c>
      <c r="O329">
        <v>1380.8</v>
      </c>
      <c r="P329">
        <v>3546.1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2.1800000000000002</v>
      </c>
      <c r="W329">
        <v>3.5</v>
      </c>
      <c r="X329">
        <v>2.1800000000000002</v>
      </c>
      <c r="Y329">
        <v>0</v>
      </c>
      <c r="Z329">
        <v>0</v>
      </c>
      <c r="AA329">
        <v>0</v>
      </c>
      <c r="AB329">
        <v>0</v>
      </c>
      <c r="AC329">
        <v>1.58</v>
      </c>
      <c r="AD329">
        <v>0.6</v>
      </c>
      <c r="AE329">
        <v>0</v>
      </c>
      <c r="AF329">
        <v>0</v>
      </c>
      <c r="AG329">
        <v>1</v>
      </c>
      <c r="AH329">
        <v>2.1800000000000002</v>
      </c>
      <c r="AI329">
        <v>3.5</v>
      </c>
      <c r="AJ329">
        <v>2.180000000000001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2.180000000000001</v>
      </c>
      <c r="AQ329">
        <v>0</v>
      </c>
      <c r="AR329">
        <v>0</v>
      </c>
      <c r="AS329">
        <v>1</v>
      </c>
      <c r="AT329">
        <v>2.1800000000000002</v>
      </c>
      <c r="AU329">
        <v>0</v>
      </c>
      <c r="AV329">
        <v>0</v>
      </c>
      <c r="AW329">
        <v>2.1800000667572021</v>
      </c>
      <c r="AX329">
        <v>0</v>
      </c>
      <c r="AY329">
        <v>0</v>
      </c>
      <c r="AZ329">
        <v>1.200000047683716</v>
      </c>
      <c r="BA329">
        <v>0.98000001907348633</v>
      </c>
      <c r="BB329">
        <v>0</v>
      </c>
      <c r="BC329">
        <v>1.200000047683716</v>
      </c>
      <c r="BD329">
        <v>0.98000001907348633</v>
      </c>
      <c r="BE329">
        <v>0.55045872061313383</v>
      </c>
      <c r="BF329">
        <v>0.44954127938686622</v>
      </c>
      <c r="BG329">
        <v>150</v>
      </c>
      <c r="BH329">
        <v>0</v>
      </c>
      <c r="BI329">
        <v>1.200000047683716</v>
      </c>
      <c r="BJ329">
        <v>0.98000001907348633</v>
      </c>
      <c r="BK329">
        <v>0</v>
      </c>
      <c r="BL329">
        <v>1</v>
      </c>
      <c r="BM329">
        <v>2</v>
      </c>
      <c r="BN329">
        <v>2023</v>
      </c>
      <c r="BO329">
        <v>1</v>
      </c>
      <c r="BP329">
        <v>1</v>
      </c>
      <c r="BQ329">
        <v>2</v>
      </c>
      <c r="BR329">
        <v>2023</v>
      </c>
      <c r="BS329">
        <v>2</v>
      </c>
      <c r="BT329">
        <v>1</v>
      </c>
      <c r="BU329">
        <v>2</v>
      </c>
      <c r="BV329">
        <v>2023</v>
      </c>
      <c r="BW329">
        <v>3</v>
      </c>
      <c r="BX329">
        <v>0</v>
      </c>
      <c r="BY329">
        <v>1</v>
      </c>
      <c r="BZ329">
        <v>1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</row>
    <row r="330" spans="1:96" x14ac:dyDescent="0.25">
      <c r="A330">
        <v>329</v>
      </c>
      <c r="B330" t="s">
        <v>1347</v>
      </c>
      <c r="C330" t="s">
        <v>1348</v>
      </c>
      <c r="D330" t="s">
        <v>1349</v>
      </c>
      <c r="E330" t="s">
        <v>1350</v>
      </c>
      <c r="F330" t="s">
        <v>539</v>
      </c>
      <c r="G330">
        <v>2</v>
      </c>
      <c r="H330">
        <v>2</v>
      </c>
      <c r="I330">
        <v>748</v>
      </c>
      <c r="J330">
        <v>0</v>
      </c>
      <c r="K330">
        <v>1</v>
      </c>
      <c r="L330">
        <v>4137.8999999999996</v>
      </c>
      <c r="M330">
        <v>3602.1</v>
      </c>
      <c r="N330">
        <v>2974.2</v>
      </c>
      <c r="O330">
        <v>650.79999999999995</v>
      </c>
      <c r="P330">
        <v>4456.2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2.2200000000000002</v>
      </c>
      <c r="W330">
        <v>3.5</v>
      </c>
      <c r="X330">
        <v>2.2200000000000002</v>
      </c>
      <c r="Y330">
        <v>0</v>
      </c>
      <c r="Z330">
        <v>0</v>
      </c>
      <c r="AA330">
        <v>0</v>
      </c>
      <c r="AB330">
        <v>0</v>
      </c>
      <c r="AC330">
        <v>2.2200000000000002</v>
      </c>
      <c r="AD330">
        <v>0</v>
      </c>
      <c r="AE330">
        <v>0</v>
      </c>
      <c r="AF330">
        <v>0</v>
      </c>
      <c r="AG330">
        <v>1</v>
      </c>
      <c r="AH330">
        <v>2.2200000000000002</v>
      </c>
      <c r="AI330">
        <v>3.5</v>
      </c>
      <c r="AJ330">
        <v>2.2200000000000011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2.2200000000000011</v>
      </c>
      <c r="AQ330">
        <v>0</v>
      </c>
      <c r="AR330">
        <v>0</v>
      </c>
      <c r="AS330">
        <v>1</v>
      </c>
      <c r="AT330">
        <v>2.2200000000000002</v>
      </c>
      <c r="AU330">
        <v>0</v>
      </c>
      <c r="AV330">
        <v>0</v>
      </c>
      <c r="AW330">
        <v>2.220000028610229</v>
      </c>
      <c r="AX330">
        <v>0</v>
      </c>
      <c r="AY330">
        <v>1.6000000238418579</v>
      </c>
      <c r="AZ330">
        <v>0.62000000476837158</v>
      </c>
      <c r="BA330">
        <v>0</v>
      </c>
      <c r="BB330">
        <v>0</v>
      </c>
      <c r="BC330">
        <v>2.220000028610229</v>
      </c>
      <c r="BD330">
        <v>0</v>
      </c>
      <c r="BE330">
        <v>1</v>
      </c>
      <c r="BF330">
        <v>0</v>
      </c>
      <c r="BG330">
        <v>150</v>
      </c>
      <c r="BH330">
        <v>1.6000000238418579</v>
      </c>
      <c r="BI330">
        <v>0.62000000476837158</v>
      </c>
      <c r="BJ330">
        <v>0</v>
      </c>
      <c r="BK330">
        <v>0</v>
      </c>
      <c r="BL330">
        <v>1</v>
      </c>
      <c r="BM330">
        <v>1</v>
      </c>
      <c r="BN330">
        <v>2023</v>
      </c>
      <c r="BO330">
        <v>1</v>
      </c>
      <c r="BP330">
        <v>1</v>
      </c>
      <c r="BQ330">
        <v>1</v>
      </c>
      <c r="BR330">
        <v>2023</v>
      </c>
      <c r="BS330">
        <v>2</v>
      </c>
      <c r="BT330">
        <v>1</v>
      </c>
      <c r="BU330">
        <v>1</v>
      </c>
      <c r="BV330">
        <v>2023</v>
      </c>
      <c r="BW330">
        <v>3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</row>
    <row r="331" spans="1:96" x14ac:dyDescent="0.25">
      <c r="A331">
        <v>330</v>
      </c>
      <c r="B331" t="s">
        <v>1351</v>
      </c>
      <c r="C331" t="s">
        <v>1352</v>
      </c>
      <c r="D331" t="s">
        <v>1353</v>
      </c>
      <c r="E331" t="s">
        <v>109</v>
      </c>
      <c r="F331" t="s">
        <v>100</v>
      </c>
      <c r="G331">
        <v>2</v>
      </c>
      <c r="H331">
        <v>1</v>
      </c>
      <c r="I331">
        <v>2315</v>
      </c>
      <c r="J331">
        <v>0</v>
      </c>
      <c r="K331">
        <v>1</v>
      </c>
      <c r="L331">
        <v>956.5</v>
      </c>
      <c r="M331">
        <v>1106.5999999999999</v>
      </c>
      <c r="N331">
        <v>1294.7</v>
      </c>
      <c r="O331">
        <v>208.7</v>
      </c>
      <c r="P331">
        <v>1274.8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0.14000000000000001</v>
      </c>
      <c r="W331">
        <v>3</v>
      </c>
      <c r="X331">
        <v>0.14000000000000001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0.14000000000000001</v>
      </c>
      <c r="AE331">
        <v>0</v>
      </c>
      <c r="AF331">
        <v>0</v>
      </c>
      <c r="AG331">
        <v>1</v>
      </c>
      <c r="AH331">
        <v>0.14000000000000001</v>
      </c>
      <c r="AI331">
        <v>3</v>
      </c>
      <c r="AJ331">
        <v>0.14000000000000001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0.14000000000000001</v>
      </c>
      <c r="AQ331">
        <v>0</v>
      </c>
      <c r="AR331">
        <v>0</v>
      </c>
      <c r="AS331">
        <v>1</v>
      </c>
      <c r="AT331">
        <v>0.14000000000000001</v>
      </c>
      <c r="AU331">
        <v>0</v>
      </c>
      <c r="AV331">
        <v>0</v>
      </c>
      <c r="AW331">
        <v>0.14000000059604639</v>
      </c>
      <c r="AX331">
        <v>0</v>
      </c>
      <c r="AY331">
        <v>0</v>
      </c>
      <c r="AZ331">
        <v>3.9999999105930328E-2</v>
      </c>
      <c r="BA331">
        <v>0.10000000149011611</v>
      </c>
      <c r="BB331">
        <v>0</v>
      </c>
      <c r="BC331">
        <v>3.9999999105930328E-2</v>
      </c>
      <c r="BD331">
        <v>0.10000000149011611</v>
      </c>
      <c r="BE331">
        <v>0.28571427811165251</v>
      </c>
      <c r="BF331">
        <v>0.71428572188834749</v>
      </c>
      <c r="BG331">
        <v>150</v>
      </c>
      <c r="BH331">
        <v>0</v>
      </c>
      <c r="BI331">
        <v>3.9999999105930328E-2</v>
      </c>
      <c r="BJ331">
        <v>0.10000000149011611</v>
      </c>
      <c r="BK331">
        <v>0</v>
      </c>
      <c r="BL331">
        <v>0</v>
      </c>
      <c r="BM331">
        <v>0</v>
      </c>
      <c r="BP331">
        <v>0</v>
      </c>
      <c r="BQ331">
        <v>0</v>
      </c>
      <c r="BT331">
        <v>0</v>
      </c>
      <c r="BU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</row>
    <row r="332" spans="1:96" x14ac:dyDescent="0.25">
      <c r="A332">
        <v>331</v>
      </c>
      <c r="B332" t="s">
        <v>1354</v>
      </c>
      <c r="C332" t="s">
        <v>1355</v>
      </c>
      <c r="D332" t="s">
        <v>1356</v>
      </c>
      <c r="E332" t="s">
        <v>954</v>
      </c>
      <c r="F332" t="s">
        <v>100</v>
      </c>
      <c r="G332">
        <v>2</v>
      </c>
      <c r="H332">
        <v>1</v>
      </c>
      <c r="I332">
        <v>1206</v>
      </c>
      <c r="J332">
        <v>0</v>
      </c>
      <c r="K332">
        <v>1</v>
      </c>
      <c r="L332">
        <v>2446.5</v>
      </c>
      <c r="M332">
        <v>2596.6</v>
      </c>
      <c r="N332">
        <v>2421</v>
      </c>
      <c r="O332">
        <v>891</v>
      </c>
      <c r="P332">
        <v>2301.6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</v>
      </c>
      <c r="W332">
        <v>3</v>
      </c>
      <c r="X332">
        <v>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</v>
      </c>
      <c r="AE332">
        <v>0</v>
      </c>
      <c r="AF332">
        <v>0</v>
      </c>
      <c r="AG332">
        <v>1</v>
      </c>
      <c r="AH332">
        <v>0.5</v>
      </c>
      <c r="AI332">
        <v>3</v>
      </c>
      <c r="AJ332">
        <v>0.5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0.3</v>
      </c>
      <c r="AQ332">
        <v>0.2</v>
      </c>
      <c r="AR332">
        <v>0</v>
      </c>
      <c r="AS332">
        <v>0.60000000000000009</v>
      </c>
      <c r="AT332">
        <v>0.5</v>
      </c>
      <c r="AU332">
        <v>0</v>
      </c>
      <c r="AV332">
        <v>0</v>
      </c>
      <c r="AW332">
        <v>0.5</v>
      </c>
      <c r="AX332">
        <v>0</v>
      </c>
      <c r="AY332">
        <v>0</v>
      </c>
      <c r="AZ332">
        <v>0.40000000596046448</v>
      </c>
      <c r="BA332">
        <v>0.10000000149011611</v>
      </c>
      <c r="BB332">
        <v>0</v>
      </c>
      <c r="BC332">
        <v>0.40000000596046448</v>
      </c>
      <c r="BD332">
        <v>0.10000000149011611</v>
      </c>
      <c r="BE332">
        <v>0.8</v>
      </c>
      <c r="BF332">
        <v>0.2</v>
      </c>
      <c r="BG332">
        <v>150</v>
      </c>
      <c r="BH332">
        <v>0</v>
      </c>
      <c r="BI332">
        <v>0.40000000596046448</v>
      </c>
      <c r="BJ332">
        <v>0.10000000149011611</v>
      </c>
      <c r="BK332">
        <v>0</v>
      </c>
      <c r="BL332">
        <v>0</v>
      </c>
      <c r="BM332">
        <v>0</v>
      </c>
      <c r="BP332">
        <v>0</v>
      </c>
      <c r="BQ332">
        <v>0</v>
      </c>
      <c r="BT332">
        <v>0</v>
      </c>
      <c r="BU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</row>
    <row r="333" spans="1:96" x14ac:dyDescent="0.25">
      <c r="A333">
        <v>332</v>
      </c>
      <c r="B333" t="s">
        <v>1357</v>
      </c>
      <c r="C333" t="s">
        <v>1358</v>
      </c>
      <c r="D333" t="s">
        <v>1359</v>
      </c>
      <c r="E333" t="s">
        <v>1360</v>
      </c>
      <c r="F333" t="s">
        <v>213</v>
      </c>
      <c r="G333">
        <v>2</v>
      </c>
      <c r="H333">
        <v>2</v>
      </c>
      <c r="I333">
        <v>1157</v>
      </c>
      <c r="J333">
        <v>0</v>
      </c>
      <c r="K333">
        <v>1</v>
      </c>
      <c r="L333">
        <v>2488.8000000000002</v>
      </c>
      <c r="M333">
        <v>269.39999999999998</v>
      </c>
      <c r="N333">
        <v>5545.2</v>
      </c>
      <c r="O333">
        <v>277</v>
      </c>
      <c r="P333">
        <v>3682.3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0.37</v>
      </c>
      <c r="W333">
        <v>3</v>
      </c>
      <c r="X333">
        <v>0.37</v>
      </c>
      <c r="Y333">
        <v>0</v>
      </c>
      <c r="Z333">
        <v>0</v>
      </c>
      <c r="AA333">
        <v>0</v>
      </c>
      <c r="AB333">
        <v>0</v>
      </c>
      <c r="AC333">
        <v>0.37</v>
      </c>
      <c r="AD333">
        <v>0</v>
      </c>
      <c r="AE333">
        <v>0</v>
      </c>
      <c r="AF333">
        <v>0</v>
      </c>
      <c r="AG333">
        <v>1</v>
      </c>
      <c r="AH333">
        <v>0.37</v>
      </c>
      <c r="AI333">
        <v>3</v>
      </c>
      <c r="AJ333">
        <v>0.37000000000000011</v>
      </c>
      <c r="AK333">
        <v>0</v>
      </c>
      <c r="AL333">
        <v>0</v>
      </c>
      <c r="AM333">
        <v>0</v>
      </c>
      <c r="AN333">
        <v>0</v>
      </c>
      <c r="AO333">
        <v>0.2</v>
      </c>
      <c r="AP333">
        <v>0.17</v>
      </c>
      <c r="AQ333">
        <v>0</v>
      </c>
      <c r="AR333">
        <v>0</v>
      </c>
      <c r="AS333">
        <v>1</v>
      </c>
      <c r="AT333">
        <v>0.37</v>
      </c>
      <c r="AU333">
        <v>0</v>
      </c>
      <c r="AV333">
        <v>0</v>
      </c>
      <c r="AW333">
        <v>0.37000000476837158</v>
      </c>
      <c r="AX333">
        <v>0</v>
      </c>
      <c r="AY333">
        <v>0</v>
      </c>
      <c r="AZ333">
        <v>0.30000001192092901</v>
      </c>
      <c r="BA333">
        <v>7.0000000298023224E-2</v>
      </c>
      <c r="BB333">
        <v>0</v>
      </c>
      <c r="BC333">
        <v>0.30000001192092901</v>
      </c>
      <c r="BD333">
        <v>7.0000000298023224E-2</v>
      </c>
      <c r="BE333">
        <v>0.8108108162531632</v>
      </c>
      <c r="BF333">
        <v>0.18918918374683691</v>
      </c>
      <c r="BG333">
        <v>150</v>
      </c>
      <c r="BH333">
        <v>0</v>
      </c>
      <c r="BI333">
        <v>0.30000001192092901</v>
      </c>
      <c r="BJ333">
        <v>7.0000000298023224E-2</v>
      </c>
      <c r="BK333">
        <v>0</v>
      </c>
      <c r="BL333">
        <v>0</v>
      </c>
      <c r="BM333">
        <v>0</v>
      </c>
      <c r="BP333">
        <v>0</v>
      </c>
      <c r="BQ333">
        <v>0</v>
      </c>
      <c r="BT333">
        <v>0</v>
      </c>
      <c r="BU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</row>
    <row r="334" spans="1:96" x14ac:dyDescent="0.25">
      <c r="A334">
        <v>333</v>
      </c>
      <c r="B334" t="s">
        <v>1361</v>
      </c>
      <c r="C334" t="s">
        <v>1362</v>
      </c>
      <c r="D334" t="s">
        <v>1363</v>
      </c>
      <c r="E334" t="s">
        <v>1364</v>
      </c>
      <c r="F334" t="s">
        <v>100</v>
      </c>
      <c r="G334">
        <v>1</v>
      </c>
      <c r="H334">
        <v>1</v>
      </c>
      <c r="I334">
        <v>1850</v>
      </c>
      <c r="J334">
        <v>0</v>
      </c>
      <c r="K334">
        <v>0</v>
      </c>
      <c r="L334">
        <v>1416.8</v>
      </c>
      <c r="M334">
        <v>742.1</v>
      </c>
      <c r="N334">
        <v>2709.9</v>
      </c>
      <c r="O334">
        <v>611.79999999999995</v>
      </c>
      <c r="P334">
        <v>1735.1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0.84</v>
      </c>
      <c r="W334">
        <v>3</v>
      </c>
      <c r="X334">
        <v>0.84</v>
      </c>
      <c r="Y334">
        <v>0</v>
      </c>
      <c r="Z334">
        <v>0</v>
      </c>
      <c r="AA334">
        <v>0</v>
      </c>
      <c r="AB334">
        <v>0</v>
      </c>
      <c r="AC334">
        <v>0.84</v>
      </c>
      <c r="AD334">
        <v>0</v>
      </c>
      <c r="AE334">
        <v>0</v>
      </c>
      <c r="AF334">
        <v>0</v>
      </c>
      <c r="AG334">
        <v>1</v>
      </c>
      <c r="AH334">
        <v>0.84</v>
      </c>
      <c r="AI334">
        <v>3</v>
      </c>
      <c r="AJ334">
        <v>0.84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0.64</v>
      </c>
      <c r="AQ334">
        <v>0.2</v>
      </c>
      <c r="AR334">
        <v>0</v>
      </c>
      <c r="AS334">
        <v>0.76190476190476186</v>
      </c>
      <c r="AT334">
        <v>0.84</v>
      </c>
      <c r="AU334">
        <v>0</v>
      </c>
      <c r="AV334">
        <v>0</v>
      </c>
      <c r="AW334">
        <v>0.8399999737739563</v>
      </c>
      <c r="AX334">
        <v>0</v>
      </c>
      <c r="AY334">
        <v>0</v>
      </c>
      <c r="AZ334">
        <v>0.43999999761581421</v>
      </c>
      <c r="BA334">
        <v>0.30000001192092901</v>
      </c>
      <c r="BB334">
        <v>0.10000000149011611</v>
      </c>
      <c r="BC334">
        <v>0.43999999761581421</v>
      </c>
      <c r="BD334">
        <v>0.40000001341104507</v>
      </c>
      <c r="BE334">
        <v>0.52380951409504806</v>
      </c>
      <c r="BF334">
        <v>0.47619048590495189</v>
      </c>
      <c r="BG334">
        <v>150</v>
      </c>
      <c r="BH334">
        <v>0</v>
      </c>
      <c r="BI334">
        <v>0.43999999761581421</v>
      </c>
      <c r="BJ334">
        <v>0.30000001192092901</v>
      </c>
      <c r="BK334">
        <v>0.10000000149011611</v>
      </c>
      <c r="BL334">
        <v>1</v>
      </c>
      <c r="BM334">
        <v>1</v>
      </c>
      <c r="BN334">
        <v>2023</v>
      </c>
      <c r="BO334">
        <v>1</v>
      </c>
      <c r="BP334">
        <v>1</v>
      </c>
      <c r="BQ334">
        <v>1</v>
      </c>
      <c r="BR334">
        <v>2023</v>
      </c>
      <c r="BS334">
        <v>2</v>
      </c>
      <c r="BT334">
        <v>1</v>
      </c>
      <c r="BU334">
        <v>1</v>
      </c>
      <c r="BV334">
        <v>2023</v>
      </c>
      <c r="BW334">
        <v>3</v>
      </c>
      <c r="BX334">
        <v>0</v>
      </c>
      <c r="BY334">
        <v>0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</row>
    <row r="335" spans="1:96" x14ac:dyDescent="0.25">
      <c r="A335">
        <v>334</v>
      </c>
      <c r="B335" t="s">
        <v>1365</v>
      </c>
      <c r="C335" t="s">
        <v>1366</v>
      </c>
      <c r="D335" t="s">
        <v>1367</v>
      </c>
      <c r="E335" t="s">
        <v>586</v>
      </c>
      <c r="F335" t="s">
        <v>176</v>
      </c>
      <c r="G335">
        <v>1</v>
      </c>
      <c r="H335">
        <v>1</v>
      </c>
      <c r="I335">
        <v>837</v>
      </c>
      <c r="J335">
        <v>0</v>
      </c>
      <c r="K335">
        <v>0</v>
      </c>
      <c r="L335">
        <v>1852.1</v>
      </c>
      <c r="M335">
        <v>2002.2</v>
      </c>
      <c r="N335">
        <v>1298.2</v>
      </c>
      <c r="O335">
        <v>1020.5</v>
      </c>
      <c r="P335">
        <v>2170.4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0.41</v>
      </c>
      <c r="W335">
        <v>3</v>
      </c>
      <c r="X335">
        <v>0.41</v>
      </c>
      <c r="Y335">
        <v>0</v>
      </c>
      <c r="Z335">
        <v>0</v>
      </c>
      <c r="AA335">
        <v>0</v>
      </c>
      <c r="AB335">
        <v>0</v>
      </c>
      <c r="AC335">
        <v>0.41</v>
      </c>
      <c r="AD335">
        <v>0</v>
      </c>
      <c r="AE335">
        <v>0</v>
      </c>
      <c r="AF335">
        <v>0</v>
      </c>
      <c r="AG335">
        <v>1</v>
      </c>
      <c r="AH335">
        <v>0.41</v>
      </c>
      <c r="AI335">
        <v>3</v>
      </c>
      <c r="AJ335">
        <v>0.41</v>
      </c>
      <c r="AK335">
        <v>0</v>
      </c>
      <c r="AL335">
        <v>0</v>
      </c>
      <c r="AM335">
        <v>0</v>
      </c>
      <c r="AN335">
        <v>0</v>
      </c>
      <c r="AO335">
        <v>0.41</v>
      </c>
      <c r="AP335">
        <v>0</v>
      </c>
      <c r="AQ335">
        <v>0</v>
      </c>
      <c r="AR335">
        <v>0</v>
      </c>
      <c r="AS335">
        <v>1</v>
      </c>
      <c r="AT335">
        <v>0.41</v>
      </c>
      <c r="AU335">
        <v>0</v>
      </c>
      <c r="AV335">
        <v>0</v>
      </c>
      <c r="AW335">
        <v>0.40999999642372131</v>
      </c>
      <c r="AX335">
        <v>0</v>
      </c>
      <c r="AY335">
        <v>0.10000000149011611</v>
      </c>
      <c r="AZ335">
        <v>0.31000000238418579</v>
      </c>
      <c r="BA335">
        <v>0</v>
      </c>
      <c r="BB335">
        <v>0</v>
      </c>
      <c r="BC335">
        <v>0.41000000387430191</v>
      </c>
      <c r="BD335">
        <v>0</v>
      </c>
      <c r="BE335">
        <v>1</v>
      </c>
      <c r="BF335">
        <v>0</v>
      </c>
      <c r="BG335">
        <v>150</v>
      </c>
      <c r="BH335">
        <v>0.10000000149011611</v>
      </c>
      <c r="BI335">
        <v>0.31000000238418579</v>
      </c>
      <c r="BJ335">
        <v>0</v>
      </c>
      <c r="BK335">
        <v>0</v>
      </c>
      <c r="BL335">
        <v>1</v>
      </c>
      <c r="BM335">
        <v>1</v>
      </c>
      <c r="BN335">
        <v>2023</v>
      </c>
      <c r="BO335">
        <v>1</v>
      </c>
      <c r="BP335">
        <v>1</v>
      </c>
      <c r="BQ335">
        <v>1</v>
      </c>
      <c r="BR335">
        <v>2023</v>
      </c>
      <c r="BS335">
        <v>2</v>
      </c>
      <c r="BT335">
        <v>1</v>
      </c>
      <c r="BU335">
        <v>1</v>
      </c>
      <c r="BV335">
        <v>2023</v>
      </c>
      <c r="BW335">
        <v>3</v>
      </c>
      <c r="BX335">
        <v>0</v>
      </c>
      <c r="BY335">
        <v>0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1</v>
      </c>
      <c r="CQ335">
        <v>0</v>
      </c>
      <c r="CR335">
        <v>0</v>
      </c>
    </row>
    <row r="336" spans="1:96" x14ac:dyDescent="0.25">
      <c r="A336">
        <v>335</v>
      </c>
      <c r="B336" t="s">
        <v>1368</v>
      </c>
      <c r="C336" t="s">
        <v>1369</v>
      </c>
      <c r="D336" t="s">
        <v>1370</v>
      </c>
      <c r="E336" t="s">
        <v>586</v>
      </c>
      <c r="F336" t="s">
        <v>176</v>
      </c>
      <c r="G336">
        <v>1</v>
      </c>
      <c r="H336">
        <v>1</v>
      </c>
      <c r="I336">
        <v>837</v>
      </c>
      <c r="J336">
        <v>0</v>
      </c>
      <c r="K336">
        <v>0</v>
      </c>
      <c r="L336">
        <v>2644.2</v>
      </c>
      <c r="M336">
        <v>2794.3</v>
      </c>
      <c r="N336">
        <v>1500.9</v>
      </c>
      <c r="O336">
        <v>632.20000000000005</v>
      </c>
      <c r="P336">
        <v>2962.6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0.52</v>
      </c>
      <c r="W336">
        <v>3</v>
      </c>
      <c r="X336">
        <v>0.52</v>
      </c>
      <c r="Y336">
        <v>0</v>
      </c>
      <c r="Z336">
        <v>0</v>
      </c>
      <c r="AA336">
        <v>0</v>
      </c>
      <c r="AB336">
        <v>0</v>
      </c>
      <c r="AC336">
        <v>0.52</v>
      </c>
      <c r="AD336">
        <v>0</v>
      </c>
      <c r="AE336">
        <v>0</v>
      </c>
      <c r="AF336">
        <v>0</v>
      </c>
      <c r="AG336">
        <v>1</v>
      </c>
      <c r="AH336">
        <v>0.52</v>
      </c>
      <c r="AI336">
        <v>3</v>
      </c>
      <c r="AJ336">
        <v>0.52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0.52</v>
      </c>
      <c r="AQ336">
        <v>0</v>
      </c>
      <c r="AR336">
        <v>0</v>
      </c>
      <c r="AS336">
        <v>1</v>
      </c>
      <c r="AT336">
        <v>0.52</v>
      </c>
      <c r="AU336">
        <v>0</v>
      </c>
      <c r="AV336">
        <v>0</v>
      </c>
      <c r="AW336">
        <v>0.51999998092651367</v>
      </c>
      <c r="AX336">
        <v>0</v>
      </c>
      <c r="AY336">
        <v>0</v>
      </c>
      <c r="AZ336">
        <v>0.41999998688697809</v>
      </c>
      <c r="BA336">
        <v>0.10000000149011611</v>
      </c>
      <c r="BB336">
        <v>0</v>
      </c>
      <c r="BC336">
        <v>0.41999998688697809</v>
      </c>
      <c r="BD336">
        <v>0.10000000149011611</v>
      </c>
      <c r="BE336">
        <v>0.80769230052828778</v>
      </c>
      <c r="BF336">
        <v>0.19230769947171231</v>
      </c>
      <c r="BG336">
        <v>150</v>
      </c>
      <c r="BH336">
        <v>0</v>
      </c>
      <c r="BI336">
        <v>0.41999998688697809</v>
      </c>
      <c r="BJ336">
        <v>0.10000000149011611</v>
      </c>
      <c r="BK336">
        <v>0</v>
      </c>
      <c r="BL336">
        <v>0</v>
      </c>
      <c r="BM336">
        <v>0</v>
      </c>
      <c r="BP336">
        <v>0</v>
      </c>
      <c r="BQ336">
        <v>0</v>
      </c>
      <c r="BT336">
        <v>0</v>
      </c>
      <c r="BU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</row>
    <row r="337" spans="1:96" x14ac:dyDescent="0.25">
      <c r="A337">
        <v>336</v>
      </c>
      <c r="B337" t="s">
        <v>1371</v>
      </c>
      <c r="C337" t="s">
        <v>1372</v>
      </c>
      <c r="D337" t="s">
        <v>1373</v>
      </c>
      <c r="E337" t="s">
        <v>1374</v>
      </c>
      <c r="F337" t="s">
        <v>489</v>
      </c>
      <c r="G337">
        <v>3</v>
      </c>
      <c r="H337">
        <v>2</v>
      </c>
      <c r="I337">
        <v>2443</v>
      </c>
      <c r="J337">
        <v>0</v>
      </c>
      <c r="K337">
        <v>0</v>
      </c>
      <c r="L337">
        <v>1790.1</v>
      </c>
      <c r="M337">
        <v>1940.2</v>
      </c>
      <c r="N337">
        <v>907.7</v>
      </c>
      <c r="O337">
        <v>882.7</v>
      </c>
      <c r="P337">
        <v>1835.2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0.86</v>
      </c>
      <c r="W337">
        <v>3</v>
      </c>
      <c r="X337">
        <v>0.56000000000000005</v>
      </c>
      <c r="Y337">
        <v>0</v>
      </c>
      <c r="Z337">
        <v>0</v>
      </c>
      <c r="AA337">
        <v>0.3</v>
      </c>
      <c r="AB337">
        <v>0</v>
      </c>
      <c r="AC337">
        <v>0</v>
      </c>
      <c r="AD337">
        <v>0.3</v>
      </c>
      <c r="AE337">
        <v>0</v>
      </c>
      <c r="AF337">
        <v>0.56000000000000005</v>
      </c>
      <c r="AG337">
        <v>0.34883720930232548</v>
      </c>
      <c r="AH337">
        <v>0.86</v>
      </c>
      <c r="AI337">
        <v>3</v>
      </c>
      <c r="AJ337">
        <v>0.85999999999999988</v>
      </c>
      <c r="AK337">
        <v>0</v>
      </c>
      <c r="AL337">
        <v>0</v>
      </c>
      <c r="AM337">
        <v>0</v>
      </c>
      <c r="AN337">
        <v>0</v>
      </c>
      <c r="AO337">
        <v>0.85999999999999988</v>
      </c>
      <c r="AP337">
        <v>0</v>
      </c>
      <c r="AQ337">
        <v>0</v>
      </c>
      <c r="AR337">
        <v>0</v>
      </c>
      <c r="AS337">
        <v>1</v>
      </c>
      <c r="AT337">
        <v>0.86</v>
      </c>
      <c r="AU337">
        <v>0</v>
      </c>
      <c r="AV337">
        <v>0</v>
      </c>
      <c r="AW337">
        <v>0.86000001430511475</v>
      </c>
      <c r="AX337">
        <v>0</v>
      </c>
      <c r="AY337">
        <v>0.86000001430511475</v>
      </c>
      <c r="AZ337">
        <v>0</v>
      </c>
      <c r="BA337">
        <v>0</v>
      </c>
      <c r="BB337">
        <v>0</v>
      </c>
      <c r="BC337">
        <v>0.86000001430511475</v>
      </c>
      <c r="BD337">
        <v>0</v>
      </c>
      <c r="BE337">
        <v>1</v>
      </c>
      <c r="BF337">
        <v>0</v>
      </c>
      <c r="BG337">
        <v>150</v>
      </c>
      <c r="BH337">
        <v>0.86000001430511475</v>
      </c>
      <c r="BI337">
        <v>0</v>
      </c>
      <c r="BJ337">
        <v>0</v>
      </c>
      <c r="BK337">
        <v>0</v>
      </c>
      <c r="BL337">
        <v>0</v>
      </c>
      <c r="BM337">
        <v>0</v>
      </c>
      <c r="BP337">
        <v>1</v>
      </c>
      <c r="BQ337">
        <v>1</v>
      </c>
      <c r="BR337">
        <v>2024</v>
      </c>
      <c r="BS337">
        <v>1</v>
      </c>
      <c r="BT337">
        <v>1</v>
      </c>
      <c r="BU337">
        <v>1</v>
      </c>
      <c r="BV337">
        <v>2024</v>
      </c>
      <c r="BW337">
        <v>2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</row>
    <row r="338" spans="1:96" x14ac:dyDescent="0.25">
      <c r="A338">
        <v>337</v>
      </c>
      <c r="B338" t="s">
        <v>1375</v>
      </c>
      <c r="C338" t="s">
        <v>1376</v>
      </c>
      <c r="D338" t="s">
        <v>1377</v>
      </c>
      <c r="E338" t="s">
        <v>567</v>
      </c>
      <c r="F338" t="s">
        <v>489</v>
      </c>
      <c r="G338">
        <v>2</v>
      </c>
      <c r="H338">
        <v>2</v>
      </c>
      <c r="I338">
        <v>1775</v>
      </c>
      <c r="J338">
        <v>0</v>
      </c>
      <c r="K338">
        <v>0</v>
      </c>
      <c r="L338">
        <v>1222.3</v>
      </c>
      <c r="M338">
        <v>1372.3</v>
      </c>
      <c r="N338">
        <v>1028.9000000000001</v>
      </c>
      <c r="O338">
        <v>390.6</v>
      </c>
      <c r="P338">
        <v>1540.6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0.91</v>
      </c>
      <c r="W338">
        <v>3.5</v>
      </c>
      <c r="X338">
        <v>0.91</v>
      </c>
      <c r="Y338">
        <v>0</v>
      </c>
      <c r="Z338">
        <v>0</v>
      </c>
      <c r="AA338">
        <v>0</v>
      </c>
      <c r="AB338">
        <v>0</v>
      </c>
      <c r="AC338">
        <v>0.2</v>
      </c>
      <c r="AD338">
        <v>0.71</v>
      </c>
      <c r="AE338">
        <v>0</v>
      </c>
      <c r="AF338">
        <v>0</v>
      </c>
      <c r="AG338">
        <v>1</v>
      </c>
      <c r="AH338">
        <v>0.91</v>
      </c>
      <c r="AI338">
        <v>3.5</v>
      </c>
      <c r="AJ338">
        <v>0.90999999999999992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0.90999999999999992</v>
      </c>
      <c r="AQ338">
        <v>0</v>
      </c>
      <c r="AR338">
        <v>0</v>
      </c>
      <c r="AS338">
        <v>1</v>
      </c>
      <c r="AT338">
        <v>0.91</v>
      </c>
      <c r="AU338">
        <v>0</v>
      </c>
      <c r="AV338">
        <v>0</v>
      </c>
      <c r="AW338">
        <v>0.9100000262260437</v>
      </c>
      <c r="AX338">
        <v>0</v>
      </c>
      <c r="AY338">
        <v>0.20000000298023221</v>
      </c>
      <c r="AZ338">
        <v>0.60000002384185791</v>
      </c>
      <c r="BA338">
        <v>0.10999999940395359</v>
      </c>
      <c r="BB338">
        <v>0</v>
      </c>
      <c r="BC338">
        <v>0.80000002682209015</v>
      </c>
      <c r="BD338">
        <v>0.10999999940395359</v>
      </c>
      <c r="BE338">
        <v>0.87912088325959059</v>
      </c>
      <c r="BF338">
        <v>0.1208791167404094</v>
      </c>
      <c r="BG338">
        <v>150</v>
      </c>
      <c r="BH338">
        <v>0.20000000298023221</v>
      </c>
      <c r="BI338">
        <v>0.60000002384185791</v>
      </c>
      <c r="BJ338">
        <v>0.10999999940395359</v>
      </c>
      <c r="BK338">
        <v>0</v>
      </c>
      <c r="BL338">
        <v>1</v>
      </c>
      <c r="BM338">
        <v>1</v>
      </c>
      <c r="BN338">
        <v>2023</v>
      </c>
      <c r="BO338">
        <v>1</v>
      </c>
      <c r="BP338">
        <v>1</v>
      </c>
      <c r="BQ338">
        <v>1</v>
      </c>
      <c r="BR338">
        <v>2023</v>
      </c>
      <c r="BS338">
        <v>2</v>
      </c>
      <c r="BT338">
        <v>1</v>
      </c>
      <c r="BU338">
        <v>1</v>
      </c>
      <c r="BV338">
        <v>2023</v>
      </c>
      <c r="BW338">
        <v>3</v>
      </c>
      <c r="BX338">
        <v>0</v>
      </c>
      <c r="BY338">
        <v>0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</row>
    <row r="339" spans="1:96" x14ac:dyDescent="0.25">
      <c r="A339">
        <v>338</v>
      </c>
      <c r="B339" t="s">
        <v>1378</v>
      </c>
      <c r="C339" t="s">
        <v>1379</v>
      </c>
      <c r="D339" t="s">
        <v>1380</v>
      </c>
      <c r="E339" t="s">
        <v>880</v>
      </c>
      <c r="F339" t="s">
        <v>176</v>
      </c>
      <c r="G339">
        <v>1</v>
      </c>
      <c r="H339">
        <v>1</v>
      </c>
      <c r="I339">
        <v>588</v>
      </c>
      <c r="J339">
        <v>0</v>
      </c>
      <c r="K339">
        <v>0</v>
      </c>
      <c r="L339">
        <v>5679.4</v>
      </c>
      <c r="M339">
        <v>2870.1</v>
      </c>
      <c r="N339">
        <v>7259.7</v>
      </c>
      <c r="O339">
        <v>3159.3</v>
      </c>
      <c r="P339">
        <v>8931.6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0.85</v>
      </c>
      <c r="W339">
        <v>6</v>
      </c>
      <c r="X339">
        <v>0.85</v>
      </c>
      <c r="Y339">
        <v>0</v>
      </c>
      <c r="Z339">
        <v>0</v>
      </c>
      <c r="AA339">
        <v>0</v>
      </c>
      <c r="AB339">
        <v>0</v>
      </c>
      <c r="AC339">
        <v>0.85</v>
      </c>
      <c r="AD339">
        <v>0</v>
      </c>
      <c r="AE339">
        <v>0</v>
      </c>
      <c r="AF339">
        <v>0</v>
      </c>
      <c r="AG339">
        <v>1</v>
      </c>
      <c r="AH339">
        <v>0.85</v>
      </c>
      <c r="AI339">
        <v>6</v>
      </c>
      <c r="AJ339">
        <v>0.85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0.85</v>
      </c>
      <c r="AQ339">
        <v>0</v>
      </c>
      <c r="AR339">
        <v>0</v>
      </c>
      <c r="AS339">
        <v>1</v>
      </c>
      <c r="AT339">
        <v>0.85</v>
      </c>
      <c r="AU339">
        <v>0</v>
      </c>
      <c r="AV339">
        <v>0</v>
      </c>
      <c r="AW339">
        <v>0.85000002384185791</v>
      </c>
      <c r="AX339">
        <v>0</v>
      </c>
      <c r="AY339">
        <v>0.64999997615814209</v>
      </c>
      <c r="AZ339">
        <v>0.20000000298023221</v>
      </c>
      <c r="BA339">
        <v>0</v>
      </c>
      <c r="BB339">
        <v>0</v>
      </c>
      <c r="BC339">
        <v>0.84999997913837433</v>
      </c>
      <c r="BD339">
        <v>0</v>
      </c>
      <c r="BE339">
        <v>1</v>
      </c>
      <c r="BF339">
        <v>0</v>
      </c>
      <c r="BG339">
        <v>150</v>
      </c>
      <c r="BH339">
        <v>0.64999997615814209</v>
      </c>
      <c r="BI339">
        <v>0.20000000298023221</v>
      </c>
      <c r="BJ339">
        <v>0</v>
      </c>
      <c r="BK339">
        <v>0</v>
      </c>
      <c r="BL339">
        <v>0</v>
      </c>
      <c r="BM339">
        <v>0</v>
      </c>
      <c r="BP339">
        <v>0</v>
      </c>
      <c r="BQ339">
        <v>0</v>
      </c>
      <c r="BT339">
        <v>0</v>
      </c>
      <c r="BU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</row>
    <row r="340" spans="1:96" x14ac:dyDescent="0.2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t="s">
        <v>315</v>
      </c>
      <c r="G340">
        <v>1</v>
      </c>
      <c r="H340">
        <v>1</v>
      </c>
      <c r="I340">
        <v>1738</v>
      </c>
      <c r="J340">
        <v>0</v>
      </c>
      <c r="K340">
        <v>0</v>
      </c>
      <c r="L340">
        <v>3270.7</v>
      </c>
      <c r="M340">
        <v>280.5</v>
      </c>
      <c r="N340">
        <v>4489.5</v>
      </c>
      <c r="O340">
        <v>131.9</v>
      </c>
      <c r="P340">
        <v>31102.7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0.48</v>
      </c>
      <c r="W340">
        <v>3</v>
      </c>
      <c r="X340">
        <v>0</v>
      </c>
      <c r="Y340">
        <v>0</v>
      </c>
      <c r="Z340">
        <v>0</v>
      </c>
      <c r="AA340">
        <v>0.48</v>
      </c>
      <c r="AB340">
        <v>0</v>
      </c>
      <c r="AC340">
        <v>0</v>
      </c>
      <c r="AD340">
        <v>0</v>
      </c>
      <c r="AE340">
        <v>0</v>
      </c>
      <c r="AF340">
        <v>0.48</v>
      </c>
      <c r="AG340">
        <v>0</v>
      </c>
      <c r="AH340">
        <v>0.48</v>
      </c>
      <c r="AI340">
        <v>3</v>
      </c>
      <c r="AJ340">
        <v>0</v>
      </c>
      <c r="AK340">
        <v>0</v>
      </c>
      <c r="AL340">
        <v>0</v>
      </c>
      <c r="AM340">
        <v>0.48</v>
      </c>
      <c r="AN340">
        <v>0</v>
      </c>
      <c r="AO340">
        <v>0</v>
      </c>
      <c r="AP340">
        <v>0</v>
      </c>
      <c r="AQ340">
        <v>0</v>
      </c>
      <c r="AR340">
        <v>0.48</v>
      </c>
      <c r="AS340">
        <v>0</v>
      </c>
      <c r="AT340">
        <v>0.48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150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1</v>
      </c>
      <c r="BN340">
        <v>2023</v>
      </c>
      <c r="BO340">
        <v>1</v>
      </c>
      <c r="BP340">
        <v>1</v>
      </c>
      <c r="BQ340">
        <v>1</v>
      </c>
      <c r="BR340">
        <v>2023</v>
      </c>
      <c r="BS340">
        <v>2</v>
      </c>
      <c r="BT340">
        <v>1</v>
      </c>
      <c r="BU340">
        <v>2</v>
      </c>
      <c r="BV340">
        <v>2025</v>
      </c>
      <c r="BW340">
        <v>1</v>
      </c>
      <c r="BX340">
        <v>0</v>
      </c>
      <c r="BY340">
        <v>0</v>
      </c>
      <c r="BZ340">
        <v>1</v>
      </c>
      <c r="CA340">
        <v>0</v>
      </c>
      <c r="CB340">
        <v>1</v>
      </c>
      <c r="CC340">
        <v>0</v>
      </c>
      <c r="CD340">
        <v>0</v>
      </c>
      <c r="CE340">
        <v>1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1</v>
      </c>
    </row>
    <row r="341" spans="1:96" x14ac:dyDescent="0.25">
      <c r="A341">
        <v>340</v>
      </c>
      <c r="B341" t="s">
        <v>1385</v>
      </c>
      <c r="C341" t="s">
        <v>1386</v>
      </c>
      <c r="D341" t="s">
        <v>1387</v>
      </c>
      <c r="E341" t="s">
        <v>1388</v>
      </c>
      <c r="F341" t="s">
        <v>315</v>
      </c>
      <c r="G341">
        <v>6</v>
      </c>
      <c r="H341">
        <v>1</v>
      </c>
      <c r="I341">
        <v>5088</v>
      </c>
      <c r="J341">
        <v>0</v>
      </c>
      <c r="K341">
        <v>0</v>
      </c>
      <c r="L341">
        <v>2798.2</v>
      </c>
      <c r="M341">
        <v>1629.9</v>
      </c>
      <c r="N341">
        <v>4017.1</v>
      </c>
      <c r="O341">
        <v>627.70000000000005</v>
      </c>
      <c r="P341">
        <v>30630.2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</v>
      </c>
      <c r="W341">
        <v>3.5</v>
      </c>
      <c r="X341">
        <v>5</v>
      </c>
      <c r="Y341">
        <v>0</v>
      </c>
      <c r="Z341">
        <v>0</v>
      </c>
      <c r="AA341">
        <v>0</v>
      </c>
      <c r="AB341">
        <v>0</v>
      </c>
      <c r="AC341">
        <v>5</v>
      </c>
      <c r="AD341">
        <v>0</v>
      </c>
      <c r="AE341">
        <v>0</v>
      </c>
      <c r="AF341">
        <v>0</v>
      </c>
      <c r="AG341">
        <v>1</v>
      </c>
      <c r="AH341">
        <v>5</v>
      </c>
      <c r="AI341">
        <v>3.5</v>
      </c>
      <c r="AJ341">
        <v>4.9999999999999982</v>
      </c>
      <c r="AK341">
        <v>0</v>
      </c>
      <c r="AL341">
        <v>0</v>
      </c>
      <c r="AM341">
        <v>0</v>
      </c>
      <c r="AN341">
        <v>0</v>
      </c>
      <c r="AO341">
        <v>4.9999999999999982</v>
      </c>
      <c r="AP341">
        <v>0</v>
      </c>
      <c r="AQ341">
        <v>0</v>
      </c>
      <c r="AR341">
        <v>0</v>
      </c>
      <c r="AS341">
        <v>1</v>
      </c>
      <c r="AT341">
        <v>5</v>
      </c>
      <c r="AU341">
        <v>0</v>
      </c>
      <c r="AV341">
        <v>0</v>
      </c>
      <c r="AW341">
        <v>5</v>
      </c>
      <c r="AX341">
        <v>0</v>
      </c>
      <c r="AY341">
        <v>5</v>
      </c>
      <c r="AZ341">
        <v>0</v>
      </c>
      <c r="BA341">
        <v>0</v>
      </c>
      <c r="BB341">
        <v>0</v>
      </c>
      <c r="BC341">
        <v>5</v>
      </c>
      <c r="BD341">
        <v>0</v>
      </c>
      <c r="BE341">
        <v>1</v>
      </c>
      <c r="BF341">
        <v>0</v>
      </c>
      <c r="BG341">
        <v>150</v>
      </c>
      <c r="BH341">
        <v>5</v>
      </c>
      <c r="BI341">
        <v>0</v>
      </c>
      <c r="BJ341">
        <v>0</v>
      </c>
      <c r="BK341">
        <v>0</v>
      </c>
      <c r="BL341">
        <v>1</v>
      </c>
      <c r="BM341">
        <v>2</v>
      </c>
      <c r="BN341">
        <v>2023</v>
      </c>
      <c r="BO341">
        <v>1</v>
      </c>
      <c r="BP341">
        <v>1</v>
      </c>
      <c r="BQ341">
        <v>2</v>
      </c>
      <c r="BR341">
        <v>2023</v>
      </c>
      <c r="BS341">
        <v>2</v>
      </c>
      <c r="BT341">
        <v>1</v>
      </c>
      <c r="BU341">
        <v>3</v>
      </c>
      <c r="BV341">
        <v>2025</v>
      </c>
      <c r="BW341">
        <v>1</v>
      </c>
      <c r="BX341">
        <v>1</v>
      </c>
      <c r="BY341">
        <v>0</v>
      </c>
      <c r="BZ341">
        <v>1</v>
      </c>
      <c r="CA341">
        <v>0</v>
      </c>
      <c r="CB341">
        <v>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1</v>
      </c>
      <c r="CK341">
        <v>0</v>
      </c>
      <c r="CL341">
        <v>1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</row>
    <row r="342" spans="1:96" x14ac:dyDescent="0.25">
      <c r="A342">
        <v>341</v>
      </c>
      <c r="B342" t="s">
        <v>1389</v>
      </c>
      <c r="C342" t="s">
        <v>1390</v>
      </c>
      <c r="D342" t="s">
        <v>1391</v>
      </c>
      <c r="E342" t="s">
        <v>1392</v>
      </c>
      <c r="F342" t="s">
        <v>105</v>
      </c>
      <c r="G342">
        <v>2</v>
      </c>
      <c r="H342">
        <v>1</v>
      </c>
      <c r="I342">
        <v>1117</v>
      </c>
      <c r="J342">
        <v>0</v>
      </c>
      <c r="K342">
        <v>1</v>
      </c>
      <c r="L342">
        <v>3754.5</v>
      </c>
      <c r="M342">
        <v>1012.8</v>
      </c>
      <c r="N342">
        <v>5054.6000000000004</v>
      </c>
      <c r="O342">
        <v>744</v>
      </c>
      <c r="P342">
        <v>4992.7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1.24</v>
      </c>
      <c r="W342">
        <v>3</v>
      </c>
      <c r="X342">
        <v>1.24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0.64</v>
      </c>
      <c r="AE342">
        <v>0.6</v>
      </c>
      <c r="AF342">
        <v>0</v>
      </c>
      <c r="AG342">
        <v>0.5161290322580645</v>
      </c>
      <c r="AH342">
        <v>1.24</v>
      </c>
      <c r="AI342">
        <v>3</v>
      </c>
      <c r="AJ342">
        <v>1.24</v>
      </c>
      <c r="AK342">
        <v>0</v>
      </c>
      <c r="AL342">
        <v>0</v>
      </c>
      <c r="AM342">
        <v>0</v>
      </c>
      <c r="AN342">
        <v>0</v>
      </c>
      <c r="AO342">
        <v>0.44</v>
      </c>
      <c r="AP342">
        <v>0.2</v>
      </c>
      <c r="AQ342">
        <v>0</v>
      </c>
      <c r="AR342">
        <v>0.6</v>
      </c>
      <c r="AS342">
        <v>0.5161290322580645</v>
      </c>
      <c r="AT342">
        <v>1.24</v>
      </c>
      <c r="AU342">
        <v>0</v>
      </c>
      <c r="AV342">
        <v>0</v>
      </c>
      <c r="AW342">
        <v>1.2400000095367429</v>
      </c>
      <c r="AX342">
        <v>0</v>
      </c>
      <c r="AY342">
        <v>0</v>
      </c>
      <c r="AZ342">
        <v>0.63999998569488525</v>
      </c>
      <c r="BA342">
        <v>0</v>
      </c>
      <c r="BB342">
        <v>0.60000002384185791</v>
      </c>
      <c r="BC342">
        <v>0.63999998569488525</v>
      </c>
      <c r="BD342">
        <v>0.60000002384185791</v>
      </c>
      <c r="BE342">
        <v>0.51612901675217371</v>
      </c>
      <c r="BF342">
        <v>0.48387098324782629</v>
      </c>
      <c r="BG342">
        <v>150</v>
      </c>
      <c r="BH342">
        <v>0</v>
      </c>
      <c r="BI342">
        <v>0.63999998569488525</v>
      </c>
      <c r="BJ342">
        <v>0</v>
      </c>
      <c r="BK342">
        <v>0.60000002384185791</v>
      </c>
      <c r="BL342">
        <v>1</v>
      </c>
      <c r="BM342">
        <v>1</v>
      </c>
      <c r="BN342">
        <v>2022</v>
      </c>
      <c r="BO342">
        <v>2</v>
      </c>
      <c r="BP342">
        <v>1</v>
      </c>
      <c r="BQ342">
        <v>1</v>
      </c>
      <c r="BR342">
        <v>2022</v>
      </c>
      <c r="BS342">
        <v>3</v>
      </c>
      <c r="BT342">
        <v>1</v>
      </c>
      <c r="BU342">
        <v>1</v>
      </c>
      <c r="BV342">
        <v>2022</v>
      </c>
      <c r="BW342">
        <v>4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</row>
    <row r="343" spans="1:96" x14ac:dyDescent="0.25">
      <c r="A343">
        <v>342</v>
      </c>
      <c r="B343" t="s">
        <v>1393</v>
      </c>
      <c r="C343" t="s">
        <v>1394</v>
      </c>
      <c r="D343" t="s">
        <v>1395</v>
      </c>
      <c r="E343" t="s">
        <v>575</v>
      </c>
      <c r="F343" t="s">
        <v>310</v>
      </c>
      <c r="G343">
        <v>1</v>
      </c>
      <c r="H343">
        <v>1</v>
      </c>
      <c r="I343">
        <v>266</v>
      </c>
      <c r="J343">
        <v>0</v>
      </c>
      <c r="K343">
        <v>0</v>
      </c>
      <c r="L343">
        <v>36897.300000000003</v>
      </c>
      <c r="M343">
        <v>15843.2</v>
      </c>
      <c r="N343">
        <v>39107.699999999997</v>
      </c>
      <c r="O343">
        <v>2656.7</v>
      </c>
      <c r="P343">
        <v>39010.1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3.56</v>
      </c>
      <c r="W343">
        <v>1.5</v>
      </c>
      <c r="X343">
        <v>0</v>
      </c>
      <c r="Y343">
        <v>0</v>
      </c>
      <c r="Z343">
        <v>3.56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3.56</v>
      </c>
      <c r="AG343">
        <v>0</v>
      </c>
      <c r="AH343">
        <v>3.56</v>
      </c>
      <c r="AI343">
        <v>1.5</v>
      </c>
      <c r="AJ343">
        <v>0</v>
      </c>
      <c r="AK343">
        <v>0</v>
      </c>
      <c r="AL343">
        <v>3.5600000000000018</v>
      </c>
      <c r="AM343">
        <v>0</v>
      </c>
      <c r="AN343">
        <v>0</v>
      </c>
      <c r="AO343">
        <v>0</v>
      </c>
      <c r="AP343">
        <v>0</v>
      </c>
      <c r="AQ343">
        <v>1.36</v>
      </c>
      <c r="AR343">
        <v>2.2000000000000011</v>
      </c>
      <c r="AS343">
        <v>0</v>
      </c>
      <c r="AT343">
        <v>3.56</v>
      </c>
      <c r="AU343">
        <v>3.559999942779541</v>
      </c>
      <c r="AV343">
        <v>0</v>
      </c>
      <c r="AW343">
        <v>0</v>
      </c>
      <c r="AX343">
        <v>0</v>
      </c>
      <c r="AY343">
        <v>0</v>
      </c>
      <c r="AZ343">
        <v>1.360000014305115</v>
      </c>
      <c r="BA343">
        <v>0</v>
      </c>
      <c r="BB343">
        <v>2.2000000476837158</v>
      </c>
      <c r="BC343">
        <v>1.360000014305115</v>
      </c>
      <c r="BD343">
        <v>2.2000000476837158</v>
      </c>
      <c r="BE343">
        <v>0.38202246927640132</v>
      </c>
      <c r="BF343">
        <v>0.61797753072359873</v>
      </c>
      <c r="BG343">
        <v>150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P343">
        <v>0</v>
      </c>
      <c r="BQ343">
        <v>0</v>
      </c>
      <c r="BT343">
        <v>0</v>
      </c>
      <c r="BU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</row>
    <row r="344" spans="1:96" x14ac:dyDescent="0.25">
      <c r="A344">
        <v>343</v>
      </c>
      <c r="B344" t="s">
        <v>1396</v>
      </c>
      <c r="C344" t="s">
        <v>1397</v>
      </c>
      <c r="D344" t="s">
        <v>1398</v>
      </c>
      <c r="E344" t="s">
        <v>575</v>
      </c>
      <c r="F344" t="s">
        <v>310</v>
      </c>
      <c r="G344">
        <v>1</v>
      </c>
      <c r="H344">
        <v>1</v>
      </c>
      <c r="I344">
        <v>266</v>
      </c>
      <c r="J344">
        <v>0</v>
      </c>
      <c r="K344">
        <v>0</v>
      </c>
      <c r="L344">
        <v>35953.1</v>
      </c>
      <c r="M344">
        <v>14899</v>
      </c>
      <c r="N344">
        <v>38163.5</v>
      </c>
      <c r="O344">
        <v>1712.5</v>
      </c>
      <c r="P344">
        <v>38065.9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1.75</v>
      </c>
      <c r="W344">
        <v>2</v>
      </c>
      <c r="X344">
        <v>0</v>
      </c>
      <c r="Y344">
        <v>0</v>
      </c>
      <c r="Z344">
        <v>1.75</v>
      </c>
      <c r="AA344">
        <v>0</v>
      </c>
      <c r="AB344">
        <v>0</v>
      </c>
      <c r="AC344">
        <v>0.2</v>
      </c>
      <c r="AD344">
        <v>1.55</v>
      </c>
      <c r="AE344">
        <v>0</v>
      </c>
      <c r="AF344">
        <v>0</v>
      </c>
      <c r="AG344">
        <v>1</v>
      </c>
      <c r="AH344">
        <v>1.75</v>
      </c>
      <c r="AI344">
        <v>2</v>
      </c>
      <c r="AJ344">
        <v>0</v>
      </c>
      <c r="AK344">
        <v>0</v>
      </c>
      <c r="AL344">
        <v>1.75</v>
      </c>
      <c r="AM344">
        <v>0</v>
      </c>
      <c r="AN344">
        <v>0</v>
      </c>
      <c r="AO344">
        <v>0</v>
      </c>
      <c r="AP344">
        <v>1.4</v>
      </c>
      <c r="AQ344">
        <v>0</v>
      </c>
      <c r="AR344">
        <v>0.35</v>
      </c>
      <c r="AS344">
        <v>0.79999999999999993</v>
      </c>
      <c r="AT344">
        <v>1.75</v>
      </c>
      <c r="AU344">
        <v>1.75</v>
      </c>
      <c r="AV344">
        <v>0</v>
      </c>
      <c r="AW344">
        <v>0</v>
      </c>
      <c r="AX344">
        <v>0</v>
      </c>
      <c r="AY344">
        <v>0</v>
      </c>
      <c r="AZ344">
        <v>0.69999998807907104</v>
      </c>
      <c r="BA344">
        <v>0.80000001192092896</v>
      </c>
      <c r="BB344">
        <v>0.25</v>
      </c>
      <c r="BC344">
        <v>0.69999998807907104</v>
      </c>
      <c r="BD344">
        <v>1.050000011920929</v>
      </c>
      <c r="BE344">
        <v>0.39999999318804058</v>
      </c>
      <c r="BF344">
        <v>0.60000000681195942</v>
      </c>
      <c r="BG344">
        <v>150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2023</v>
      </c>
      <c r="BO344">
        <v>1</v>
      </c>
      <c r="BP344">
        <v>1</v>
      </c>
      <c r="BQ344">
        <v>1</v>
      </c>
      <c r="BR344">
        <v>2023</v>
      </c>
      <c r="BS344">
        <v>2</v>
      </c>
      <c r="BT344">
        <v>1</v>
      </c>
      <c r="BU344">
        <v>1</v>
      </c>
      <c r="BV344">
        <v>2023</v>
      </c>
      <c r="BW344">
        <v>3</v>
      </c>
      <c r="BX344">
        <v>0</v>
      </c>
      <c r="BY344">
        <v>0</v>
      </c>
      <c r="BZ344">
        <v>1</v>
      </c>
      <c r="CA344">
        <v>0</v>
      </c>
      <c r="CB344">
        <v>0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</row>
    <row r="345" spans="1:96" x14ac:dyDescent="0.25">
      <c r="A345">
        <v>344</v>
      </c>
      <c r="B345" t="s">
        <v>1399</v>
      </c>
      <c r="C345" t="s">
        <v>1400</v>
      </c>
      <c r="D345" t="s">
        <v>1401</v>
      </c>
      <c r="E345" t="s">
        <v>745</v>
      </c>
      <c r="F345" t="s">
        <v>105</v>
      </c>
      <c r="G345">
        <v>2</v>
      </c>
      <c r="H345">
        <v>1</v>
      </c>
      <c r="I345">
        <v>1333</v>
      </c>
      <c r="J345">
        <v>0</v>
      </c>
      <c r="K345">
        <v>0</v>
      </c>
      <c r="L345">
        <v>5253.7</v>
      </c>
      <c r="M345">
        <v>3395</v>
      </c>
      <c r="N345">
        <v>7436.8</v>
      </c>
      <c r="O345">
        <v>247.2</v>
      </c>
      <c r="P345">
        <v>7601.5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3.91</v>
      </c>
      <c r="W345">
        <v>3.5</v>
      </c>
      <c r="X345">
        <v>3.91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</v>
      </c>
      <c r="AE345">
        <v>1</v>
      </c>
      <c r="AF345">
        <v>1.31</v>
      </c>
      <c r="AG345">
        <v>0.40920716112531969</v>
      </c>
      <c r="AH345">
        <v>3.91</v>
      </c>
      <c r="AI345">
        <v>3.5</v>
      </c>
      <c r="AJ345">
        <v>3.9100000000000019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0.6</v>
      </c>
      <c r="AQ345">
        <v>2</v>
      </c>
      <c r="AR345">
        <v>1.31</v>
      </c>
      <c r="AS345">
        <v>0.15345268542199489</v>
      </c>
      <c r="AT345">
        <v>3.91</v>
      </c>
      <c r="AU345">
        <v>0</v>
      </c>
      <c r="AV345">
        <v>0</v>
      </c>
      <c r="AW345">
        <v>3.910000085830688</v>
      </c>
      <c r="AX345">
        <v>0</v>
      </c>
      <c r="AY345">
        <v>0</v>
      </c>
      <c r="AZ345">
        <v>1.700000047683716</v>
      </c>
      <c r="BA345">
        <v>0.89999997615814209</v>
      </c>
      <c r="BB345">
        <v>1.309999942779541</v>
      </c>
      <c r="BC345">
        <v>1.700000047683716</v>
      </c>
      <c r="BD345">
        <v>2.2099999189376831</v>
      </c>
      <c r="BE345">
        <v>0.43478262460259631</v>
      </c>
      <c r="BF345">
        <v>0.56521737539740369</v>
      </c>
      <c r="BG345">
        <v>150</v>
      </c>
      <c r="BH345">
        <v>0</v>
      </c>
      <c r="BI345">
        <v>1.700000047683716</v>
      </c>
      <c r="BJ345">
        <v>0.89999997615814209</v>
      </c>
      <c r="BK345">
        <v>1.309999942779541</v>
      </c>
      <c r="BL345">
        <v>0</v>
      </c>
      <c r="BM345">
        <v>0</v>
      </c>
      <c r="BP345">
        <v>0</v>
      </c>
      <c r="BQ345">
        <v>0</v>
      </c>
      <c r="BT345">
        <v>0</v>
      </c>
      <c r="BU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</row>
    <row r="346" spans="1:96" x14ac:dyDescent="0.25">
      <c r="A346">
        <v>345</v>
      </c>
      <c r="B346" t="s">
        <v>1402</v>
      </c>
      <c r="C346" t="s">
        <v>1403</v>
      </c>
      <c r="D346" t="s">
        <v>1404</v>
      </c>
      <c r="E346" t="s">
        <v>1405</v>
      </c>
      <c r="F346" t="s">
        <v>132</v>
      </c>
      <c r="G346">
        <v>1</v>
      </c>
      <c r="H346">
        <v>1</v>
      </c>
      <c r="I346">
        <v>371</v>
      </c>
      <c r="J346">
        <v>0</v>
      </c>
      <c r="K346">
        <v>0</v>
      </c>
      <c r="L346">
        <v>22468.799999999999</v>
      </c>
      <c r="M346">
        <v>18426.099999999999</v>
      </c>
      <c r="N346">
        <v>24679.200000000001</v>
      </c>
      <c r="O346">
        <v>755</v>
      </c>
      <c r="P346">
        <v>24581.599999999999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0.56000000000000005</v>
      </c>
      <c r="W346">
        <v>3.5</v>
      </c>
      <c r="X346">
        <v>0.56000000000000005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0.56000000000000005</v>
      </c>
      <c r="AE346">
        <v>0</v>
      </c>
      <c r="AF346">
        <v>0</v>
      </c>
      <c r="AG346">
        <v>1</v>
      </c>
      <c r="AH346">
        <v>0.56000000000000005</v>
      </c>
      <c r="AI346">
        <v>3.5</v>
      </c>
      <c r="AJ346">
        <v>0.56000000000000005</v>
      </c>
      <c r="AK346">
        <v>0</v>
      </c>
      <c r="AL346">
        <v>0</v>
      </c>
      <c r="AM346">
        <v>0</v>
      </c>
      <c r="AN346">
        <v>0</v>
      </c>
      <c r="AO346">
        <v>0.56000000000000005</v>
      </c>
      <c r="AP346">
        <v>0</v>
      </c>
      <c r="AQ346">
        <v>0</v>
      </c>
      <c r="AR346">
        <v>0</v>
      </c>
      <c r="AS346">
        <v>1</v>
      </c>
      <c r="AT346">
        <v>0.56000000000000005</v>
      </c>
      <c r="AU346">
        <v>0</v>
      </c>
      <c r="AV346">
        <v>0</v>
      </c>
      <c r="AW346">
        <v>0.56000000238418579</v>
      </c>
      <c r="AX346">
        <v>0</v>
      </c>
      <c r="AY346">
        <v>0.36000001430511469</v>
      </c>
      <c r="AZ346">
        <v>0.20000000298023221</v>
      </c>
      <c r="BA346">
        <v>0</v>
      </c>
      <c r="BB346">
        <v>0</v>
      </c>
      <c r="BC346">
        <v>0.56000001728534698</v>
      </c>
      <c r="BD346">
        <v>0</v>
      </c>
      <c r="BE346">
        <v>1</v>
      </c>
      <c r="BF346">
        <v>0</v>
      </c>
      <c r="BG346">
        <v>150</v>
      </c>
      <c r="BH346">
        <v>0.36000001430511469</v>
      </c>
      <c r="BI346">
        <v>0.20000000298023221</v>
      </c>
      <c r="BJ346">
        <v>0</v>
      </c>
      <c r="BK346">
        <v>0</v>
      </c>
      <c r="BL346">
        <v>0</v>
      </c>
      <c r="BM346">
        <v>0</v>
      </c>
      <c r="BP346">
        <v>0</v>
      </c>
      <c r="BQ346">
        <v>0</v>
      </c>
      <c r="BT346">
        <v>0</v>
      </c>
      <c r="BU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</row>
    <row r="347" spans="1:96" x14ac:dyDescent="0.25">
      <c r="A347">
        <v>346</v>
      </c>
      <c r="B347" t="s">
        <v>1406</v>
      </c>
      <c r="C347" t="s">
        <v>1407</v>
      </c>
      <c r="D347" t="s">
        <v>1408</v>
      </c>
      <c r="E347" t="s">
        <v>194</v>
      </c>
      <c r="F347" t="s">
        <v>100</v>
      </c>
      <c r="G347">
        <v>1</v>
      </c>
      <c r="H347">
        <v>1</v>
      </c>
      <c r="I347">
        <v>1874</v>
      </c>
      <c r="J347">
        <v>0</v>
      </c>
      <c r="K347">
        <v>1</v>
      </c>
      <c r="L347">
        <v>705.7</v>
      </c>
      <c r="M347">
        <v>1202.3</v>
      </c>
      <c r="N347">
        <v>2250.3000000000002</v>
      </c>
      <c r="O347">
        <v>328.4</v>
      </c>
      <c r="P347">
        <v>387.4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0.12</v>
      </c>
      <c r="W347">
        <v>6</v>
      </c>
      <c r="X347">
        <v>0.12</v>
      </c>
      <c r="Y347">
        <v>0</v>
      </c>
      <c r="Z347">
        <v>0</v>
      </c>
      <c r="AA347">
        <v>0</v>
      </c>
      <c r="AB347">
        <v>0</v>
      </c>
      <c r="AC347">
        <v>0.12</v>
      </c>
      <c r="AD347">
        <v>0</v>
      </c>
      <c r="AE347">
        <v>0</v>
      </c>
      <c r="AF347">
        <v>0</v>
      </c>
      <c r="AG347">
        <v>1</v>
      </c>
      <c r="AH347">
        <v>0.12</v>
      </c>
      <c r="AI347">
        <v>6</v>
      </c>
      <c r="AJ347">
        <v>0.12</v>
      </c>
      <c r="AK347">
        <v>0</v>
      </c>
      <c r="AL347">
        <v>0</v>
      </c>
      <c r="AM347">
        <v>0</v>
      </c>
      <c r="AN347">
        <v>0</v>
      </c>
      <c r="AO347">
        <v>0.12</v>
      </c>
      <c r="AP347">
        <v>0</v>
      </c>
      <c r="AQ347">
        <v>0</v>
      </c>
      <c r="AR347">
        <v>0</v>
      </c>
      <c r="AS347">
        <v>1</v>
      </c>
      <c r="AT347">
        <v>0.12</v>
      </c>
      <c r="AU347">
        <v>0</v>
      </c>
      <c r="AV347">
        <v>0</v>
      </c>
      <c r="AW347">
        <v>0.119999997317791</v>
      </c>
      <c r="AX347">
        <v>0</v>
      </c>
      <c r="AY347">
        <v>0</v>
      </c>
      <c r="AZ347">
        <v>0.119999997317791</v>
      </c>
      <c r="BA347">
        <v>0</v>
      </c>
      <c r="BB347">
        <v>0</v>
      </c>
      <c r="BC347">
        <v>0.119999997317791</v>
      </c>
      <c r="BD347">
        <v>0</v>
      </c>
      <c r="BE347">
        <v>1</v>
      </c>
      <c r="BF347">
        <v>0</v>
      </c>
      <c r="BG347">
        <v>150</v>
      </c>
      <c r="BH347">
        <v>0</v>
      </c>
      <c r="BI347">
        <v>0.119999997317791</v>
      </c>
      <c r="BJ347">
        <v>0</v>
      </c>
      <c r="BK347">
        <v>0</v>
      </c>
      <c r="BL347">
        <v>0</v>
      </c>
      <c r="BM347">
        <v>0</v>
      </c>
      <c r="BP347">
        <v>0</v>
      </c>
      <c r="BQ347">
        <v>0</v>
      </c>
      <c r="BT347">
        <v>0</v>
      </c>
      <c r="BU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</row>
    <row r="348" spans="1:96" x14ac:dyDescent="0.25">
      <c r="A348">
        <v>347</v>
      </c>
      <c r="B348" t="s">
        <v>1409</v>
      </c>
      <c r="C348" t="s">
        <v>1410</v>
      </c>
      <c r="D348" t="s">
        <v>1411</v>
      </c>
      <c r="E348" t="s">
        <v>1412</v>
      </c>
      <c r="F348" t="s">
        <v>105</v>
      </c>
      <c r="G348">
        <v>2</v>
      </c>
      <c r="H348">
        <v>1</v>
      </c>
      <c r="I348">
        <v>1171</v>
      </c>
      <c r="J348">
        <v>0</v>
      </c>
      <c r="K348">
        <v>1</v>
      </c>
      <c r="L348">
        <v>1485.7</v>
      </c>
      <c r="M348">
        <v>2749</v>
      </c>
      <c r="N348">
        <v>7203.5</v>
      </c>
      <c r="O348">
        <v>1357.6</v>
      </c>
      <c r="P348">
        <v>7368.2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2.93</v>
      </c>
      <c r="W348">
        <v>3</v>
      </c>
      <c r="X348">
        <v>2.93</v>
      </c>
      <c r="Y348">
        <v>0</v>
      </c>
      <c r="Z348">
        <v>0</v>
      </c>
      <c r="AA348">
        <v>0</v>
      </c>
      <c r="AB348">
        <v>0</v>
      </c>
      <c r="AC348">
        <v>1.2</v>
      </c>
      <c r="AD348">
        <v>0</v>
      </c>
      <c r="AE348">
        <v>1.73</v>
      </c>
      <c r="AF348">
        <v>0</v>
      </c>
      <c r="AG348">
        <v>0.4095563139931741</v>
      </c>
      <c r="AH348">
        <v>2.93</v>
      </c>
      <c r="AI348">
        <v>3</v>
      </c>
      <c r="AJ348">
        <v>2.930000000000001</v>
      </c>
      <c r="AK348">
        <v>0</v>
      </c>
      <c r="AL348">
        <v>0</v>
      </c>
      <c r="AM348">
        <v>0</v>
      </c>
      <c r="AN348">
        <v>0</v>
      </c>
      <c r="AO348">
        <v>0.99999999999999989</v>
      </c>
      <c r="AP348">
        <v>0</v>
      </c>
      <c r="AQ348">
        <v>1.930000000000001</v>
      </c>
      <c r="AR348">
        <v>0</v>
      </c>
      <c r="AS348">
        <v>0.34129692832764502</v>
      </c>
      <c r="AT348">
        <v>2.93</v>
      </c>
      <c r="AU348">
        <v>0</v>
      </c>
      <c r="AV348">
        <v>0</v>
      </c>
      <c r="AW348">
        <v>2.9300000667572021</v>
      </c>
      <c r="AX348">
        <v>0</v>
      </c>
      <c r="AY348">
        <v>1</v>
      </c>
      <c r="AZ348">
        <v>0.10000000149011611</v>
      </c>
      <c r="BA348">
        <v>0.52999997138977051</v>
      </c>
      <c r="BB348">
        <v>1.299999952316284</v>
      </c>
      <c r="BC348">
        <v>1.1000000014901159</v>
      </c>
      <c r="BD348">
        <v>1.8299999237060549</v>
      </c>
      <c r="BE348">
        <v>0.37542663125374259</v>
      </c>
      <c r="BF348">
        <v>0.62457336874625746</v>
      </c>
      <c r="BG348">
        <v>150</v>
      </c>
      <c r="BH348">
        <v>1</v>
      </c>
      <c r="BI348">
        <v>0.10000000149011611</v>
      </c>
      <c r="BJ348">
        <v>0.52999997138977051</v>
      </c>
      <c r="BK348">
        <v>1.299999952316284</v>
      </c>
      <c r="BL348">
        <v>0</v>
      </c>
      <c r="BM348">
        <v>0</v>
      </c>
      <c r="BP348">
        <v>0</v>
      </c>
      <c r="BQ348">
        <v>0</v>
      </c>
      <c r="BT348">
        <v>1</v>
      </c>
      <c r="BU348">
        <v>1</v>
      </c>
      <c r="BV348">
        <v>2025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</row>
    <row r="349" spans="1:96" x14ac:dyDescent="0.25">
      <c r="A349">
        <v>348</v>
      </c>
      <c r="B349" t="s">
        <v>1413</v>
      </c>
      <c r="C349" t="s">
        <v>1414</v>
      </c>
      <c r="D349" t="s">
        <v>1415</v>
      </c>
      <c r="E349" t="s">
        <v>1416</v>
      </c>
      <c r="F349" t="s">
        <v>503</v>
      </c>
      <c r="G349">
        <v>2</v>
      </c>
      <c r="H349">
        <v>2</v>
      </c>
      <c r="I349">
        <v>1110</v>
      </c>
      <c r="J349">
        <v>0</v>
      </c>
      <c r="K349">
        <v>1</v>
      </c>
      <c r="L349">
        <v>1619.3</v>
      </c>
      <c r="M349">
        <v>2456.8000000000002</v>
      </c>
      <c r="N349">
        <v>5860.5</v>
      </c>
      <c r="O349">
        <v>1289.8</v>
      </c>
      <c r="P349">
        <v>7361.8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3.13</v>
      </c>
      <c r="W349">
        <v>3</v>
      </c>
      <c r="X349">
        <v>3.13</v>
      </c>
      <c r="Y349">
        <v>0</v>
      </c>
      <c r="Z349">
        <v>0</v>
      </c>
      <c r="AA349">
        <v>0</v>
      </c>
      <c r="AB349">
        <v>0</v>
      </c>
      <c r="AC349">
        <v>3.13</v>
      </c>
      <c r="AD349">
        <v>0</v>
      </c>
      <c r="AE349">
        <v>0</v>
      </c>
      <c r="AF349">
        <v>0</v>
      </c>
      <c r="AG349">
        <v>1</v>
      </c>
      <c r="AH349">
        <v>3.13</v>
      </c>
      <c r="AI349">
        <v>3</v>
      </c>
      <c r="AJ349">
        <v>3.1300000000000008</v>
      </c>
      <c r="AK349">
        <v>0</v>
      </c>
      <c r="AL349">
        <v>0</v>
      </c>
      <c r="AM349">
        <v>0</v>
      </c>
      <c r="AN349">
        <v>0</v>
      </c>
      <c r="AO349">
        <v>2.930000000000001</v>
      </c>
      <c r="AP349">
        <v>0</v>
      </c>
      <c r="AQ349">
        <v>0.2</v>
      </c>
      <c r="AR349">
        <v>0</v>
      </c>
      <c r="AS349">
        <v>0.93610223642172519</v>
      </c>
      <c r="AT349">
        <v>3.13</v>
      </c>
      <c r="AU349">
        <v>0</v>
      </c>
      <c r="AV349">
        <v>0</v>
      </c>
      <c r="AW349">
        <v>3.130000114440918</v>
      </c>
      <c r="AX349">
        <v>0</v>
      </c>
      <c r="AY349">
        <v>1.129999995231628</v>
      </c>
      <c r="AZ349">
        <v>1.3999999761581421</v>
      </c>
      <c r="BA349">
        <v>0.60000002384185791</v>
      </c>
      <c r="BB349">
        <v>0</v>
      </c>
      <c r="BC349">
        <v>2.529999971389771</v>
      </c>
      <c r="BD349">
        <v>0.60000002384185791</v>
      </c>
      <c r="BE349">
        <v>0.80830670135593519</v>
      </c>
      <c r="BF349">
        <v>0.19169329864406481</v>
      </c>
      <c r="BG349">
        <v>150</v>
      </c>
      <c r="BH349">
        <v>1.129999995231628</v>
      </c>
      <c r="BI349">
        <v>1.3999999761581421</v>
      </c>
      <c r="BJ349">
        <v>0.60000002384185791</v>
      </c>
      <c r="BK349">
        <v>0</v>
      </c>
      <c r="BL349">
        <v>1</v>
      </c>
      <c r="BM349">
        <v>3</v>
      </c>
      <c r="BN349">
        <v>2023</v>
      </c>
      <c r="BO349">
        <v>1</v>
      </c>
      <c r="BP349">
        <v>1</v>
      </c>
      <c r="BQ349">
        <v>3</v>
      </c>
      <c r="BR349">
        <v>2023</v>
      </c>
      <c r="BS349">
        <v>2</v>
      </c>
      <c r="BT349">
        <v>1</v>
      </c>
      <c r="BU349">
        <v>3</v>
      </c>
      <c r="BV349">
        <v>2023</v>
      </c>
      <c r="BW349">
        <v>3</v>
      </c>
      <c r="BX349">
        <v>1</v>
      </c>
      <c r="BY349">
        <v>1</v>
      </c>
      <c r="BZ349">
        <v>1</v>
      </c>
      <c r="CA349">
        <v>0</v>
      </c>
      <c r="CB349">
        <v>0</v>
      </c>
      <c r="CC349">
        <v>1</v>
      </c>
      <c r="CD349">
        <v>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</row>
    <row r="350" spans="1:96" x14ac:dyDescent="0.25">
      <c r="A350">
        <v>349</v>
      </c>
      <c r="B350" t="s">
        <v>1417</v>
      </c>
      <c r="C350" t="s">
        <v>1418</v>
      </c>
      <c r="D350" t="s">
        <v>1419</v>
      </c>
      <c r="E350" t="s">
        <v>1420</v>
      </c>
      <c r="F350" t="s">
        <v>105</v>
      </c>
      <c r="G350">
        <v>6</v>
      </c>
      <c r="H350">
        <v>1</v>
      </c>
      <c r="I350">
        <v>2885</v>
      </c>
      <c r="J350">
        <v>0</v>
      </c>
      <c r="K350">
        <v>1</v>
      </c>
      <c r="L350">
        <v>3325.3</v>
      </c>
      <c r="M350">
        <v>3394.2</v>
      </c>
      <c r="N350">
        <v>7436</v>
      </c>
      <c r="O350">
        <v>146.6</v>
      </c>
      <c r="P350">
        <v>7600.7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6.36</v>
      </c>
      <c r="W350">
        <v>3.5</v>
      </c>
      <c r="X350">
        <v>6.36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6.36</v>
      </c>
      <c r="AF350">
        <v>0</v>
      </c>
      <c r="AG350">
        <v>0</v>
      </c>
      <c r="AH350">
        <v>6.36</v>
      </c>
      <c r="AI350">
        <v>3.5</v>
      </c>
      <c r="AJ350">
        <v>6.3599999999999932</v>
      </c>
      <c r="AK350">
        <v>0</v>
      </c>
      <c r="AL350">
        <v>0</v>
      </c>
      <c r="AM350">
        <v>0</v>
      </c>
      <c r="AN350">
        <v>0</v>
      </c>
      <c r="AO350">
        <v>0.6</v>
      </c>
      <c r="AP350">
        <v>0</v>
      </c>
      <c r="AQ350">
        <v>5.7599999999999953</v>
      </c>
      <c r="AR350">
        <v>0</v>
      </c>
      <c r="AS350">
        <v>9.433962264150951E-2</v>
      </c>
      <c r="AT350">
        <v>6.36</v>
      </c>
      <c r="AU350">
        <v>0</v>
      </c>
      <c r="AV350">
        <v>0</v>
      </c>
      <c r="AW350">
        <v>6.3600001335144043</v>
      </c>
      <c r="AX350">
        <v>0</v>
      </c>
      <c r="AY350">
        <v>0.40000000596046448</v>
      </c>
      <c r="AZ350">
        <v>0.80000001192092896</v>
      </c>
      <c r="BA350">
        <v>2.0999999046325679</v>
      </c>
      <c r="BB350">
        <v>3.059999942779541</v>
      </c>
      <c r="BC350">
        <v>1.200000017881393</v>
      </c>
      <c r="BD350">
        <v>5.1599998474121094</v>
      </c>
      <c r="BE350">
        <v>0.18867925209083561</v>
      </c>
      <c r="BF350">
        <v>0.81132074790916442</v>
      </c>
      <c r="BG350">
        <v>150</v>
      </c>
      <c r="BH350">
        <v>0.40000000596046448</v>
      </c>
      <c r="BI350">
        <v>0.80000001192092896</v>
      </c>
      <c r="BJ350">
        <v>2.0999999046325679</v>
      </c>
      <c r="BK350">
        <v>3.059999942779541</v>
      </c>
      <c r="BL350">
        <v>1</v>
      </c>
      <c r="BM350">
        <v>1</v>
      </c>
      <c r="BN350">
        <v>2023</v>
      </c>
      <c r="BO350">
        <v>1</v>
      </c>
      <c r="BP350">
        <v>1</v>
      </c>
      <c r="BQ350">
        <v>1</v>
      </c>
      <c r="BR350">
        <v>2023</v>
      </c>
      <c r="BS350">
        <v>2</v>
      </c>
      <c r="BT350">
        <v>1</v>
      </c>
      <c r="BU350">
        <v>1</v>
      </c>
      <c r="BV350">
        <v>2023</v>
      </c>
      <c r="BW350">
        <v>3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</row>
    <row r="351" spans="1:96" x14ac:dyDescent="0.25">
      <c r="A351">
        <v>350</v>
      </c>
      <c r="B351" t="s">
        <v>1421</v>
      </c>
      <c r="C351" t="s">
        <v>1422</v>
      </c>
      <c r="D351" t="s">
        <v>1423</v>
      </c>
      <c r="E351" t="s">
        <v>1424</v>
      </c>
      <c r="F351" t="s">
        <v>503</v>
      </c>
      <c r="G351">
        <v>3</v>
      </c>
      <c r="H351">
        <v>2</v>
      </c>
      <c r="I351">
        <v>1628</v>
      </c>
      <c r="J351">
        <v>0</v>
      </c>
      <c r="K351">
        <v>1</v>
      </c>
      <c r="L351">
        <v>2782.1</v>
      </c>
      <c r="M351">
        <v>2691.8</v>
      </c>
      <c r="N351">
        <v>3352.4</v>
      </c>
      <c r="O351">
        <v>744.2</v>
      </c>
      <c r="P351">
        <v>4751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3.35</v>
      </c>
      <c r="W351">
        <v>3.5</v>
      </c>
      <c r="X351">
        <v>3.35</v>
      </c>
      <c r="Y351">
        <v>0</v>
      </c>
      <c r="Z351">
        <v>0</v>
      </c>
      <c r="AA351">
        <v>0</v>
      </c>
      <c r="AB351">
        <v>0</v>
      </c>
      <c r="AC351">
        <v>1.5</v>
      </c>
      <c r="AD351">
        <v>0.35</v>
      </c>
      <c r="AE351">
        <v>1.5</v>
      </c>
      <c r="AF351">
        <v>0</v>
      </c>
      <c r="AG351">
        <v>0.55223880597014929</v>
      </c>
      <c r="AH351">
        <v>3.35</v>
      </c>
      <c r="AI351">
        <v>3.5</v>
      </c>
      <c r="AJ351">
        <v>3.350000000000001</v>
      </c>
      <c r="AK351">
        <v>0</v>
      </c>
      <c r="AL351">
        <v>0</v>
      </c>
      <c r="AM351">
        <v>0</v>
      </c>
      <c r="AN351">
        <v>0</v>
      </c>
      <c r="AO351">
        <v>3.350000000000001</v>
      </c>
      <c r="AP351">
        <v>0</v>
      </c>
      <c r="AQ351">
        <v>0</v>
      </c>
      <c r="AR351">
        <v>0</v>
      </c>
      <c r="AS351">
        <v>1</v>
      </c>
      <c r="AT351">
        <v>3.35</v>
      </c>
      <c r="AU351">
        <v>0</v>
      </c>
      <c r="AV351">
        <v>0</v>
      </c>
      <c r="AW351">
        <v>3.3499999046325679</v>
      </c>
      <c r="AX351">
        <v>0</v>
      </c>
      <c r="AY351">
        <v>3.3499999046325679</v>
      </c>
      <c r="AZ351">
        <v>0</v>
      </c>
      <c r="BA351">
        <v>0</v>
      </c>
      <c r="BB351">
        <v>0</v>
      </c>
      <c r="BC351">
        <v>3.3499999046325679</v>
      </c>
      <c r="BD351">
        <v>0</v>
      </c>
      <c r="BE351">
        <v>1</v>
      </c>
      <c r="BF351">
        <v>0</v>
      </c>
      <c r="BG351">
        <v>150</v>
      </c>
      <c r="BH351">
        <v>3.3499999046325679</v>
      </c>
      <c r="BI351">
        <v>0</v>
      </c>
      <c r="BJ351">
        <v>0</v>
      </c>
      <c r="BK351">
        <v>0</v>
      </c>
      <c r="BL351">
        <v>0</v>
      </c>
      <c r="BM351">
        <v>0</v>
      </c>
      <c r="BP351">
        <v>1</v>
      </c>
      <c r="BQ351">
        <v>1</v>
      </c>
      <c r="BR351">
        <v>2024</v>
      </c>
      <c r="BS351">
        <v>1</v>
      </c>
      <c r="BT351">
        <v>1</v>
      </c>
      <c r="BU351">
        <v>1</v>
      </c>
      <c r="BV351">
        <v>2024</v>
      </c>
      <c r="BW351">
        <v>2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D5A0-01A8-4C54-935A-D2A955192A27}">
  <dimension ref="A1:AN351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78</v>
      </c>
      <c r="AM1" s="1" t="s">
        <v>83</v>
      </c>
      <c r="AN1" s="1" t="s">
        <v>88</v>
      </c>
    </row>
    <row r="2" spans="1:40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>
        <v>1</v>
      </c>
      <c r="H2">
        <v>1</v>
      </c>
      <c r="I2">
        <v>1377</v>
      </c>
      <c r="J2">
        <v>0</v>
      </c>
      <c r="K2">
        <v>0</v>
      </c>
      <c r="L2">
        <v>714.1</v>
      </c>
      <c r="M2">
        <v>954.7</v>
      </c>
      <c r="N2">
        <v>1467.1</v>
      </c>
      <c r="O2">
        <v>166.2</v>
      </c>
      <c r="P2">
        <v>395.8</v>
      </c>
      <c r="Q2">
        <v>0</v>
      </c>
      <c r="R2">
        <v>0</v>
      </c>
      <c r="S2">
        <v>0</v>
      </c>
      <c r="T2">
        <v>0</v>
      </c>
      <c r="U2">
        <v>0</v>
      </c>
      <c r="V2">
        <v>0.24</v>
      </c>
      <c r="W2">
        <v>3.5</v>
      </c>
      <c r="X2">
        <v>0.24</v>
      </c>
      <c r="Y2">
        <v>0</v>
      </c>
      <c r="Z2">
        <v>0</v>
      </c>
      <c r="AA2">
        <v>0</v>
      </c>
      <c r="AB2">
        <v>0</v>
      </c>
      <c r="AC2">
        <v>0.24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L2">
        <v>1</v>
      </c>
      <c r="AM2">
        <v>0</v>
      </c>
      <c r="AN2">
        <v>1</v>
      </c>
    </row>
    <row r="3" spans="1:40" x14ac:dyDescent="0.25">
      <c r="A3">
        <v>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>
        <v>2</v>
      </c>
      <c r="H3">
        <v>1</v>
      </c>
      <c r="I3">
        <v>1294</v>
      </c>
      <c r="J3">
        <v>0</v>
      </c>
      <c r="K3">
        <v>1</v>
      </c>
      <c r="L3">
        <v>961.1</v>
      </c>
      <c r="M3">
        <v>2012.5</v>
      </c>
      <c r="N3">
        <v>5681</v>
      </c>
      <c r="O3">
        <v>667.2</v>
      </c>
      <c r="P3">
        <v>6453.8</v>
      </c>
      <c r="Q3">
        <v>0</v>
      </c>
      <c r="R3">
        <v>0</v>
      </c>
      <c r="S3">
        <v>0</v>
      </c>
      <c r="T3">
        <v>0</v>
      </c>
      <c r="U3">
        <v>0</v>
      </c>
      <c r="V3">
        <v>1.06</v>
      </c>
      <c r="W3">
        <v>3</v>
      </c>
      <c r="X3">
        <v>1.06</v>
      </c>
      <c r="Y3">
        <v>0</v>
      </c>
      <c r="Z3">
        <v>0</v>
      </c>
      <c r="AA3">
        <v>0</v>
      </c>
      <c r="AB3">
        <v>0</v>
      </c>
      <c r="AC3">
        <v>1.06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L3">
        <v>0</v>
      </c>
      <c r="AM3">
        <v>0</v>
      </c>
      <c r="AN3">
        <v>0</v>
      </c>
    </row>
    <row r="4" spans="1:40" x14ac:dyDescent="0.25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100</v>
      </c>
      <c r="G4">
        <v>2</v>
      </c>
      <c r="H4">
        <v>1</v>
      </c>
      <c r="I4">
        <v>2315</v>
      </c>
      <c r="J4">
        <v>0</v>
      </c>
      <c r="K4">
        <v>0</v>
      </c>
      <c r="L4">
        <v>1257.5</v>
      </c>
      <c r="M4">
        <v>1407.6</v>
      </c>
      <c r="N4">
        <v>1286.8</v>
      </c>
      <c r="O4">
        <v>425.9</v>
      </c>
      <c r="P4">
        <v>1575.8</v>
      </c>
      <c r="Q4">
        <v>0</v>
      </c>
      <c r="R4">
        <v>0</v>
      </c>
      <c r="S4">
        <v>0</v>
      </c>
      <c r="T4">
        <v>0</v>
      </c>
      <c r="U4">
        <v>0</v>
      </c>
      <c r="V4">
        <v>0.38</v>
      </c>
      <c r="W4">
        <v>3.5</v>
      </c>
      <c r="X4">
        <v>0</v>
      </c>
      <c r="Y4">
        <v>0</v>
      </c>
      <c r="Z4">
        <v>0</v>
      </c>
      <c r="AA4">
        <v>0.38</v>
      </c>
      <c r="AB4">
        <v>0</v>
      </c>
      <c r="AC4">
        <v>0</v>
      </c>
      <c r="AD4">
        <v>0</v>
      </c>
      <c r="AE4">
        <v>0</v>
      </c>
      <c r="AF4">
        <v>0.38</v>
      </c>
      <c r="AG4">
        <v>0</v>
      </c>
      <c r="AH4">
        <v>0</v>
      </c>
      <c r="AI4">
        <v>0</v>
      </c>
      <c r="AL4">
        <v>1</v>
      </c>
      <c r="AM4">
        <v>0</v>
      </c>
      <c r="AN4">
        <v>1</v>
      </c>
    </row>
    <row r="5" spans="1:40" x14ac:dyDescent="0.2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100</v>
      </c>
      <c r="G5">
        <v>3</v>
      </c>
      <c r="H5">
        <v>1</v>
      </c>
      <c r="I5">
        <v>6205</v>
      </c>
      <c r="J5">
        <v>0</v>
      </c>
      <c r="K5">
        <v>1</v>
      </c>
      <c r="L5">
        <v>1109.5</v>
      </c>
      <c r="M5">
        <v>461.8</v>
      </c>
      <c r="N5">
        <v>2807.8</v>
      </c>
      <c r="O5">
        <v>138.80000000000001</v>
      </c>
      <c r="P5">
        <v>944.9</v>
      </c>
      <c r="Q5">
        <v>0</v>
      </c>
      <c r="R5">
        <v>0</v>
      </c>
      <c r="S5">
        <v>0</v>
      </c>
      <c r="T5">
        <v>0</v>
      </c>
      <c r="U5">
        <v>0</v>
      </c>
      <c r="V5">
        <v>1.34</v>
      </c>
      <c r="W5">
        <v>5</v>
      </c>
      <c r="X5">
        <v>1.34</v>
      </c>
      <c r="Y5">
        <v>0</v>
      </c>
      <c r="Z5">
        <v>0</v>
      </c>
      <c r="AA5">
        <v>0</v>
      </c>
      <c r="AB5">
        <v>0</v>
      </c>
      <c r="AC5">
        <v>1.34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L5">
        <v>0</v>
      </c>
      <c r="AM5">
        <v>0</v>
      </c>
      <c r="AN5">
        <v>0</v>
      </c>
    </row>
    <row r="6" spans="1:40" x14ac:dyDescent="0.25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>
        <v>2</v>
      </c>
      <c r="H6">
        <v>2</v>
      </c>
      <c r="I6">
        <v>1122</v>
      </c>
      <c r="J6">
        <v>0</v>
      </c>
      <c r="K6">
        <v>1</v>
      </c>
      <c r="L6">
        <v>3281</v>
      </c>
      <c r="M6">
        <v>1687.3</v>
      </c>
      <c r="N6">
        <v>2540.1999999999998</v>
      </c>
      <c r="O6">
        <v>459.8</v>
      </c>
      <c r="P6">
        <v>3136</v>
      </c>
      <c r="Q6">
        <v>0</v>
      </c>
      <c r="R6">
        <v>0</v>
      </c>
      <c r="S6">
        <v>0</v>
      </c>
      <c r="T6">
        <v>0</v>
      </c>
      <c r="U6">
        <v>0</v>
      </c>
      <c r="V6">
        <v>3.17</v>
      </c>
      <c r="W6">
        <v>3.5</v>
      </c>
      <c r="X6">
        <v>3.17</v>
      </c>
      <c r="Y6">
        <v>0</v>
      </c>
      <c r="Z6">
        <v>0</v>
      </c>
      <c r="AA6">
        <v>0</v>
      </c>
      <c r="AB6">
        <v>0</v>
      </c>
      <c r="AC6">
        <v>3.17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2023</v>
      </c>
      <c r="AK6">
        <v>1</v>
      </c>
      <c r="AL6">
        <v>0</v>
      </c>
      <c r="AM6">
        <v>0</v>
      </c>
      <c r="AN6">
        <v>0</v>
      </c>
    </row>
    <row r="7" spans="1:40" x14ac:dyDescent="0.25">
      <c r="A7">
        <v>6</v>
      </c>
      <c r="B7" t="s">
        <v>119</v>
      </c>
      <c r="C7" t="s">
        <v>120</v>
      </c>
      <c r="D7" t="s">
        <v>121</v>
      </c>
      <c r="E7" t="s">
        <v>122</v>
      </c>
      <c r="F7" t="s">
        <v>100</v>
      </c>
      <c r="G7">
        <v>4</v>
      </c>
      <c r="H7">
        <v>1</v>
      </c>
      <c r="I7">
        <v>2479</v>
      </c>
      <c r="J7">
        <v>0</v>
      </c>
      <c r="K7">
        <v>0</v>
      </c>
      <c r="L7">
        <v>4114.1000000000004</v>
      </c>
      <c r="M7">
        <v>3726.6</v>
      </c>
      <c r="N7">
        <v>5380</v>
      </c>
      <c r="O7">
        <v>191.1</v>
      </c>
      <c r="P7">
        <v>3795.8</v>
      </c>
      <c r="Q7">
        <v>0</v>
      </c>
      <c r="R7">
        <v>0</v>
      </c>
      <c r="S7">
        <v>0</v>
      </c>
      <c r="T7">
        <v>0</v>
      </c>
      <c r="U7">
        <v>0</v>
      </c>
      <c r="V7">
        <v>5.41</v>
      </c>
      <c r="W7">
        <v>3.5</v>
      </c>
      <c r="X7">
        <v>5.41</v>
      </c>
      <c r="Y7">
        <v>0</v>
      </c>
      <c r="Z7">
        <v>0</v>
      </c>
      <c r="AA7">
        <v>0</v>
      </c>
      <c r="AB7">
        <v>0</v>
      </c>
      <c r="AC7">
        <v>5.41</v>
      </c>
      <c r="AD7">
        <v>0</v>
      </c>
      <c r="AE7">
        <v>0</v>
      </c>
      <c r="AF7">
        <v>0</v>
      </c>
      <c r="AG7">
        <v>1</v>
      </c>
      <c r="AH7">
        <v>1</v>
      </c>
      <c r="AI7">
        <v>2</v>
      </c>
      <c r="AJ7">
        <v>2023</v>
      </c>
      <c r="AK7">
        <v>1</v>
      </c>
      <c r="AL7">
        <v>0</v>
      </c>
      <c r="AM7">
        <v>0</v>
      </c>
      <c r="AN7">
        <v>0</v>
      </c>
    </row>
    <row r="8" spans="1:40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>
        <v>2</v>
      </c>
      <c r="H8">
        <v>1</v>
      </c>
      <c r="I8">
        <v>1088</v>
      </c>
      <c r="J8">
        <v>0</v>
      </c>
      <c r="K8">
        <v>0</v>
      </c>
      <c r="L8">
        <v>2381.1999999999998</v>
      </c>
      <c r="M8">
        <v>3220.9</v>
      </c>
      <c r="N8">
        <v>7125.8</v>
      </c>
      <c r="O8">
        <v>1028.5</v>
      </c>
      <c r="P8">
        <v>5524.6</v>
      </c>
      <c r="Q8">
        <v>0</v>
      </c>
      <c r="R8">
        <v>0</v>
      </c>
      <c r="S8">
        <v>0</v>
      </c>
      <c r="T8">
        <v>0</v>
      </c>
      <c r="U8">
        <v>0</v>
      </c>
      <c r="V8">
        <v>1.74</v>
      </c>
      <c r="W8">
        <v>3.5</v>
      </c>
      <c r="X8">
        <v>1.74</v>
      </c>
      <c r="Y8">
        <v>0</v>
      </c>
      <c r="Z8">
        <v>0</v>
      </c>
      <c r="AA8">
        <v>0</v>
      </c>
      <c r="AB8">
        <v>0</v>
      </c>
      <c r="AC8">
        <v>1.74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L8">
        <v>1</v>
      </c>
      <c r="AM8">
        <v>1</v>
      </c>
      <c r="AN8">
        <v>0</v>
      </c>
    </row>
    <row r="9" spans="1:40" x14ac:dyDescent="0.25">
      <c r="A9">
        <v>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>
        <v>2</v>
      </c>
      <c r="H9">
        <v>1</v>
      </c>
      <c r="I9">
        <v>763</v>
      </c>
      <c r="J9">
        <v>0</v>
      </c>
      <c r="K9">
        <v>0</v>
      </c>
      <c r="L9">
        <v>4179.5</v>
      </c>
      <c r="M9">
        <v>2818.2</v>
      </c>
      <c r="N9">
        <v>13938.7</v>
      </c>
      <c r="O9">
        <v>1329.4</v>
      </c>
      <c r="P9">
        <v>12075.8</v>
      </c>
      <c r="Q9">
        <v>0</v>
      </c>
      <c r="R9">
        <v>0</v>
      </c>
      <c r="S9">
        <v>0</v>
      </c>
      <c r="T9">
        <v>0</v>
      </c>
      <c r="U9">
        <v>0</v>
      </c>
      <c r="V9">
        <v>1.57</v>
      </c>
      <c r="W9">
        <v>3</v>
      </c>
      <c r="X9">
        <v>0.1</v>
      </c>
      <c r="Y9">
        <v>0</v>
      </c>
      <c r="Z9">
        <v>0</v>
      </c>
      <c r="AA9">
        <v>1.47</v>
      </c>
      <c r="AB9">
        <v>0</v>
      </c>
      <c r="AC9">
        <v>0</v>
      </c>
      <c r="AD9">
        <v>0</v>
      </c>
      <c r="AE9">
        <v>0</v>
      </c>
      <c r="AF9">
        <v>1.57</v>
      </c>
      <c r="AG9">
        <v>0</v>
      </c>
      <c r="AH9">
        <v>0</v>
      </c>
      <c r="AI9">
        <v>0</v>
      </c>
      <c r="AL9">
        <v>0</v>
      </c>
      <c r="AM9">
        <v>0</v>
      </c>
      <c r="AN9">
        <v>0</v>
      </c>
    </row>
    <row r="10" spans="1:40" x14ac:dyDescent="0.25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 t="s">
        <v>105</v>
      </c>
      <c r="G10">
        <v>2</v>
      </c>
      <c r="H10">
        <v>1</v>
      </c>
      <c r="I10">
        <v>1032</v>
      </c>
      <c r="J10">
        <v>0</v>
      </c>
      <c r="K10">
        <v>0</v>
      </c>
      <c r="L10">
        <v>4608.7</v>
      </c>
      <c r="M10">
        <v>5179.2</v>
      </c>
      <c r="N10">
        <v>10259.5</v>
      </c>
      <c r="O10">
        <v>1207.7</v>
      </c>
      <c r="P10">
        <v>10424.200000000001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4.3600000000000003</v>
      </c>
      <c r="W10">
        <v>3.5</v>
      </c>
      <c r="X10">
        <v>4.3600000000000003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4.16</v>
      </c>
      <c r="AE10">
        <v>0.2</v>
      </c>
      <c r="AF10">
        <v>0</v>
      </c>
      <c r="AG10">
        <v>0.95412844036697242</v>
      </c>
      <c r="AH10">
        <v>1</v>
      </c>
      <c r="AI10">
        <v>3</v>
      </c>
      <c r="AJ10">
        <v>2023</v>
      </c>
      <c r="AK10">
        <v>1</v>
      </c>
      <c r="AL10">
        <v>0</v>
      </c>
      <c r="AM10">
        <v>0</v>
      </c>
      <c r="AN10">
        <v>0</v>
      </c>
    </row>
    <row r="11" spans="1:40" x14ac:dyDescent="0.25">
      <c r="A11">
        <v>10</v>
      </c>
      <c r="B11" t="s">
        <v>137</v>
      </c>
      <c r="C11" t="s">
        <v>138</v>
      </c>
      <c r="D11" t="s">
        <v>139</v>
      </c>
      <c r="E11" t="s">
        <v>140</v>
      </c>
      <c r="F11" t="s">
        <v>100</v>
      </c>
      <c r="G11">
        <v>2</v>
      </c>
      <c r="H11">
        <v>1</v>
      </c>
      <c r="I11">
        <v>4331</v>
      </c>
      <c r="J11">
        <v>0</v>
      </c>
      <c r="K11">
        <v>0</v>
      </c>
      <c r="L11">
        <v>781.6</v>
      </c>
      <c r="M11">
        <v>796.9</v>
      </c>
      <c r="N11">
        <v>2773.5</v>
      </c>
      <c r="O11">
        <v>196.3</v>
      </c>
      <c r="P11">
        <v>910.6</v>
      </c>
      <c r="Q11">
        <v>0</v>
      </c>
      <c r="R11">
        <v>0</v>
      </c>
      <c r="S11">
        <v>0</v>
      </c>
      <c r="T11">
        <v>0</v>
      </c>
      <c r="U11">
        <v>0</v>
      </c>
      <c r="V11">
        <v>0.23</v>
      </c>
      <c r="W11">
        <v>3</v>
      </c>
      <c r="X11">
        <v>0.23</v>
      </c>
      <c r="Y11">
        <v>0</v>
      </c>
      <c r="Z11">
        <v>0</v>
      </c>
      <c r="AA11">
        <v>0</v>
      </c>
      <c r="AB11">
        <v>0</v>
      </c>
      <c r="AC11">
        <v>0.23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2023</v>
      </c>
      <c r="AK11">
        <v>1</v>
      </c>
      <c r="AL11">
        <v>0</v>
      </c>
      <c r="AM11">
        <v>0</v>
      </c>
      <c r="AN11">
        <v>0</v>
      </c>
    </row>
    <row r="12" spans="1:40" x14ac:dyDescent="0.25">
      <c r="A12">
        <v>11</v>
      </c>
      <c r="B12" t="s">
        <v>141</v>
      </c>
      <c r="C12" t="s">
        <v>142</v>
      </c>
      <c r="D12" t="s">
        <v>143</v>
      </c>
      <c r="E12" t="s">
        <v>144</v>
      </c>
      <c r="F12" t="s">
        <v>100</v>
      </c>
      <c r="G12">
        <v>1</v>
      </c>
      <c r="H12">
        <v>1</v>
      </c>
      <c r="I12">
        <v>786</v>
      </c>
      <c r="J12">
        <v>0</v>
      </c>
      <c r="K12">
        <v>0</v>
      </c>
      <c r="L12">
        <v>4664.3</v>
      </c>
      <c r="M12">
        <v>3176.4</v>
      </c>
      <c r="N12">
        <v>5196.3999999999996</v>
      </c>
      <c r="O12">
        <v>490.7</v>
      </c>
      <c r="P12">
        <v>4346</v>
      </c>
      <c r="Q12">
        <v>0</v>
      </c>
      <c r="R12">
        <v>0</v>
      </c>
      <c r="S12">
        <v>0</v>
      </c>
      <c r="T12">
        <v>0</v>
      </c>
      <c r="U12">
        <v>0</v>
      </c>
      <c r="V12">
        <v>0.4</v>
      </c>
      <c r="W12">
        <v>3.5</v>
      </c>
      <c r="X12">
        <v>0</v>
      </c>
      <c r="Y12">
        <v>0</v>
      </c>
      <c r="Z12">
        <v>0</v>
      </c>
      <c r="AA12">
        <v>0.4</v>
      </c>
      <c r="AB12">
        <v>0</v>
      </c>
      <c r="AC12">
        <v>0</v>
      </c>
      <c r="AD12">
        <v>0</v>
      </c>
      <c r="AE12">
        <v>0</v>
      </c>
      <c r="AF12">
        <v>0.4</v>
      </c>
      <c r="AG12">
        <v>0</v>
      </c>
      <c r="AH12">
        <v>0</v>
      </c>
      <c r="AI12">
        <v>0</v>
      </c>
      <c r="AL12">
        <v>0</v>
      </c>
      <c r="AM12">
        <v>0</v>
      </c>
      <c r="AN12">
        <v>0</v>
      </c>
    </row>
    <row r="13" spans="1:40" x14ac:dyDescent="0.25">
      <c r="A13">
        <v>12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>
        <v>3</v>
      </c>
      <c r="H13">
        <v>1</v>
      </c>
      <c r="I13">
        <v>2516</v>
      </c>
      <c r="J13">
        <v>0</v>
      </c>
      <c r="K13">
        <v>1</v>
      </c>
      <c r="L13">
        <v>4170.6000000000004</v>
      </c>
      <c r="M13">
        <v>4803.8999999999996</v>
      </c>
      <c r="N13">
        <v>12260.5</v>
      </c>
      <c r="O13">
        <v>1030.9000000000001</v>
      </c>
      <c r="P13">
        <v>10397.6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3</v>
      </c>
      <c r="X13">
        <v>5.4</v>
      </c>
      <c r="Y13">
        <v>0</v>
      </c>
      <c r="Z13">
        <v>0</v>
      </c>
      <c r="AA13">
        <v>1.6</v>
      </c>
      <c r="AB13">
        <v>0</v>
      </c>
      <c r="AC13">
        <v>0</v>
      </c>
      <c r="AD13">
        <v>2.6</v>
      </c>
      <c r="AE13">
        <v>1.4</v>
      </c>
      <c r="AF13">
        <v>3</v>
      </c>
      <c r="AG13">
        <v>0.37142857142857139</v>
      </c>
      <c r="AH13">
        <v>1</v>
      </c>
      <c r="AI13">
        <v>2</v>
      </c>
      <c r="AJ13">
        <v>2023</v>
      </c>
      <c r="AK13">
        <v>1</v>
      </c>
      <c r="AL13">
        <v>1</v>
      </c>
      <c r="AM13">
        <v>1</v>
      </c>
      <c r="AN13">
        <v>0</v>
      </c>
    </row>
    <row r="14" spans="1:40" x14ac:dyDescent="0.25">
      <c r="A14">
        <v>13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>
        <v>5</v>
      </c>
      <c r="H14">
        <v>2</v>
      </c>
      <c r="I14">
        <v>2430</v>
      </c>
      <c r="J14">
        <v>0</v>
      </c>
      <c r="K14">
        <v>1</v>
      </c>
      <c r="L14">
        <v>2807.7</v>
      </c>
      <c r="M14">
        <v>2660.1</v>
      </c>
      <c r="N14">
        <v>12566.9</v>
      </c>
      <c r="O14">
        <v>42.4</v>
      </c>
      <c r="P14">
        <v>10704</v>
      </c>
      <c r="Q14">
        <v>0</v>
      </c>
      <c r="R14">
        <v>0</v>
      </c>
      <c r="S14">
        <v>0</v>
      </c>
      <c r="T14">
        <v>0</v>
      </c>
      <c r="U14">
        <v>0</v>
      </c>
      <c r="V14">
        <v>5.58</v>
      </c>
      <c r="W14">
        <v>3</v>
      </c>
      <c r="X14">
        <v>5.58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3.78</v>
      </c>
      <c r="AE14">
        <v>1.8</v>
      </c>
      <c r="AF14">
        <v>0</v>
      </c>
      <c r="AG14">
        <v>0.67741935483870963</v>
      </c>
      <c r="AH14">
        <v>1</v>
      </c>
      <c r="AI14">
        <v>1</v>
      </c>
      <c r="AJ14">
        <v>2021</v>
      </c>
      <c r="AK14">
        <v>3</v>
      </c>
      <c r="AL14">
        <v>1</v>
      </c>
      <c r="AM14">
        <v>1</v>
      </c>
      <c r="AN14">
        <v>1</v>
      </c>
    </row>
    <row r="15" spans="1:40" x14ac:dyDescent="0.25">
      <c r="A15">
        <v>14</v>
      </c>
      <c r="B15" t="s">
        <v>155</v>
      </c>
      <c r="C15" t="s">
        <v>156</v>
      </c>
      <c r="D15" t="s">
        <v>157</v>
      </c>
      <c r="E15" t="s">
        <v>158</v>
      </c>
      <c r="F15" t="s">
        <v>149</v>
      </c>
      <c r="G15">
        <v>4</v>
      </c>
      <c r="H15">
        <v>1</v>
      </c>
      <c r="I15">
        <v>3114</v>
      </c>
      <c r="J15">
        <v>0</v>
      </c>
      <c r="K15">
        <v>0</v>
      </c>
      <c r="L15">
        <v>3473.9</v>
      </c>
      <c r="M15">
        <v>4541</v>
      </c>
      <c r="N15">
        <v>11563.7</v>
      </c>
      <c r="O15">
        <v>1798.1</v>
      </c>
      <c r="P15">
        <v>9700.7999999999993</v>
      </c>
      <c r="Q15">
        <v>0</v>
      </c>
      <c r="R15">
        <v>0</v>
      </c>
      <c r="S15">
        <v>0</v>
      </c>
      <c r="T15">
        <v>0</v>
      </c>
      <c r="U15">
        <v>0</v>
      </c>
      <c r="V15">
        <v>5.88</v>
      </c>
      <c r="W15">
        <v>3</v>
      </c>
      <c r="X15">
        <v>5.88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4.4800000000000004</v>
      </c>
      <c r="AE15">
        <v>1.4</v>
      </c>
      <c r="AF15">
        <v>0</v>
      </c>
      <c r="AG15">
        <v>0.76190476190476186</v>
      </c>
      <c r="AH15">
        <v>1</v>
      </c>
      <c r="AI15">
        <v>1</v>
      </c>
      <c r="AJ15">
        <v>2023</v>
      </c>
      <c r="AK15">
        <v>1</v>
      </c>
      <c r="AL15">
        <v>1</v>
      </c>
      <c r="AM15">
        <v>0</v>
      </c>
      <c r="AN15">
        <v>1</v>
      </c>
    </row>
    <row r="16" spans="1:40" x14ac:dyDescent="0.25">
      <c r="A16">
        <v>15</v>
      </c>
      <c r="B16" t="s">
        <v>159</v>
      </c>
      <c r="C16" t="s">
        <v>160</v>
      </c>
      <c r="D16" t="s">
        <v>161</v>
      </c>
      <c r="E16" t="s">
        <v>162</v>
      </c>
      <c r="F16" t="s">
        <v>149</v>
      </c>
      <c r="G16">
        <v>1</v>
      </c>
      <c r="H16">
        <v>1</v>
      </c>
      <c r="I16">
        <v>545</v>
      </c>
      <c r="J16">
        <v>0</v>
      </c>
      <c r="K16">
        <v>1</v>
      </c>
      <c r="L16">
        <v>2869.7</v>
      </c>
      <c r="M16">
        <v>3143.5</v>
      </c>
      <c r="N16">
        <v>8536.5</v>
      </c>
      <c r="O16">
        <v>474.2</v>
      </c>
      <c r="P16">
        <v>6673.6</v>
      </c>
      <c r="Q16">
        <v>0</v>
      </c>
      <c r="R16">
        <v>0</v>
      </c>
      <c r="S16">
        <v>0</v>
      </c>
      <c r="T16">
        <v>0</v>
      </c>
      <c r="U16">
        <v>0</v>
      </c>
      <c r="V16">
        <v>1.21</v>
      </c>
      <c r="W16">
        <v>3.5</v>
      </c>
      <c r="X16">
        <v>1.21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1.21</v>
      </c>
      <c r="AG16">
        <v>0</v>
      </c>
      <c r="AH16">
        <v>0</v>
      </c>
      <c r="AI16">
        <v>0</v>
      </c>
      <c r="AL16">
        <v>0</v>
      </c>
      <c r="AM16">
        <v>0</v>
      </c>
      <c r="AN16">
        <v>0</v>
      </c>
    </row>
    <row r="17" spans="1:40" x14ac:dyDescent="0.25">
      <c r="A17">
        <v>16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>
        <v>3</v>
      </c>
      <c r="H17">
        <v>3</v>
      </c>
      <c r="I17">
        <v>1790</v>
      </c>
      <c r="J17">
        <v>0</v>
      </c>
      <c r="K17">
        <v>0</v>
      </c>
      <c r="L17">
        <v>2965.8</v>
      </c>
      <c r="M17">
        <v>2977.4</v>
      </c>
      <c r="N17">
        <v>2083.4</v>
      </c>
      <c r="O17">
        <v>862.4</v>
      </c>
      <c r="P17">
        <v>3010.9</v>
      </c>
      <c r="Q17">
        <v>0</v>
      </c>
      <c r="R17">
        <v>0</v>
      </c>
      <c r="S17">
        <v>0</v>
      </c>
      <c r="T17">
        <v>0</v>
      </c>
      <c r="U17">
        <v>0</v>
      </c>
      <c r="V17">
        <v>0.83</v>
      </c>
      <c r="W17">
        <v>2</v>
      </c>
      <c r="X17">
        <v>0.83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0.83</v>
      </c>
      <c r="AG17">
        <v>0</v>
      </c>
      <c r="AH17">
        <v>0</v>
      </c>
      <c r="AI17">
        <v>0</v>
      </c>
      <c r="AL17">
        <v>0</v>
      </c>
      <c r="AM17">
        <v>0</v>
      </c>
      <c r="AN17">
        <v>0</v>
      </c>
    </row>
    <row r="18" spans="1:40" x14ac:dyDescent="0.25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105</v>
      </c>
      <c r="G18">
        <v>1</v>
      </c>
      <c r="H18">
        <v>1</v>
      </c>
      <c r="I18">
        <v>708</v>
      </c>
      <c r="J18">
        <v>0</v>
      </c>
      <c r="K18">
        <v>0</v>
      </c>
      <c r="L18">
        <v>4362.8999999999996</v>
      </c>
      <c r="M18">
        <v>4148.6000000000004</v>
      </c>
      <c r="N18">
        <v>11085.9</v>
      </c>
      <c r="O18">
        <v>532.9</v>
      </c>
      <c r="P18">
        <v>7234.7</v>
      </c>
      <c r="Q18">
        <v>0</v>
      </c>
      <c r="R18">
        <v>0</v>
      </c>
      <c r="S18">
        <v>0</v>
      </c>
      <c r="T18">
        <v>0</v>
      </c>
      <c r="U18">
        <v>0</v>
      </c>
      <c r="V18">
        <v>1.1100000000000001</v>
      </c>
      <c r="W18">
        <v>3.5</v>
      </c>
      <c r="X18">
        <v>0</v>
      </c>
      <c r="Y18">
        <v>0</v>
      </c>
      <c r="Z18">
        <v>0</v>
      </c>
      <c r="AA18">
        <v>1.1100000000000001</v>
      </c>
      <c r="AB18">
        <v>0</v>
      </c>
      <c r="AC18">
        <v>0</v>
      </c>
      <c r="AD18">
        <v>0</v>
      </c>
      <c r="AE18">
        <v>0</v>
      </c>
      <c r="AF18">
        <v>1.1100000000000001</v>
      </c>
      <c r="AG18">
        <v>0</v>
      </c>
      <c r="AH18">
        <v>1</v>
      </c>
      <c r="AI18">
        <v>2</v>
      </c>
      <c r="AJ18">
        <v>2023</v>
      </c>
      <c r="AK18">
        <v>1</v>
      </c>
      <c r="AL18">
        <v>0</v>
      </c>
      <c r="AM18">
        <v>0</v>
      </c>
      <c r="AN18">
        <v>0</v>
      </c>
    </row>
    <row r="19" spans="1:40" x14ac:dyDescent="0.25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>
        <v>2</v>
      </c>
      <c r="H19">
        <v>1</v>
      </c>
      <c r="I19">
        <v>797</v>
      </c>
      <c r="J19">
        <v>0</v>
      </c>
      <c r="K19">
        <v>0</v>
      </c>
      <c r="L19">
        <v>7415</v>
      </c>
      <c r="M19">
        <v>4953</v>
      </c>
      <c r="N19">
        <v>8268.7000000000007</v>
      </c>
      <c r="O19">
        <v>979.8</v>
      </c>
      <c r="P19">
        <v>12484.5</v>
      </c>
      <c r="Q19">
        <v>0</v>
      </c>
      <c r="R19">
        <v>0</v>
      </c>
      <c r="S19">
        <v>0</v>
      </c>
      <c r="T19">
        <v>0</v>
      </c>
      <c r="U19">
        <v>0</v>
      </c>
      <c r="V19">
        <v>1.02</v>
      </c>
      <c r="W19">
        <v>3</v>
      </c>
      <c r="X19">
        <v>0</v>
      </c>
      <c r="Y19">
        <v>0</v>
      </c>
      <c r="Z19">
        <v>0</v>
      </c>
      <c r="AA19">
        <v>1.02</v>
      </c>
      <c r="AB19">
        <v>0</v>
      </c>
      <c r="AC19">
        <v>0</v>
      </c>
      <c r="AD19">
        <v>0</v>
      </c>
      <c r="AE19">
        <v>0</v>
      </c>
      <c r="AF19">
        <v>1.02</v>
      </c>
      <c r="AG19">
        <v>0</v>
      </c>
      <c r="AH19">
        <v>1</v>
      </c>
      <c r="AI19">
        <v>1</v>
      </c>
      <c r="AJ19">
        <v>2022</v>
      </c>
      <c r="AK19">
        <v>2</v>
      </c>
      <c r="AL19">
        <v>0</v>
      </c>
      <c r="AM19">
        <v>0</v>
      </c>
      <c r="AN19">
        <v>0</v>
      </c>
    </row>
    <row r="20" spans="1:40" x14ac:dyDescent="0.25">
      <c r="A20">
        <v>19</v>
      </c>
      <c r="B20" t="s">
        <v>177</v>
      </c>
      <c r="C20" t="s">
        <v>178</v>
      </c>
      <c r="D20" t="s">
        <v>179</v>
      </c>
      <c r="E20" t="s">
        <v>180</v>
      </c>
      <c r="F20" t="s">
        <v>105</v>
      </c>
      <c r="G20">
        <v>1</v>
      </c>
      <c r="H20">
        <v>1</v>
      </c>
      <c r="I20">
        <v>682</v>
      </c>
      <c r="J20">
        <v>0</v>
      </c>
      <c r="K20">
        <v>0</v>
      </c>
      <c r="L20">
        <v>2565.8000000000002</v>
      </c>
      <c r="M20">
        <v>3045</v>
      </c>
      <c r="N20">
        <v>3705.6</v>
      </c>
      <c r="O20">
        <v>527.9</v>
      </c>
      <c r="P20">
        <v>5104.2</v>
      </c>
      <c r="Q20">
        <v>0</v>
      </c>
      <c r="R20">
        <v>0</v>
      </c>
      <c r="S20">
        <v>0</v>
      </c>
      <c r="T20">
        <v>0</v>
      </c>
      <c r="U20">
        <v>0</v>
      </c>
      <c r="V20">
        <v>0.47</v>
      </c>
      <c r="W20">
        <v>3</v>
      </c>
      <c r="X20">
        <v>0.47</v>
      </c>
      <c r="Y20">
        <v>0</v>
      </c>
      <c r="Z20">
        <v>0</v>
      </c>
      <c r="AA20">
        <v>0</v>
      </c>
      <c r="AB20">
        <v>0</v>
      </c>
      <c r="AC20">
        <v>0.47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L20">
        <v>0</v>
      </c>
      <c r="AM20">
        <v>0</v>
      </c>
      <c r="AN20">
        <v>0</v>
      </c>
    </row>
    <row r="21" spans="1:40" x14ac:dyDescent="0.25">
      <c r="A21">
        <v>20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>
        <v>1</v>
      </c>
      <c r="H21">
        <v>1</v>
      </c>
      <c r="I21">
        <v>426</v>
      </c>
      <c r="J21">
        <v>0</v>
      </c>
      <c r="K21">
        <v>0</v>
      </c>
      <c r="O21">
        <v>612</v>
      </c>
      <c r="Q21">
        <v>1</v>
      </c>
      <c r="R21">
        <v>1</v>
      </c>
      <c r="S21">
        <v>1</v>
      </c>
      <c r="T21">
        <v>1</v>
      </c>
      <c r="U21">
        <v>0</v>
      </c>
      <c r="V21">
        <v>3.1</v>
      </c>
      <c r="W21">
        <v>3</v>
      </c>
      <c r="X21">
        <v>0</v>
      </c>
      <c r="Y21">
        <v>0</v>
      </c>
      <c r="Z21">
        <v>0</v>
      </c>
      <c r="AA21">
        <v>0</v>
      </c>
      <c r="AB21">
        <v>3.1</v>
      </c>
      <c r="AC21">
        <v>0</v>
      </c>
      <c r="AD21">
        <v>0</v>
      </c>
      <c r="AE21">
        <v>0</v>
      </c>
      <c r="AF21">
        <v>3.1</v>
      </c>
      <c r="AG21">
        <v>0</v>
      </c>
      <c r="AH21">
        <v>0</v>
      </c>
      <c r="AI21">
        <v>0</v>
      </c>
      <c r="AL21">
        <v>0</v>
      </c>
      <c r="AM21">
        <v>0</v>
      </c>
      <c r="AN21">
        <v>0</v>
      </c>
    </row>
    <row r="22" spans="1:40" x14ac:dyDescent="0.25">
      <c r="A22">
        <v>21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>
        <v>4</v>
      </c>
      <c r="H22">
        <v>1</v>
      </c>
      <c r="I22">
        <v>960</v>
      </c>
      <c r="J22">
        <v>0</v>
      </c>
      <c r="K22">
        <v>0</v>
      </c>
      <c r="L22">
        <v>10210.5</v>
      </c>
      <c r="M22">
        <v>7816.6</v>
      </c>
      <c r="N22">
        <v>20724.2</v>
      </c>
      <c r="O22">
        <v>161.6</v>
      </c>
      <c r="P22">
        <v>22103.7</v>
      </c>
      <c r="Q22">
        <v>0</v>
      </c>
      <c r="R22">
        <v>0</v>
      </c>
      <c r="S22">
        <v>0</v>
      </c>
      <c r="T22">
        <v>0</v>
      </c>
      <c r="U22">
        <v>0</v>
      </c>
      <c r="V22">
        <v>9.7100000000000009</v>
      </c>
      <c r="W22">
        <v>4</v>
      </c>
      <c r="X22">
        <v>7.3</v>
      </c>
      <c r="Y22">
        <v>0</v>
      </c>
      <c r="Z22">
        <v>0</v>
      </c>
      <c r="AA22">
        <v>0</v>
      </c>
      <c r="AB22">
        <v>2.41</v>
      </c>
      <c r="AC22">
        <v>7.3</v>
      </c>
      <c r="AD22">
        <v>0</v>
      </c>
      <c r="AE22">
        <v>0</v>
      </c>
      <c r="AF22">
        <v>2.41</v>
      </c>
      <c r="AG22">
        <v>0.75180226570545816</v>
      </c>
      <c r="AH22">
        <v>1</v>
      </c>
      <c r="AI22">
        <v>1</v>
      </c>
      <c r="AJ22">
        <v>2022</v>
      </c>
      <c r="AK22">
        <v>2</v>
      </c>
      <c r="AL22">
        <v>0</v>
      </c>
      <c r="AM22">
        <v>0</v>
      </c>
      <c r="AN22">
        <v>0</v>
      </c>
    </row>
    <row r="23" spans="1:40" x14ac:dyDescent="0.25">
      <c r="A23">
        <v>22</v>
      </c>
      <c r="B23" t="s">
        <v>191</v>
      </c>
      <c r="C23" t="s">
        <v>192</v>
      </c>
      <c r="D23" t="s">
        <v>193</v>
      </c>
      <c r="E23" t="s">
        <v>194</v>
      </c>
      <c r="F23" t="s">
        <v>100</v>
      </c>
      <c r="G23">
        <v>1</v>
      </c>
      <c r="H23">
        <v>1</v>
      </c>
      <c r="I23">
        <v>1874</v>
      </c>
      <c r="J23">
        <v>0</v>
      </c>
      <c r="K23">
        <v>1</v>
      </c>
      <c r="L23">
        <v>2675.7</v>
      </c>
      <c r="M23">
        <v>2608.4</v>
      </c>
      <c r="N23">
        <v>4437.3999999999996</v>
      </c>
      <c r="O23">
        <v>935.9</v>
      </c>
      <c r="P23">
        <v>2574.5</v>
      </c>
      <c r="Q23">
        <v>0</v>
      </c>
      <c r="R23">
        <v>0</v>
      </c>
      <c r="S23">
        <v>0</v>
      </c>
      <c r="T23">
        <v>0</v>
      </c>
      <c r="U23">
        <v>0</v>
      </c>
      <c r="V23">
        <v>1.42</v>
      </c>
      <c r="W23">
        <v>3</v>
      </c>
      <c r="X23">
        <v>1.2</v>
      </c>
      <c r="Y23">
        <v>0</v>
      </c>
      <c r="Z23">
        <v>0</v>
      </c>
      <c r="AA23">
        <v>0</v>
      </c>
      <c r="AB23">
        <v>0.22</v>
      </c>
      <c r="AC23">
        <v>0.4</v>
      </c>
      <c r="AD23">
        <v>0</v>
      </c>
      <c r="AE23">
        <v>0.8</v>
      </c>
      <c r="AF23">
        <v>0.22</v>
      </c>
      <c r="AG23">
        <v>0.28169014084507038</v>
      </c>
      <c r="AH23">
        <v>1</v>
      </c>
      <c r="AI23">
        <v>1</v>
      </c>
      <c r="AJ23">
        <v>2023</v>
      </c>
      <c r="AK23">
        <v>1</v>
      </c>
      <c r="AL23">
        <v>0</v>
      </c>
      <c r="AM23">
        <v>0</v>
      </c>
      <c r="AN23">
        <v>0</v>
      </c>
    </row>
    <row r="24" spans="1:40" x14ac:dyDescent="0.25">
      <c r="A24">
        <v>23</v>
      </c>
      <c r="B24" t="s">
        <v>195</v>
      </c>
      <c r="C24" t="s">
        <v>196</v>
      </c>
      <c r="D24" t="s">
        <v>197</v>
      </c>
      <c r="E24" t="s">
        <v>198</v>
      </c>
      <c r="F24" t="s">
        <v>185</v>
      </c>
      <c r="G24">
        <v>2</v>
      </c>
      <c r="H24">
        <v>1</v>
      </c>
      <c r="I24">
        <v>734</v>
      </c>
      <c r="J24">
        <v>0</v>
      </c>
      <c r="K24">
        <v>0</v>
      </c>
      <c r="L24">
        <v>3635.1</v>
      </c>
      <c r="M24">
        <v>1570.2</v>
      </c>
      <c r="N24">
        <v>17922.5</v>
      </c>
      <c r="O24">
        <v>1051.0999999999999</v>
      </c>
      <c r="Q24">
        <v>1</v>
      </c>
      <c r="R24">
        <v>0</v>
      </c>
      <c r="S24">
        <v>0</v>
      </c>
      <c r="T24">
        <v>0</v>
      </c>
      <c r="U24">
        <v>0</v>
      </c>
      <c r="V24">
        <v>7.58</v>
      </c>
      <c r="W24">
        <v>3.5</v>
      </c>
      <c r="X24">
        <v>3.1</v>
      </c>
      <c r="Y24">
        <v>0</v>
      </c>
      <c r="Z24">
        <v>0</v>
      </c>
      <c r="AA24">
        <v>0.1</v>
      </c>
      <c r="AB24">
        <v>4.38</v>
      </c>
      <c r="AC24">
        <v>3.1</v>
      </c>
      <c r="AD24">
        <v>0</v>
      </c>
      <c r="AE24">
        <v>0</v>
      </c>
      <c r="AF24">
        <v>4.4800000000000004</v>
      </c>
      <c r="AG24">
        <v>0.40897097625329809</v>
      </c>
      <c r="AH24">
        <v>1</v>
      </c>
      <c r="AI24">
        <v>1</v>
      </c>
      <c r="AJ24">
        <v>2023</v>
      </c>
      <c r="AK24">
        <v>1</v>
      </c>
      <c r="AL24">
        <v>0</v>
      </c>
      <c r="AM24">
        <v>0</v>
      </c>
      <c r="AN24">
        <v>0</v>
      </c>
    </row>
    <row r="25" spans="1:40" x14ac:dyDescent="0.25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>
        <v>4</v>
      </c>
      <c r="H25">
        <v>2</v>
      </c>
      <c r="I25">
        <v>2506</v>
      </c>
      <c r="J25">
        <v>1</v>
      </c>
      <c r="K25">
        <v>1</v>
      </c>
      <c r="L25">
        <v>1752.4</v>
      </c>
      <c r="M25">
        <v>2792.8</v>
      </c>
      <c r="N25">
        <v>8362.7000000000007</v>
      </c>
      <c r="O25">
        <v>1550.7</v>
      </c>
      <c r="P25">
        <v>6499.8</v>
      </c>
      <c r="Q25">
        <v>0</v>
      </c>
      <c r="R25">
        <v>0</v>
      </c>
      <c r="S25">
        <v>0</v>
      </c>
      <c r="T25">
        <v>0</v>
      </c>
      <c r="U25">
        <v>0</v>
      </c>
      <c r="V25">
        <v>3.03</v>
      </c>
      <c r="W25">
        <v>3.5</v>
      </c>
      <c r="X25">
        <v>3.03</v>
      </c>
      <c r="Y25">
        <v>0</v>
      </c>
      <c r="Z25">
        <v>0</v>
      </c>
      <c r="AA25">
        <v>0</v>
      </c>
      <c r="AB25">
        <v>0</v>
      </c>
      <c r="AC25">
        <v>3.03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2</v>
      </c>
      <c r="AJ25">
        <v>2023</v>
      </c>
      <c r="AK25">
        <v>1</v>
      </c>
      <c r="AL25">
        <v>0</v>
      </c>
      <c r="AM25">
        <v>0</v>
      </c>
      <c r="AN25">
        <v>0</v>
      </c>
    </row>
    <row r="26" spans="1:40" x14ac:dyDescent="0.25">
      <c r="A26">
        <v>25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>
        <v>4</v>
      </c>
      <c r="H26">
        <v>2</v>
      </c>
      <c r="I26">
        <v>2766</v>
      </c>
      <c r="J26">
        <v>0</v>
      </c>
      <c r="K26">
        <v>1</v>
      </c>
      <c r="L26">
        <v>2678.7</v>
      </c>
      <c r="M26">
        <v>1551.4</v>
      </c>
      <c r="N26">
        <v>5058.8999999999996</v>
      </c>
      <c r="O26">
        <v>419.1</v>
      </c>
      <c r="P26">
        <v>3325.5</v>
      </c>
      <c r="Q26">
        <v>0</v>
      </c>
      <c r="R26">
        <v>0</v>
      </c>
      <c r="S26">
        <v>0</v>
      </c>
      <c r="T26">
        <v>0</v>
      </c>
      <c r="U26">
        <v>0</v>
      </c>
      <c r="V26">
        <v>4.57</v>
      </c>
      <c r="W26">
        <v>3.5</v>
      </c>
      <c r="X26">
        <v>4.57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4.57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2023</v>
      </c>
      <c r="AK26">
        <v>1</v>
      </c>
      <c r="AL26">
        <v>0</v>
      </c>
      <c r="AM26">
        <v>0</v>
      </c>
      <c r="AN26">
        <v>0</v>
      </c>
    </row>
    <row r="27" spans="1:40" x14ac:dyDescent="0.25">
      <c r="A27">
        <v>26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>
        <v>3</v>
      </c>
      <c r="H27">
        <v>2</v>
      </c>
      <c r="I27">
        <v>1780</v>
      </c>
      <c r="J27">
        <v>0</v>
      </c>
      <c r="K27">
        <v>1</v>
      </c>
      <c r="L27">
        <v>2368.5</v>
      </c>
      <c r="M27">
        <v>1835.5</v>
      </c>
      <c r="N27">
        <v>4559.7</v>
      </c>
      <c r="O27">
        <v>89.1</v>
      </c>
      <c r="P27">
        <v>2826.2</v>
      </c>
      <c r="Q27">
        <v>0</v>
      </c>
      <c r="R27">
        <v>0</v>
      </c>
      <c r="S27">
        <v>0</v>
      </c>
      <c r="T27">
        <v>0</v>
      </c>
      <c r="U27">
        <v>0</v>
      </c>
      <c r="V27">
        <v>3.77</v>
      </c>
      <c r="W27">
        <v>3.5</v>
      </c>
      <c r="X27">
        <v>3.77</v>
      </c>
      <c r="Y27">
        <v>0</v>
      </c>
      <c r="Z27">
        <v>0</v>
      </c>
      <c r="AA27">
        <v>0</v>
      </c>
      <c r="AB27">
        <v>0</v>
      </c>
      <c r="AC27">
        <v>3.77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3</v>
      </c>
      <c r="AJ27">
        <v>2023</v>
      </c>
      <c r="AK27">
        <v>1</v>
      </c>
      <c r="AL27">
        <v>0</v>
      </c>
      <c r="AM27">
        <v>0</v>
      </c>
      <c r="AN27">
        <v>0</v>
      </c>
    </row>
    <row r="28" spans="1:40" x14ac:dyDescent="0.25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105</v>
      </c>
      <c r="G28">
        <v>2</v>
      </c>
      <c r="H28">
        <v>1</v>
      </c>
      <c r="I28">
        <v>1150</v>
      </c>
      <c r="J28">
        <v>0</v>
      </c>
      <c r="K28">
        <v>0</v>
      </c>
      <c r="L28">
        <v>6620.7</v>
      </c>
      <c r="M28">
        <v>4762</v>
      </c>
      <c r="N28">
        <v>8803.7999999999993</v>
      </c>
      <c r="O28">
        <v>1614.2</v>
      </c>
      <c r="P28">
        <v>8968.5</v>
      </c>
      <c r="Q28">
        <v>0</v>
      </c>
      <c r="R28">
        <v>0</v>
      </c>
      <c r="S28">
        <v>0</v>
      </c>
      <c r="T28">
        <v>0</v>
      </c>
      <c r="U28">
        <v>0</v>
      </c>
      <c r="V28">
        <v>2.33</v>
      </c>
      <c r="W28">
        <v>3.5</v>
      </c>
      <c r="X28">
        <v>2.33</v>
      </c>
      <c r="Y28">
        <v>0</v>
      </c>
      <c r="Z28">
        <v>0</v>
      </c>
      <c r="AA28">
        <v>0</v>
      </c>
      <c r="AB28">
        <v>0</v>
      </c>
      <c r="AC28">
        <v>2.33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2</v>
      </c>
      <c r="AJ28">
        <v>2023</v>
      </c>
      <c r="AK28">
        <v>1</v>
      </c>
      <c r="AL28">
        <v>0</v>
      </c>
      <c r="AM28">
        <v>0</v>
      </c>
      <c r="AN28">
        <v>0</v>
      </c>
    </row>
    <row r="29" spans="1:40" x14ac:dyDescent="0.25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190</v>
      </c>
      <c r="G29">
        <v>2</v>
      </c>
      <c r="H29">
        <v>1</v>
      </c>
      <c r="I29">
        <v>426</v>
      </c>
      <c r="J29">
        <v>0</v>
      </c>
      <c r="K29">
        <v>0</v>
      </c>
      <c r="L29">
        <v>4304.7</v>
      </c>
      <c r="M29">
        <v>1910.8</v>
      </c>
      <c r="N29">
        <v>14818.3</v>
      </c>
      <c r="O29">
        <v>1026</v>
      </c>
      <c r="P29">
        <v>16197.8</v>
      </c>
      <c r="Q29">
        <v>0</v>
      </c>
      <c r="R29">
        <v>0</v>
      </c>
      <c r="S29">
        <v>0</v>
      </c>
      <c r="T29">
        <v>0</v>
      </c>
      <c r="U29">
        <v>0</v>
      </c>
      <c r="V29">
        <v>1.66</v>
      </c>
      <c r="W29">
        <v>3</v>
      </c>
      <c r="X29">
        <v>1.66</v>
      </c>
      <c r="Y29">
        <v>0</v>
      </c>
      <c r="Z29">
        <v>0</v>
      </c>
      <c r="AA29">
        <v>0</v>
      </c>
      <c r="AB29">
        <v>0</v>
      </c>
      <c r="AC29">
        <v>1.66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2022</v>
      </c>
      <c r="AK29">
        <v>2</v>
      </c>
      <c r="AL29">
        <v>0</v>
      </c>
      <c r="AM29">
        <v>0</v>
      </c>
      <c r="AN29">
        <v>0</v>
      </c>
    </row>
    <row r="30" spans="1:40" x14ac:dyDescent="0.25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190</v>
      </c>
      <c r="G30">
        <v>1</v>
      </c>
      <c r="H30">
        <v>1</v>
      </c>
      <c r="I30">
        <v>310</v>
      </c>
      <c r="J30">
        <v>0</v>
      </c>
      <c r="K30">
        <v>0</v>
      </c>
      <c r="L30">
        <v>8506.9</v>
      </c>
      <c r="M30">
        <v>6113.1</v>
      </c>
      <c r="N30">
        <v>19020.599999999999</v>
      </c>
      <c r="O30">
        <v>1650.5</v>
      </c>
      <c r="P30">
        <v>20400.099999999999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1.46</v>
      </c>
      <c r="W30">
        <v>2.5</v>
      </c>
      <c r="X30">
        <v>0</v>
      </c>
      <c r="Y30">
        <v>0</v>
      </c>
      <c r="Z30">
        <v>0</v>
      </c>
      <c r="AA30">
        <v>0</v>
      </c>
      <c r="AB30">
        <v>1.46</v>
      </c>
      <c r="AC30">
        <v>0</v>
      </c>
      <c r="AD30">
        <v>0</v>
      </c>
      <c r="AE30">
        <v>0</v>
      </c>
      <c r="AF30">
        <v>1.46</v>
      </c>
      <c r="AG30">
        <v>0</v>
      </c>
      <c r="AH30">
        <v>0</v>
      </c>
      <c r="AI30">
        <v>0</v>
      </c>
      <c r="AL30">
        <v>0</v>
      </c>
      <c r="AM30">
        <v>0</v>
      </c>
      <c r="AN30">
        <v>0</v>
      </c>
    </row>
    <row r="31" spans="1:40" x14ac:dyDescent="0.25">
      <c r="A31">
        <v>30</v>
      </c>
      <c r="B31" t="s">
        <v>226</v>
      </c>
      <c r="C31" t="s">
        <v>227</v>
      </c>
      <c r="D31" t="s">
        <v>228</v>
      </c>
      <c r="E31" t="s">
        <v>229</v>
      </c>
      <c r="F31" t="s">
        <v>213</v>
      </c>
      <c r="G31">
        <v>3</v>
      </c>
      <c r="H31">
        <v>2</v>
      </c>
      <c r="I31">
        <v>3778</v>
      </c>
      <c r="J31">
        <v>0</v>
      </c>
      <c r="K31">
        <v>1</v>
      </c>
      <c r="L31">
        <v>2296</v>
      </c>
      <c r="M31">
        <v>1621.3</v>
      </c>
      <c r="N31">
        <v>3589.2</v>
      </c>
      <c r="O31">
        <v>57.6</v>
      </c>
      <c r="P31">
        <v>2614.4</v>
      </c>
      <c r="Q31">
        <v>0</v>
      </c>
      <c r="R31">
        <v>0</v>
      </c>
      <c r="S31">
        <v>0</v>
      </c>
      <c r="T31">
        <v>0</v>
      </c>
      <c r="U31">
        <v>0</v>
      </c>
      <c r="V31">
        <v>4.07</v>
      </c>
      <c r="W31">
        <v>3.5</v>
      </c>
      <c r="X31">
        <v>4.07</v>
      </c>
      <c r="Y31">
        <v>0</v>
      </c>
      <c r="Z31">
        <v>0</v>
      </c>
      <c r="AA31">
        <v>0</v>
      </c>
      <c r="AB31">
        <v>0</v>
      </c>
      <c r="AC31">
        <v>4.07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2023</v>
      </c>
      <c r="AK31">
        <v>1</v>
      </c>
      <c r="AL31">
        <v>0</v>
      </c>
      <c r="AM31">
        <v>0</v>
      </c>
      <c r="AN31">
        <v>0</v>
      </c>
    </row>
    <row r="32" spans="1:40" x14ac:dyDescent="0.25">
      <c r="A32">
        <v>31</v>
      </c>
      <c r="B32" t="s">
        <v>230</v>
      </c>
      <c r="C32" t="s">
        <v>231</v>
      </c>
      <c r="D32" t="s">
        <v>232</v>
      </c>
      <c r="E32" t="s">
        <v>233</v>
      </c>
      <c r="F32" t="s">
        <v>149</v>
      </c>
      <c r="G32">
        <v>1</v>
      </c>
      <c r="H32">
        <v>1</v>
      </c>
      <c r="I32">
        <v>499</v>
      </c>
      <c r="J32">
        <v>0</v>
      </c>
      <c r="K32">
        <v>0</v>
      </c>
      <c r="L32">
        <v>3513.6</v>
      </c>
      <c r="M32">
        <v>1365.5</v>
      </c>
      <c r="N32">
        <v>13272.8</v>
      </c>
      <c r="O32">
        <v>739.2</v>
      </c>
      <c r="P32">
        <v>11409.9</v>
      </c>
      <c r="Q32">
        <v>0</v>
      </c>
      <c r="R32">
        <v>0</v>
      </c>
      <c r="S32">
        <v>0</v>
      </c>
      <c r="T32">
        <v>0</v>
      </c>
      <c r="U32">
        <v>0</v>
      </c>
      <c r="V32">
        <v>0.66</v>
      </c>
      <c r="W32">
        <v>3</v>
      </c>
      <c r="X32">
        <v>0.66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</v>
      </c>
      <c r="AE32">
        <v>0</v>
      </c>
      <c r="AF32">
        <v>0.56000000000000005</v>
      </c>
      <c r="AG32">
        <v>0.15151515151515149</v>
      </c>
      <c r="AH32">
        <v>0</v>
      </c>
      <c r="AI32">
        <v>0</v>
      </c>
      <c r="AL32">
        <v>0</v>
      </c>
      <c r="AM32">
        <v>0</v>
      </c>
      <c r="AN32">
        <v>0</v>
      </c>
    </row>
    <row r="33" spans="1:40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154</v>
      </c>
      <c r="G33">
        <v>3</v>
      </c>
      <c r="H33">
        <v>2</v>
      </c>
      <c r="I33">
        <v>1568</v>
      </c>
      <c r="J33">
        <v>0</v>
      </c>
      <c r="K33">
        <v>1</v>
      </c>
      <c r="L33">
        <v>2719.8</v>
      </c>
      <c r="M33">
        <v>2340.1999999999998</v>
      </c>
      <c r="N33">
        <v>12479</v>
      </c>
      <c r="O33">
        <v>1116.4000000000001</v>
      </c>
      <c r="P33">
        <v>10616.1</v>
      </c>
      <c r="Q33">
        <v>0</v>
      </c>
      <c r="R33">
        <v>0</v>
      </c>
      <c r="S33">
        <v>0</v>
      </c>
      <c r="T33">
        <v>0</v>
      </c>
      <c r="U33">
        <v>0</v>
      </c>
      <c r="V33">
        <v>2.09</v>
      </c>
      <c r="W33">
        <v>3</v>
      </c>
      <c r="X33">
        <v>2.09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2.09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2023</v>
      </c>
      <c r="AK33">
        <v>1</v>
      </c>
      <c r="AL33">
        <v>1</v>
      </c>
      <c r="AM33">
        <v>1</v>
      </c>
      <c r="AN33">
        <v>0</v>
      </c>
    </row>
    <row r="34" spans="1:40" x14ac:dyDescent="0.25">
      <c r="A34">
        <v>33</v>
      </c>
      <c r="B34" t="s">
        <v>238</v>
      </c>
      <c r="C34" t="s">
        <v>239</v>
      </c>
      <c r="D34" t="s">
        <v>240</v>
      </c>
      <c r="E34" t="s">
        <v>241</v>
      </c>
      <c r="F34" t="s">
        <v>149</v>
      </c>
      <c r="G34">
        <v>1</v>
      </c>
      <c r="H34">
        <v>1</v>
      </c>
      <c r="I34">
        <v>447</v>
      </c>
      <c r="J34">
        <v>0</v>
      </c>
      <c r="K34">
        <v>1</v>
      </c>
      <c r="L34">
        <v>3639.6</v>
      </c>
      <c r="M34">
        <v>2038.8</v>
      </c>
      <c r="N34">
        <v>13398.9</v>
      </c>
      <c r="O34">
        <v>865.2</v>
      </c>
      <c r="P34">
        <v>11536</v>
      </c>
      <c r="Q34">
        <v>0</v>
      </c>
      <c r="R34">
        <v>0</v>
      </c>
      <c r="S34">
        <v>0</v>
      </c>
      <c r="T34">
        <v>0</v>
      </c>
      <c r="U34">
        <v>0</v>
      </c>
      <c r="V34">
        <v>1.71</v>
      </c>
      <c r="W34">
        <v>3</v>
      </c>
      <c r="X34">
        <v>1.71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1.71</v>
      </c>
      <c r="AE34">
        <v>0</v>
      </c>
      <c r="AF34">
        <v>0</v>
      </c>
      <c r="AG34">
        <v>1</v>
      </c>
      <c r="AH34">
        <v>0</v>
      </c>
      <c r="AI34">
        <v>0</v>
      </c>
      <c r="AL34">
        <v>0</v>
      </c>
      <c r="AM34">
        <v>0</v>
      </c>
      <c r="AN34">
        <v>0</v>
      </c>
    </row>
    <row r="35" spans="1:40" x14ac:dyDescent="0.25">
      <c r="A35">
        <v>34</v>
      </c>
      <c r="B35" t="s">
        <v>242</v>
      </c>
      <c r="C35" t="s">
        <v>243</v>
      </c>
      <c r="D35" t="s">
        <v>244</v>
      </c>
      <c r="E35" t="s">
        <v>245</v>
      </c>
      <c r="F35" t="s">
        <v>149</v>
      </c>
      <c r="G35">
        <v>3</v>
      </c>
      <c r="H35">
        <v>1</v>
      </c>
      <c r="I35">
        <v>1733</v>
      </c>
      <c r="J35">
        <v>0</v>
      </c>
      <c r="K35">
        <v>1</v>
      </c>
      <c r="L35">
        <v>4613.6000000000004</v>
      </c>
      <c r="M35">
        <v>2943.6</v>
      </c>
      <c r="N35">
        <v>13008.9</v>
      </c>
      <c r="O35">
        <v>1839.2</v>
      </c>
      <c r="P35">
        <v>11146</v>
      </c>
      <c r="Q35">
        <v>0</v>
      </c>
      <c r="R35">
        <v>0</v>
      </c>
      <c r="S35">
        <v>0</v>
      </c>
      <c r="T35">
        <v>0</v>
      </c>
      <c r="U35">
        <v>0</v>
      </c>
      <c r="V35">
        <v>3.58</v>
      </c>
      <c r="W35">
        <v>3</v>
      </c>
      <c r="X35">
        <v>1.1000000000000001</v>
      </c>
      <c r="Y35">
        <v>0</v>
      </c>
      <c r="Z35">
        <v>0</v>
      </c>
      <c r="AA35">
        <v>2.48</v>
      </c>
      <c r="AB35">
        <v>0</v>
      </c>
      <c r="AC35">
        <v>0.2</v>
      </c>
      <c r="AD35">
        <v>0.8</v>
      </c>
      <c r="AE35">
        <v>0.1</v>
      </c>
      <c r="AF35">
        <v>2.48</v>
      </c>
      <c r="AG35">
        <v>0.27932960893854752</v>
      </c>
      <c r="AH35">
        <v>0</v>
      </c>
      <c r="AI35">
        <v>0</v>
      </c>
      <c r="AL35">
        <v>0</v>
      </c>
      <c r="AM35">
        <v>0</v>
      </c>
      <c r="AN35">
        <v>0</v>
      </c>
    </row>
    <row r="36" spans="1:40" x14ac:dyDescent="0.25">
      <c r="A36">
        <v>35</v>
      </c>
      <c r="B36" t="s">
        <v>246</v>
      </c>
      <c r="C36" t="s">
        <v>247</v>
      </c>
      <c r="D36" t="s">
        <v>248</v>
      </c>
      <c r="E36" t="s">
        <v>249</v>
      </c>
      <c r="F36" t="s">
        <v>149</v>
      </c>
      <c r="G36">
        <v>2</v>
      </c>
      <c r="H36">
        <v>1</v>
      </c>
      <c r="I36">
        <v>1286</v>
      </c>
      <c r="J36">
        <v>0</v>
      </c>
      <c r="K36">
        <v>1</v>
      </c>
      <c r="L36">
        <v>3704</v>
      </c>
      <c r="M36">
        <v>1555.9</v>
      </c>
      <c r="N36">
        <v>13463.2</v>
      </c>
      <c r="O36">
        <v>929.6</v>
      </c>
      <c r="P36">
        <v>11600.3</v>
      </c>
      <c r="Q36">
        <v>0</v>
      </c>
      <c r="R36">
        <v>0</v>
      </c>
      <c r="S36">
        <v>0</v>
      </c>
      <c r="T36">
        <v>0</v>
      </c>
      <c r="U36">
        <v>0</v>
      </c>
      <c r="V36">
        <v>1.26</v>
      </c>
      <c r="W36">
        <v>3.5</v>
      </c>
      <c r="X36">
        <v>1</v>
      </c>
      <c r="Y36">
        <v>0</v>
      </c>
      <c r="Z36">
        <v>0.26</v>
      </c>
      <c r="AA36">
        <v>0</v>
      </c>
      <c r="AB36">
        <v>0</v>
      </c>
      <c r="AC36">
        <v>0</v>
      </c>
      <c r="AD36">
        <v>0.8</v>
      </c>
      <c r="AE36">
        <v>0.2</v>
      </c>
      <c r="AF36">
        <v>0.26</v>
      </c>
      <c r="AG36">
        <v>0.634920634920635</v>
      </c>
      <c r="AH36">
        <v>0</v>
      </c>
      <c r="AI36">
        <v>0</v>
      </c>
      <c r="AL36">
        <v>0</v>
      </c>
      <c r="AM36">
        <v>0</v>
      </c>
      <c r="AN36">
        <v>0</v>
      </c>
    </row>
    <row r="37" spans="1:40" x14ac:dyDescent="0.25">
      <c r="A37">
        <v>36</v>
      </c>
      <c r="B37" t="s">
        <v>250</v>
      </c>
      <c r="C37" t="s">
        <v>251</v>
      </c>
      <c r="D37" t="s">
        <v>252</v>
      </c>
      <c r="E37" t="s">
        <v>253</v>
      </c>
      <c r="F37" t="s">
        <v>154</v>
      </c>
      <c r="G37">
        <v>3</v>
      </c>
      <c r="H37">
        <v>2</v>
      </c>
      <c r="I37">
        <v>1579</v>
      </c>
      <c r="J37">
        <v>0</v>
      </c>
      <c r="K37">
        <v>1</v>
      </c>
      <c r="L37">
        <v>4916.3999999999996</v>
      </c>
      <c r="M37">
        <v>1098.2</v>
      </c>
      <c r="N37">
        <v>14675.6</v>
      </c>
      <c r="O37">
        <v>222.1</v>
      </c>
      <c r="P37">
        <v>12812.7</v>
      </c>
      <c r="Q37">
        <v>0</v>
      </c>
      <c r="R37">
        <v>0</v>
      </c>
      <c r="S37">
        <v>0</v>
      </c>
      <c r="T37">
        <v>0</v>
      </c>
      <c r="U37">
        <v>0</v>
      </c>
      <c r="V37">
        <v>2.11</v>
      </c>
      <c r="W37">
        <v>3.5</v>
      </c>
      <c r="X37">
        <v>2.11</v>
      </c>
      <c r="Y37">
        <v>0</v>
      </c>
      <c r="Z37">
        <v>0</v>
      </c>
      <c r="AA37">
        <v>0</v>
      </c>
      <c r="AB37">
        <v>0</v>
      </c>
      <c r="AC37">
        <v>2.11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L37">
        <v>0</v>
      </c>
      <c r="AM37">
        <v>0</v>
      </c>
      <c r="AN37">
        <v>0</v>
      </c>
    </row>
    <row r="38" spans="1:40" x14ac:dyDescent="0.25">
      <c r="A38">
        <v>37</v>
      </c>
      <c r="B38" t="s">
        <v>254</v>
      </c>
      <c r="C38" t="s">
        <v>255</v>
      </c>
      <c r="D38" t="s">
        <v>256</v>
      </c>
      <c r="E38" t="s">
        <v>257</v>
      </c>
      <c r="F38" t="s">
        <v>176</v>
      </c>
      <c r="G38">
        <v>1</v>
      </c>
      <c r="H38">
        <v>1</v>
      </c>
      <c r="I38">
        <v>668</v>
      </c>
      <c r="J38">
        <v>0</v>
      </c>
      <c r="K38">
        <v>0</v>
      </c>
      <c r="L38">
        <v>3386.3</v>
      </c>
      <c r="M38">
        <v>3536.4</v>
      </c>
      <c r="N38">
        <v>1759.6</v>
      </c>
      <c r="O38">
        <v>1501.9</v>
      </c>
      <c r="P38">
        <v>3431.5</v>
      </c>
      <c r="Q38">
        <v>0</v>
      </c>
      <c r="R38">
        <v>0</v>
      </c>
      <c r="S38">
        <v>0</v>
      </c>
      <c r="T38">
        <v>0</v>
      </c>
      <c r="U38">
        <v>0</v>
      </c>
      <c r="V38">
        <v>0.79</v>
      </c>
      <c r="W38">
        <v>3.5</v>
      </c>
      <c r="X38">
        <v>0.79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1</v>
      </c>
      <c r="AH38">
        <v>0</v>
      </c>
      <c r="AI38">
        <v>0</v>
      </c>
      <c r="AL38">
        <v>0</v>
      </c>
      <c r="AM38">
        <v>0</v>
      </c>
      <c r="AN38">
        <v>0</v>
      </c>
    </row>
    <row r="39" spans="1:40" x14ac:dyDescent="0.25">
      <c r="A39">
        <v>38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>
        <v>2</v>
      </c>
      <c r="H39">
        <v>2</v>
      </c>
      <c r="I39">
        <v>1716</v>
      </c>
      <c r="J39">
        <v>0</v>
      </c>
      <c r="K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5.61</v>
      </c>
      <c r="W39">
        <v>3</v>
      </c>
      <c r="X39">
        <v>0</v>
      </c>
      <c r="Y39">
        <v>0</v>
      </c>
      <c r="Z39">
        <v>0</v>
      </c>
      <c r="AA39">
        <v>0</v>
      </c>
      <c r="AB39">
        <v>5.61</v>
      </c>
      <c r="AC39">
        <v>0</v>
      </c>
      <c r="AD39">
        <v>0</v>
      </c>
      <c r="AE39">
        <v>0</v>
      </c>
      <c r="AF39">
        <v>5.61</v>
      </c>
      <c r="AG39">
        <v>0</v>
      </c>
      <c r="AH39">
        <v>0</v>
      </c>
      <c r="AI39">
        <v>0</v>
      </c>
      <c r="AL39">
        <v>0</v>
      </c>
      <c r="AM39">
        <v>0</v>
      </c>
      <c r="AN39">
        <v>0</v>
      </c>
    </row>
    <row r="40" spans="1:40" x14ac:dyDescent="0.25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105</v>
      </c>
      <c r="G40">
        <v>2</v>
      </c>
      <c r="H40">
        <v>1</v>
      </c>
      <c r="I40">
        <v>1057</v>
      </c>
      <c r="J40">
        <v>0</v>
      </c>
      <c r="K40">
        <v>1</v>
      </c>
      <c r="L40">
        <v>2640.6</v>
      </c>
      <c r="M40">
        <v>1440.1</v>
      </c>
      <c r="N40">
        <v>3946.6</v>
      </c>
      <c r="O40">
        <v>946.5</v>
      </c>
      <c r="P40">
        <v>4542.3999999999996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1.39</v>
      </c>
      <c r="W40">
        <v>3</v>
      </c>
      <c r="X40">
        <v>0</v>
      </c>
      <c r="Y40">
        <v>0</v>
      </c>
      <c r="Z40">
        <v>0</v>
      </c>
      <c r="AA40">
        <v>1.39</v>
      </c>
      <c r="AB40">
        <v>0</v>
      </c>
      <c r="AC40">
        <v>0</v>
      </c>
      <c r="AD40">
        <v>0</v>
      </c>
      <c r="AE40">
        <v>0</v>
      </c>
      <c r="AF40">
        <v>1.39</v>
      </c>
      <c r="AG40">
        <v>0</v>
      </c>
      <c r="AH40">
        <v>0</v>
      </c>
      <c r="AI40">
        <v>0</v>
      </c>
      <c r="AL40">
        <v>1</v>
      </c>
      <c r="AM40">
        <v>0</v>
      </c>
      <c r="AN40">
        <v>1</v>
      </c>
    </row>
    <row r="41" spans="1:40" x14ac:dyDescent="0.25">
      <c r="A41">
        <v>40</v>
      </c>
      <c r="B41" t="s">
        <v>267</v>
      </c>
      <c r="C41" t="s">
        <v>268</v>
      </c>
      <c r="D41" t="s">
        <v>269</v>
      </c>
      <c r="E41" t="s">
        <v>194</v>
      </c>
      <c r="F41" t="s">
        <v>100</v>
      </c>
      <c r="G41">
        <v>1</v>
      </c>
      <c r="H41">
        <v>1</v>
      </c>
      <c r="I41">
        <v>1874</v>
      </c>
      <c r="J41">
        <v>0</v>
      </c>
      <c r="K41">
        <v>1</v>
      </c>
      <c r="L41">
        <v>2875.3</v>
      </c>
      <c r="M41">
        <v>2807.9</v>
      </c>
      <c r="N41">
        <v>4548</v>
      </c>
      <c r="O41">
        <v>991.5</v>
      </c>
      <c r="P41">
        <v>2685.1</v>
      </c>
      <c r="Q41">
        <v>0</v>
      </c>
      <c r="R41">
        <v>0</v>
      </c>
      <c r="S41">
        <v>0</v>
      </c>
      <c r="T41">
        <v>0</v>
      </c>
      <c r="U41">
        <v>0</v>
      </c>
      <c r="V41">
        <v>2.1</v>
      </c>
      <c r="W41">
        <v>3</v>
      </c>
      <c r="X41">
        <v>2.1</v>
      </c>
      <c r="Y41">
        <v>0</v>
      </c>
      <c r="Z41">
        <v>0</v>
      </c>
      <c r="AA41">
        <v>0</v>
      </c>
      <c r="AB41">
        <v>0</v>
      </c>
      <c r="AC41">
        <v>2.1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2023</v>
      </c>
      <c r="AK41">
        <v>1</v>
      </c>
      <c r="AL41">
        <v>0</v>
      </c>
      <c r="AM41">
        <v>0</v>
      </c>
      <c r="AN41">
        <v>0</v>
      </c>
    </row>
    <row r="42" spans="1:40" x14ac:dyDescent="0.25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100</v>
      </c>
      <c r="G42">
        <v>3</v>
      </c>
      <c r="H42">
        <v>1</v>
      </c>
      <c r="I42">
        <v>1903</v>
      </c>
      <c r="J42">
        <v>0</v>
      </c>
      <c r="K42">
        <v>0</v>
      </c>
      <c r="L42">
        <v>3312.2</v>
      </c>
      <c r="M42">
        <v>3299.3</v>
      </c>
      <c r="N42">
        <v>3671.3</v>
      </c>
      <c r="O42">
        <v>922.4</v>
      </c>
      <c r="P42">
        <v>3167.3</v>
      </c>
      <c r="Q42">
        <v>0</v>
      </c>
      <c r="R42">
        <v>0</v>
      </c>
      <c r="S42">
        <v>0</v>
      </c>
      <c r="T42">
        <v>0</v>
      </c>
      <c r="U42">
        <v>0</v>
      </c>
      <c r="V42">
        <v>1.24</v>
      </c>
      <c r="W42">
        <v>3</v>
      </c>
      <c r="X42">
        <v>1.24</v>
      </c>
      <c r="Y42">
        <v>0</v>
      </c>
      <c r="Z42">
        <v>0</v>
      </c>
      <c r="AA42">
        <v>0</v>
      </c>
      <c r="AB42">
        <v>0</v>
      </c>
      <c r="AC42">
        <v>1.24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L42">
        <v>0</v>
      </c>
      <c r="AM42">
        <v>0</v>
      </c>
      <c r="AN42">
        <v>0</v>
      </c>
    </row>
    <row r="43" spans="1:40" x14ac:dyDescent="0.25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100</v>
      </c>
      <c r="G43">
        <v>2</v>
      </c>
      <c r="H43">
        <v>1</v>
      </c>
      <c r="I43">
        <v>1164</v>
      </c>
      <c r="J43">
        <v>0</v>
      </c>
      <c r="K43">
        <v>0</v>
      </c>
      <c r="L43">
        <v>4064.3</v>
      </c>
      <c r="M43">
        <v>3949.4</v>
      </c>
      <c r="N43">
        <v>4423.3999999999996</v>
      </c>
      <c r="O43">
        <v>897</v>
      </c>
      <c r="P43">
        <v>3919.4</v>
      </c>
      <c r="Q43">
        <v>0</v>
      </c>
      <c r="R43">
        <v>0</v>
      </c>
      <c r="S43">
        <v>0</v>
      </c>
      <c r="T43">
        <v>0</v>
      </c>
      <c r="U43">
        <v>0</v>
      </c>
      <c r="V43">
        <v>1.63</v>
      </c>
      <c r="W43">
        <v>3</v>
      </c>
      <c r="X43">
        <v>1.63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1.63</v>
      </c>
      <c r="AE43">
        <v>0</v>
      </c>
      <c r="AF43">
        <v>0</v>
      </c>
      <c r="AG43">
        <v>1</v>
      </c>
      <c r="AH43">
        <v>0</v>
      </c>
      <c r="AI43">
        <v>0</v>
      </c>
      <c r="AL43">
        <v>0</v>
      </c>
      <c r="AM43">
        <v>0</v>
      </c>
      <c r="AN43">
        <v>0</v>
      </c>
    </row>
    <row r="44" spans="1:40" x14ac:dyDescent="0.25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176</v>
      </c>
      <c r="G44">
        <v>2</v>
      </c>
      <c r="H44">
        <v>1</v>
      </c>
      <c r="I44">
        <v>743</v>
      </c>
      <c r="J44">
        <v>0</v>
      </c>
      <c r="K44">
        <v>0</v>
      </c>
      <c r="L44">
        <v>3233.4</v>
      </c>
      <c r="M44">
        <v>3264.1</v>
      </c>
      <c r="N44">
        <v>10405.200000000001</v>
      </c>
      <c r="O44">
        <v>1686.5</v>
      </c>
      <c r="P44">
        <v>12077.1</v>
      </c>
      <c r="Q44">
        <v>0</v>
      </c>
      <c r="R44">
        <v>0</v>
      </c>
      <c r="S44">
        <v>0</v>
      </c>
      <c r="T44">
        <v>0</v>
      </c>
      <c r="U44">
        <v>0</v>
      </c>
      <c r="V44">
        <v>1.32</v>
      </c>
      <c r="W44">
        <v>3</v>
      </c>
      <c r="X44">
        <v>1.32</v>
      </c>
      <c r="Y44">
        <v>0</v>
      </c>
      <c r="Z44">
        <v>0</v>
      </c>
      <c r="AA44">
        <v>0</v>
      </c>
      <c r="AB44">
        <v>0</v>
      </c>
      <c r="AC44">
        <v>1.32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2023</v>
      </c>
      <c r="AK44">
        <v>1</v>
      </c>
      <c r="AL44">
        <v>1</v>
      </c>
      <c r="AM44">
        <v>1</v>
      </c>
      <c r="AN44">
        <v>0</v>
      </c>
    </row>
    <row r="45" spans="1:40" x14ac:dyDescent="0.25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185</v>
      </c>
      <c r="G45">
        <v>1</v>
      </c>
      <c r="H45">
        <v>1</v>
      </c>
      <c r="I45">
        <v>330</v>
      </c>
      <c r="J45">
        <v>0</v>
      </c>
      <c r="K45">
        <v>0</v>
      </c>
      <c r="L45">
        <v>3131.6</v>
      </c>
      <c r="M45">
        <v>5196.5</v>
      </c>
      <c r="N45">
        <v>11050</v>
      </c>
      <c r="O45">
        <v>1557.1</v>
      </c>
      <c r="P45">
        <v>41329.599999999999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2.33</v>
      </c>
      <c r="W45">
        <v>4</v>
      </c>
      <c r="X45">
        <v>0</v>
      </c>
      <c r="Y45">
        <v>0</v>
      </c>
      <c r="Z45">
        <v>0</v>
      </c>
      <c r="AA45">
        <v>2.33</v>
      </c>
      <c r="AB45">
        <v>0</v>
      </c>
      <c r="AC45">
        <v>0</v>
      </c>
      <c r="AD45">
        <v>0</v>
      </c>
      <c r="AE45">
        <v>0</v>
      </c>
      <c r="AF45">
        <v>2.33</v>
      </c>
      <c r="AG45">
        <v>0</v>
      </c>
      <c r="AH45">
        <v>1</v>
      </c>
      <c r="AI45">
        <v>1</v>
      </c>
      <c r="AJ45">
        <v>2023</v>
      </c>
      <c r="AK45">
        <v>1</v>
      </c>
      <c r="AL45">
        <v>1</v>
      </c>
      <c r="AM45">
        <v>0</v>
      </c>
      <c r="AN45">
        <v>1</v>
      </c>
    </row>
    <row r="46" spans="1:40" x14ac:dyDescent="0.25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176</v>
      </c>
      <c r="G46">
        <v>2</v>
      </c>
      <c r="H46">
        <v>1</v>
      </c>
      <c r="I46">
        <v>459</v>
      </c>
      <c r="J46">
        <v>0</v>
      </c>
      <c r="K46">
        <v>0</v>
      </c>
      <c r="L46">
        <v>1554.6</v>
      </c>
      <c r="M46">
        <v>1585.3</v>
      </c>
      <c r="N46">
        <v>6402</v>
      </c>
      <c r="O46">
        <v>1197.5</v>
      </c>
      <c r="P46">
        <v>8073.9</v>
      </c>
      <c r="Q46">
        <v>0</v>
      </c>
      <c r="R46">
        <v>0</v>
      </c>
      <c r="S46">
        <v>0</v>
      </c>
      <c r="T46">
        <v>0</v>
      </c>
      <c r="U46">
        <v>0</v>
      </c>
      <c r="V46">
        <v>0.82</v>
      </c>
      <c r="W46">
        <v>3.5</v>
      </c>
      <c r="X46">
        <v>0</v>
      </c>
      <c r="Y46">
        <v>0</v>
      </c>
      <c r="Z46">
        <v>0</v>
      </c>
      <c r="AA46">
        <v>0.82</v>
      </c>
      <c r="AB46">
        <v>0</v>
      </c>
      <c r="AC46">
        <v>0</v>
      </c>
      <c r="AD46">
        <v>0</v>
      </c>
      <c r="AE46">
        <v>0</v>
      </c>
      <c r="AF46">
        <v>0.82</v>
      </c>
      <c r="AG46">
        <v>0</v>
      </c>
      <c r="AH46">
        <v>0</v>
      </c>
      <c r="AI46">
        <v>0</v>
      </c>
      <c r="AL46">
        <v>0</v>
      </c>
      <c r="AM46">
        <v>0</v>
      </c>
      <c r="AN46">
        <v>0</v>
      </c>
    </row>
    <row r="47" spans="1:40" x14ac:dyDescent="0.2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176</v>
      </c>
      <c r="G47">
        <v>2</v>
      </c>
      <c r="H47">
        <v>1</v>
      </c>
      <c r="I47">
        <v>527</v>
      </c>
      <c r="J47">
        <v>0</v>
      </c>
      <c r="K47">
        <v>0</v>
      </c>
      <c r="L47">
        <v>4542.8</v>
      </c>
      <c r="M47">
        <v>4573.5</v>
      </c>
      <c r="N47">
        <v>11710.7</v>
      </c>
      <c r="O47">
        <v>2035.2</v>
      </c>
      <c r="P47">
        <v>13382.6</v>
      </c>
      <c r="Q47">
        <v>0</v>
      </c>
      <c r="R47">
        <v>0</v>
      </c>
      <c r="S47">
        <v>0</v>
      </c>
      <c r="T47">
        <v>0</v>
      </c>
      <c r="U47">
        <v>0</v>
      </c>
      <c r="V47">
        <v>1.61</v>
      </c>
      <c r="W47">
        <v>3.5</v>
      </c>
      <c r="X47">
        <v>1.61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1.61</v>
      </c>
      <c r="AG47">
        <v>0</v>
      </c>
      <c r="AH47">
        <v>0</v>
      </c>
      <c r="AI47">
        <v>0</v>
      </c>
      <c r="AL47">
        <v>0</v>
      </c>
      <c r="AM47">
        <v>0</v>
      </c>
      <c r="AN47">
        <v>0</v>
      </c>
    </row>
    <row r="48" spans="1:40" x14ac:dyDescent="0.25">
      <c r="A48">
        <v>47</v>
      </c>
      <c r="B48" t="s">
        <v>294</v>
      </c>
      <c r="C48" t="s">
        <v>295</v>
      </c>
      <c r="D48" t="s">
        <v>296</v>
      </c>
      <c r="E48" t="s">
        <v>297</v>
      </c>
      <c r="F48" t="s">
        <v>176</v>
      </c>
      <c r="G48">
        <v>2</v>
      </c>
      <c r="H48">
        <v>1</v>
      </c>
      <c r="I48">
        <v>751</v>
      </c>
      <c r="J48">
        <v>0</v>
      </c>
      <c r="K48">
        <v>0</v>
      </c>
      <c r="L48">
        <v>1424.6</v>
      </c>
      <c r="M48">
        <v>1455.3</v>
      </c>
      <c r="N48">
        <v>8596.5</v>
      </c>
      <c r="O48">
        <v>1082.9000000000001</v>
      </c>
      <c r="P48">
        <v>10268.4</v>
      </c>
      <c r="Q48">
        <v>0</v>
      </c>
      <c r="R48">
        <v>0</v>
      </c>
      <c r="S48">
        <v>0</v>
      </c>
      <c r="T48">
        <v>0</v>
      </c>
      <c r="U48">
        <v>0</v>
      </c>
      <c r="V48">
        <v>2.1800000000000002</v>
      </c>
      <c r="W48">
        <v>3</v>
      </c>
      <c r="X48">
        <v>2.1800000000000002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1.98</v>
      </c>
      <c r="AE48">
        <v>0.2</v>
      </c>
      <c r="AF48">
        <v>0</v>
      </c>
      <c r="AG48">
        <v>0.90825688073394484</v>
      </c>
      <c r="AH48">
        <v>1</v>
      </c>
      <c r="AI48">
        <v>2</v>
      </c>
      <c r="AJ48">
        <v>2023</v>
      </c>
      <c r="AK48">
        <v>1</v>
      </c>
      <c r="AL48">
        <v>0</v>
      </c>
      <c r="AM48">
        <v>0</v>
      </c>
      <c r="AN48">
        <v>0</v>
      </c>
    </row>
    <row r="49" spans="1:40" x14ac:dyDescent="0.25">
      <c r="A49">
        <v>48</v>
      </c>
      <c r="B49" t="s">
        <v>298</v>
      </c>
      <c r="C49" t="s">
        <v>299</v>
      </c>
      <c r="D49" t="s">
        <v>300</v>
      </c>
      <c r="E49" t="s">
        <v>301</v>
      </c>
      <c r="F49" t="s">
        <v>176</v>
      </c>
      <c r="G49">
        <v>2</v>
      </c>
      <c r="H49">
        <v>1</v>
      </c>
      <c r="I49">
        <v>643</v>
      </c>
      <c r="J49">
        <v>0</v>
      </c>
      <c r="K49">
        <v>0</v>
      </c>
      <c r="L49">
        <v>1284.0999999999999</v>
      </c>
      <c r="M49">
        <v>1314.8</v>
      </c>
      <c r="N49">
        <v>6603.6</v>
      </c>
      <c r="O49">
        <v>516.5</v>
      </c>
      <c r="P49">
        <v>8275.5</v>
      </c>
      <c r="Q49">
        <v>0</v>
      </c>
      <c r="R49">
        <v>0</v>
      </c>
      <c r="S49">
        <v>0</v>
      </c>
      <c r="T49">
        <v>0</v>
      </c>
      <c r="U49">
        <v>0</v>
      </c>
      <c r="V49">
        <v>0.55000000000000004</v>
      </c>
      <c r="W49">
        <v>3.5</v>
      </c>
      <c r="X49">
        <v>0</v>
      </c>
      <c r="Y49">
        <v>0</v>
      </c>
      <c r="Z49">
        <v>0</v>
      </c>
      <c r="AA49">
        <v>0.55000000000000004</v>
      </c>
      <c r="AB49">
        <v>0</v>
      </c>
      <c r="AC49">
        <v>0</v>
      </c>
      <c r="AD49">
        <v>0</v>
      </c>
      <c r="AE49">
        <v>0</v>
      </c>
      <c r="AF49">
        <v>0.55000000000000004</v>
      </c>
      <c r="AG49">
        <v>0</v>
      </c>
      <c r="AH49">
        <v>0</v>
      </c>
      <c r="AI49">
        <v>0</v>
      </c>
      <c r="AL49">
        <v>1</v>
      </c>
      <c r="AM49">
        <v>0</v>
      </c>
      <c r="AN49">
        <v>1</v>
      </c>
    </row>
    <row r="50" spans="1:40" x14ac:dyDescent="0.25">
      <c r="A50">
        <v>49</v>
      </c>
      <c r="B50" t="s">
        <v>302</v>
      </c>
      <c r="C50" t="s">
        <v>303</v>
      </c>
      <c r="D50" t="s">
        <v>304</v>
      </c>
      <c r="E50" t="s">
        <v>305</v>
      </c>
      <c r="F50" t="s">
        <v>127</v>
      </c>
      <c r="G50">
        <v>1</v>
      </c>
      <c r="H50">
        <v>1</v>
      </c>
      <c r="I50">
        <v>507</v>
      </c>
      <c r="J50">
        <v>0</v>
      </c>
      <c r="K50">
        <v>0</v>
      </c>
      <c r="L50">
        <v>22881.599999999999</v>
      </c>
      <c r="M50">
        <v>18931.900000000001</v>
      </c>
      <c r="N50">
        <v>25092</v>
      </c>
      <c r="O50">
        <v>4485.5</v>
      </c>
      <c r="P50">
        <v>24994.400000000001</v>
      </c>
      <c r="Q50">
        <v>0</v>
      </c>
      <c r="R50">
        <v>0</v>
      </c>
      <c r="S50">
        <v>0</v>
      </c>
      <c r="T50">
        <v>0</v>
      </c>
      <c r="U50">
        <v>0</v>
      </c>
      <c r="V50">
        <v>4.2699999999999996</v>
      </c>
      <c r="W50">
        <v>3.5</v>
      </c>
      <c r="X50">
        <v>4.2699999999999996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0.6</v>
      </c>
      <c r="AE50">
        <v>0.47</v>
      </c>
      <c r="AF50">
        <v>3.2</v>
      </c>
      <c r="AG50">
        <v>0.14051522248243559</v>
      </c>
      <c r="AH50">
        <v>0</v>
      </c>
      <c r="AI50">
        <v>0</v>
      </c>
      <c r="AL50">
        <v>0</v>
      </c>
      <c r="AM50">
        <v>0</v>
      </c>
      <c r="AN50">
        <v>0</v>
      </c>
    </row>
    <row r="51" spans="1:40" x14ac:dyDescent="0.25">
      <c r="A51">
        <v>50</v>
      </c>
      <c r="B51" t="s">
        <v>306</v>
      </c>
      <c r="C51" t="s">
        <v>307</v>
      </c>
      <c r="D51" t="s">
        <v>308</v>
      </c>
      <c r="E51" t="s">
        <v>309</v>
      </c>
      <c r="F51" t="s">
        <v>310</v>
      </c>
      <c r="G51">
        <v>3</v>
      </c>
      <c r="H51">
        <v>1</v>
      </c>
      <c r="I51">
        <v>1058</v>
      </c>
      <c r="J51">
        <v>1</v>
      </c>
      <c r="K51">
        <v>0</v>
      </c>
      <c r="L51">
        <v>29266.799999999999</v>
      </c>
      <c r="M51">
        <v>5229.2</v>
      </c>
      <c r="N51">
        <v>31477.200000000001</v>
      </c>
      <c r="O51">
        <v>1499.1</v>
      </c>
      <c r="P51">
        <v>31379.5</v>
      </c>
      <c r="Q51">
        <v>0</v>
      </c>
      <c r="R51">
        <v>0</v>
      </c>
      <c r="S51">
        <v>0</v>
      </c>
      <c r="T51">
        <v>0</v>
      </c>
      <c r="U51">
        <v>0</v>
      </c>
      <c r="V51">
        <v>0.61</v>
      </c>
      <c r="W51">
        <v>3.5</v>
      </c>
      <c r="X51">
        <v>0.61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0.21</v>
      </c>
      <c r="AF51">
        <v>0.4</v>
      </c>
      <c r="AG51">
        <v>0</v>
      </c>
      <c r="AH51">
        <v>0</v>
      </c>
      <c r="AI51">
        <v>0</v>
      </c>
      <c r="AL51">
        <v>0</v>
      </c>
      <c r="AM51">
        <v>0</v>
      </c>
      <c r="AN51">
        <v>0</v>
      </c>
    </row>
    <row r="52" spans="1:40" x14ac:dyDescent="0.25">
      <c r="A52">
        <v>51</v>
      </c>
      <c r="B52" t="s">
        <v>311</v>
      </c>
      <c r="C52" t="s">
        <v>312</v>
      </c>
      <c r="D52" t="s">
        <v>313</v>
      </c>
      <c r="E52" t="s">
        <v>314</v>
      </c>
      <c r="F52" t="s">
        <v>315</v>
      </c>
      <c r="G52">
        <v>6</v>
      </c>
      <c r="H52">
        <v>1</v>
      </c>
      <c r="I52">
        <v>4606</v>
      </c>
      <c r="J52">
        <v>1</v>
      </c>
      <c r="K52">
        <v>0</v>
      </c>
      <c r="L52">
        <v>1430.4</v>
      </c>
      <c r="M52">
        <v>0</v>
      </c>
      <c r="N52">
        <v>2388.8000000000002</v>
      </c>
      <c r="O52">
        <v>114.3</v>
      </c>
      <c r="P52">
        <v>29002</v>
      </c>
      <c r="Q52">
        <v>0</v>
      </c>
      <c r="R52">
        <v>0</v>
      </c>
      <c r="S52">
        <v>0</v>
      </c>
      <c r="T52">
        <v>0</v>
      </c>
      <c r="U52">
        <v>0</v>
      </c>
      <c r="V52">
        <v>2.86</v>
      </c>
      <c r="W52">
        <v>3.5</v>
      </c>
      <c r="X52">
        <v>2.86</v>
      </c>
      <c r="Y52">
        <v>0</v>
      </c>
      <c r="Z52">
        <v>0</v>
      </c>
      <c r="AA52">
        <v>0</v>
      </c>
      <c r="AB52">
        <v>0</v>
      </c>
      <c r="AC52">
        <v>1.6</v>
      </c>
      <c r="AD52">
        <v>0</v>
      </c>
      <c r="AE52">
        <v>1.06</v>
      </c>
      <c r="AF52">
        <v>0.2</v>
      </c>
      <c r="AG52">
        <v>0.55944055944055937</v>
      </c>
      <c r="AH52">
        <v>1</v>
      </c>
      <c r="AI52">
        <v>1</v>
      </c>
      <c r="AJ52">
        <v>2022</v>
      </c>
      <c r="AK52">
        <v>2</v>
      </c>
      <c r="AL52">
        <v>0</v>
      </c>
      <c r="AM52">
        <v>0</v>
      </c>
      <c r="AN52">
        <v>0</v>
      </c>
    </row>
    <row r="53" spans="1:40" x14ac:dyDescent="0.25">
      <c r="A53">
        <v>52</v>
      </c>
      <c r="B53" t="s">
        <v>316</v>
      </c>
      <c r="C53" t="s">
        <v>317</v>
      </c>
      <c r="D53" t="s">
        <v>318</v>
      </c>
      <c r="E53" t="s">
        <v>319</v>
      </c>
      <c r="F53" t="s">
        <v>315</v>
      </c>
      <c r="G53">
        <v>3</v>
      </c>
      <c r="H53">
        <v>1</v>
      </c>
      <c r="I53">
        <v>2075</v>
      </c>
      <c r="J53">
        <v>0</v>
      </c>
      <c r="K53">
        <v>0</v>
      </c>
      <c r="L53">
        <v>1135.9000000000001</v>
      </c>
      <c r="M53">
        <v>1027.3</v>
      </c>
      <c r="N53">
        <v>705.3</v>
      </c>
      <c r="O53">
        <v>197.1</v>
      </c>
      <c r="P53">
        <v>27941.3</v>
      </c>
      <c r="Q53">
        <v>0</v>
      </c>
      <c r="R53">
        <v>0</v>
      </c>
      <c r="S53">
        <v>0</v>
      </c>
      <c r="T53">
        <v>0</v>
      </c>
      <c r="U53">
        <v>0</v>
      </c>
      <c r="V53">
        <v>2.21</v>
      </c>
      <c r="W53">
        <v>3.5</v>
      </c>
      <c r="X53">
        <v>2</v>
      </c>
      <c r="Y53">
        <v>0</v>
      </c>
      <c r="Z53">
        <v>0</v>
      </c>
      <c r="AA53">
        <v>0</v>
      </c>
      <c r="AB53">
        <v>0.21</v>
      </c>
      <c r="AC53">
        <v>0.6</v>
      </c>
      <c r="AD53">
        <v>0.4</v>
      </c>
      <c r="AE53">
        <v>0.8</v>
      </c>
      <c r="AF53">
        <v>0.41</v>
      </c>
      <c r="AG53">
        <v>0.45248868778280538</v>
      </c>
      <c r="AH53">
        <v>0</v>
      </c>
      <c r="AI53">
        <v>0</v>
      </c>
      <c r="AL53">
        <v>0</v>
      </c>
      <c r="AM53">
        <v>0</v>
      </c>
      <c r="AN53">
        <v>0</v>
      </c>
    </row>
    <row r="54" spans="1:40" x14ac:dyDescent="0.25">
      <c r="A54">
        <v>53</v>
      </c>
      <c r="B54" t="s">
        <v>320</v>
      </c>
      <c r="C54" t="s">
        <v>321</v>
      </c>
      <c r="D54" t="s">
        <v>322</v>
      </c>
      <c r="E54" t="s">
        <v>323</v>
      </c>
      <c r="F54" t="s">
        <v>100</v>
      </c>
      <c r="G54">
        <v>1</v>
      </c>
      <c r="H54">
        <v>1</v>
      </c>
      <c r="I54">
        <v>938</v>
      </c>
      <c r="J54">
        <v>0</v>
      </c>
      <c r="K54">
        <v>0</v>
      </c>
      <c r="L54">
        <v>920.9</v>
      </c>
      <c r="M54">
        <v>1071</v>
      </c>
      <c r="N54">
        <v>1065.3</v>
      </c>
      <c r="O54">
        <v>210.7</v>
      </c>
      <c r="P54">
        <v>1034</v>
      </c>
      <c r="Q54">
        <v>0</v>
      </c>
      <c r="R54">
        <v>0</v>
      </c>
      <c r="S54">
        <v>0</v>
      </c>
      <c r="T54">
        <v>0</v>
      </c>
      <c r="U54">
        <v>0</v>
      </c>
      <c r="V54">
        <v>0.24</v>
      </c>
      <c r="W54">
        <v>3</v>
      </c>
      <c r="X54">
        <v>0.24</v>
      </c>
      <c r="Y54">
        <v>0</v>
      </c>
      <c r="Z54">
        <v>0</v>
      </c>
      <c r="AA54">
        <v>0</v>
      </c>
      <c r="AB54">
        <v>0</v>
      </c>
      <c r="AC54">
        <v>0.24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2023</v>
      </c>
      <c r="AK54">
        <v>1</v>
      </c>
      <c r="AL54">
        <v>0</v>
      </c>
      <c r="AM54">
        <v>0</v>
      </c>
      <c r="AN54">
        <v>0</v>
      </c>
    </row>
    <row r="55" spans="1:40" x14ac:dyDescent="0.25">
      <c r="A55">
        <v>54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>
        <v>2</v>
      </c>
      <c r="H55">
        <v>2</v>
      </c>
      <c r="I55">
        <v>701</v>
      </c>
      <c r="J55">
        <v>0</v>
      </c>
      <c r="K55">
        <v>1</v>
      </c>
      <c r="L55">
        <v>6241.4</v>
      </c>
      <c r="M55">
        <v>5437</v>
      </c>
      <c r="N55">
        <v>12374.3</v>
      </c>
      <c r="O55">
        <v>1268.5999999999999</v>
      </c>
      <c r="P55">
        <v>13772.9</v>
      </c>
      <c r="Q55">
        <v>0</v>
      </c>
      <c r="R55">
        <v>0</v>
      </c>
      <c r="S55">
        <v>0</v>
      </c>
      <c r="T55">
        <v>0</v>
      </c>
      <c r="U55">
        <v>0</v>
      </c>
      <c r="V55">
        <v>4.34</v>
      </c>
      <c r="W55">
        <v>3.5</v>
      </c>
      <c r="X55">
        <v>4.34</v>
      </c>
      <c r="Y55">
        <v>0</v>
      </c>
      <c r="Z55">
        <v>0</v>
      </c>
      <c r="AA55">
        <v>0</v>
      </c>
      <c r="AB55">
        <v>0</v>
      </c>
      <c r="AC55">
        <v>1.54</v>
      </c>
      <c r="AD55">
        <v>2.6</v>
      </c>
      <c r="AE55">
        <v>0.2</v>
      </c>
      <c r="AF55">
        <v>0</v>
      </c>
      <c r="AG55">
        <v>0.95391705069124422</v>
      </c>
      <c r="AH55">
        <v>0</v>
      </c>
      <c r="AI55">
        <v>0</v>
      </c>
      <c r="AL55">
        <v>0</v>
      </c>
      <c r="AM55">
        <v>0</v>
      </c>
      <c r="AN55">
        <v>0</v>
      </c>
    </row>
    <row r="56" spans="1:40" x14ac:dyDescent="0.25">
      <c r="A56">
        <v>55</v>
      </c>
      <c r="B56" t="s">
        <v>329</v>
      </c>
      <c r="C56" t="s">
        <v>330</v>
      </c>
      <c r="D56" t="s">
        <v>331</v>
      </c>
      <c r="E56" t="s">
        <v>332</v>
      </c>
      <c r="F56" t="s">
        <v>100</v>
      </c>
      <c r="G56">
        <v>2</v>
      </c>
      <c r="H56">
        <v>1</v>
      </c>
      <c r="I56">
        <v>1848</v>
      </c>
      <c r="J56">
        <v>1</v>
      </c>
      <c r="K56">
        <v>0</v>
      </c>
      <c r="L56">
        <v>10112.4</v>
      </c>
      <c r="M56">
        <v>9359.7999999999993</v>
      </c>
      <c r="N56">
        <v>11521.3</v>
      </c>
      <c r="O56">
        <v>939</v>
      </c>
      <c r="P56">
        <v>9847.6</v>
      </c>
      <c r="Q56">
        <v>0</v>
      </c>
      <c r="R56">
        <v>0</v>
      </c>
      <c r="S56">
        <v>0</v>
      </c>
      <c r="T56">
        <v>0</v>
      </c>
      <c r="U56">
        <v>0</v>
      </c>
      <c r="V56">
        <v>1.82</v>
      </c>
      <c r="W56">
        <v>3</v>
      </c>
      <c r="X56">
        <v>1.72</v>
      </c>
      <c r="Y56">
        <v>0</v>
      </c>
      <c r="Z56">
        <v>0</v>
      </c>
      <c r="AA56">
        <v>0.1</v>
      </c>
      <c r="AB56">
        <v>0</v>
      </c>
      <c r="AC56">
        <v>0</v>
      </c>
      <c r="AD56">
        <v>0.82</v>
      </c>
      <c r="AE56">
        <v>0</v>
      </c>
      <c r="AF56">
        <v>1</v>
      </c>
      <c r="AG56">
        <v>0.45054945054945061</v>
      </c>
      <c r="AH56">
        <v>0</v>
      </c>
      <c r="AI56">
        <v>0</v>
      </c>
      <c r="AL56">
        <v>1</v>
      </c>
      <c r="AM56">
        <v>0</v>
      </c>
      <c r="AN56">
        <v>1</v>
      </c>
    </row>
    <row r="57" spans="1:40" x14ac:dyDescent="0.25">
      <c r="A57">
        <v>56</v>
      </c>
      <c r="B57" t="s">
        <v>333</v>
      </c>
      <c r="C57" t="s">
        <v>334</v>
      </c>
      <c r="D57" t="s">
        <v>335</v>
      </c>
      <c r="E57" t="s">
        <v>194</v>
      </c>
      <c r="F57" t="s">
        <v>100</v>
      </c>
      <c r="G57">
        <v>1</v>
      </c>
      <c r="H57">
        <v>1</v>
      </c>
      <c r="I57">
        <v>1874</v>
      </c>
      <c r="J57">
        <v>0</v>
      </c>
      <c r="K57">
        <v>0</v>
      </c>
      <c r="L57">
        <v>1351.3</v>
      </c>
      <c r="M57">
        <v>1894.4</v>
      </c>
      <c r="N57">
        <v>2726.1</v>
      </c>
      <c r="O57">
        <v>0</v>
      </c>
      <c r="P57">
        <v>1033</v>
      </c>
      <c r="Q57">
        <v>0</v>
      </c>
      <c r="R57">
        <v>0</v>
      </c>
      <c r="S57">
        <v>0</v>
      </c>
      <c r="T57">
        <v>0</v>
      </c>
      <c r="U57">
        <v>0</v>
      </c>
      <c r="V57">
        <v>0.35</v>
      </c>
      <c r="W57">
        <v>3.5</v>
      </c>
      <c r="X57">
        <v>0.35</v>
      </c>
      <c r="Y57">
        <v>0</v>
      </c>
      <c r="Z57">
        <v>0</v>
      </c>
      <c r="AA57">
        <v>0</v>
      </c>
      <c r="AB57">
        <v>0</v>
      </c>
      <c r="AC57">
        <v>0.35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L57">
        <v>0</v>
      </c>
      <c r="AM57">
        <v>0</v>
      </c>
      <c r="AN57">
        <v>0</v>
      </c>
    </row>
    <row r="58" spans="1:40" x14ac:dyDescent="0.25">
      <c r="A58">
        <v>57</v>
      </c>
      <c r="B58" t="s">
        <v>336</v>
      </c>
      <c r="C58" t="s">
        <v>337</v>
      </c>
      <c r="D58" t="s">
        <v>338</v>
      </c>
      <c r="E58" t="s">
        <v>339</v>
      </c>
      <c r="F58" t="s">
        <v>310</v>
      </c>
      <c r="G58">
        <v>1</v>
      </c>
      <c r="H58">
        <v>1</v>
      </c>
      <c r="I58">
        <v>303</v>
      </c>
      <c r="J58">
        <v>0</v>
      </c>
      <c r="K58">
        <v>1</v>
      </c>
      <c r="L58">
        <v>14913.1</v>
      </c>
      <c r="M58">
        <v>10870.4</v>
      </c>
      <c r="N58">
        <v>17123.5</v>
      </c>
      <c r="O58">
        <v>390</v>
      </c>
      <c r="P58">
        <v>17025.900000000001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0.74</v>
      </c>
      <c r="W58">
        <v>3.5</v>
      </c>
      <c r="X58">
        <v>0.74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0.2</v>
      </c>
      <c r="AE58">
        <v>0.54</v>
      </c>
      <c r="AF58">
        <v>0</v>
      </c>
      <c r="AG58">
        <v>0.27027027027027029</v>
      </c>
      <c r="AH58">
        <v>0</v>
      </c>
      <c r="AI58">
        <v>0</v>
      </c>
      <c r="AL58">
        <v>0</v>
      </c>
      <c r="AM58">
        <v>0</v>
      </c>
      <c r="AN58">
        <v>0</v>
      </c>
    </row>
    <row r="59" spans="1:40" x14ac:dyDescent="0.25">
      <c r="A59">
        <v>58</v>
      </c>
      <c r="B59" t="s">
        <v>340</v>
      </c>
      <c r="C59" t="s">
        <v>341</v>
      </c>
      <c r="D59" t="s">
        <v>342</v>
      </c>
      <c r="E59" t="s">
        <v>339</v>
      </c>
      <c r="F59" t="s">
        <v>310</v>
      </c>
      <c r="G59">
        <v>1</v>
      </c>
      <c r="H59">
        <v>1</v>
      </c>
      <c r="I59">
        <v>303</v>
      </c>
      <c r="J59">
        <v>0</v>
      </c>
      <c r="K59">
        <v>0</v>
      </c>
      <c r="L59">
        <v>16716.8</v>
      </c>
      <c r="M59">
        <v>12674.1</v>
      </c>
      <c r="N59">
        <v>18927.2</v>
      </c>
      <c r="O59">
        <v>1391.2</v>
      </c>
      <c r="P59">
        <v>18829.599999999999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2.93</v>
      </c>
      <c r="W59">
        <v>2</v>
      </c>
      <c r="X59">
        <v>0</v>
      </c>
      <c r="Y59">
        <v>0</v>
      </c>
      <c r="Z59">
        <v>2.93</v>
      </c>
      <c r="AA59">
        <v>0</v>
      </c>
      <c r="AB59">
        <v>0</v>
      </c>
      <c r="AC59">
        <v>0.4</v>
      </c>
      <c r="AD59">
        <v>0.2</v>
      </c>
      <c r="AE59">
        <v>2.13</v>
      </c>
      <c r="AF59">
        <v>0.2</v>
      </c>
      <c r="AG59">
        <v>0.20477815699658711</v>
      </c>
      <c r="AH59">
        <v>1</v>
      </c>
      <c r="AI59">
        <v>1</v>
      </c>
      <c r="AJ59">
        <v>2023</v>
      </c>
      <c r="AK59">
        <v>1</v>
      </c>
      <c r="AL59">
        <v>0</v>
      </c>
      <c r="AM59">
        <v>0</v>
      </c>
      <c r="AN59">
        <v>0</v>
      </c>
    </row>
    <row r="60" spans="1:40" x14ac:dyDescent="0.25">
      <c r="A60">
        <v>59</v>
      </c>
      <c r="B60" t="s">
        <v>343</v>
      </c>
      <c r="C60" t="s">
        <v>344</v>
      </c>
      <c r="D60" t="s">
        <v>345</v>
      </c>
      <c r="E60" t="s">
        <v>346</v>
      </c>
      <c r="F60" t="s">
        <v>100</v>
      </c>
      <c r="G60">
        <v>3</v>
      </c>
      <c r="H60">
        <v>1</v>
      </c>
      <c r="I60">
        <v>3551</v>
      </c>
      <c r="J60">
        <v>0</v>
      </c>
      <c r="K60">
        <v>1</v>
      </c>
      <c r="L60">
        <v>1491.2</v>
      </c>
      <c r="M60">
        <v>1641.3</v>
      </c>
      <c r="N60">
        <v>2153.6999999999998</v>
      </c>
      <c r="O60">
        <v>572.29999999999995</v>
      </c>
      <c r="P60">
        <v>1254.7</v>
      </c>
      <c r="Q60">
        <v>0</v>
      </c>
      <c r="R60">
        <v>0</v>
      </c>
      <c r="S60">
        <v>0</v>
      </c>
      <c r="T60">
        <v>0</v>
      </c>
      <c r="U60">
        <v>0</v>
      </c>
      <c r="V60">
        <v>0.81</v>
      </c>
      <c r="W60">
        <v>5</v>
      </c>
      <c r="X60">
        <v>0.81</v>
      </c>
      <c r="Y60">
        <v>0</v>
      </c>
      <c r="Z60">
        <v>0</v>
      </c>
      <c r="AA60">
        <v>0</v>
      </c>
      <c r="AB60">
        <v>0</v>
      </c>
      <c r="AC60">
        <v>0.81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L60">
        <v>0</v>
      </c>
      <c r="AM60">
        <v>0</v>
      </c>
      <c r="AN60">
        <v>0</v>
      </c>
    </row>
    <row r="61" spans="1:40" x14ac:dyDescent="0.25">
      <c r="A61">
        <v>60</v>
      </c>
      <c r="B61" t="s">
        <v>347</v>
      </c>
      <c r="C61" t="s">
        <v>348</v>
      </c>
      <c r="D61" t="s">
        <v>349</v>
      </c>
      <c r="E61" t="s">
        <v>350</v>
      </c>
      <c r="F61" t="s">
        <v>105</v>
      </c>
      <c r="G61">
        <v>1</v>
      </c>
      <c r="H61">
        <v>1</v>
      </c>
      <c r="I61">
        <v>404</v>
      </c>
      <c r="J61">
        <v>0</v>
      </c>
      <c r="K61">
        <v>1</v>
      </c>
      <c r="L61">
        <v>2436.5</v>
      </c>
      <c r="M61">
        <v>2727.7</v>
      </c>
      <c r="N61">
        <v>9356.2999999999993</v>
      </c>
      <c r="O61">
        <v>946.5</v>
      </c>
      <c r="P61">
        <v>10735.8</v>
      </c>
      <c r="Q61">
        <v>0</v>
      </c>
      <c r="R61">
        <v>0</v>
      </c>
      <c r="S61">
        <v>0</v>
      </c>
      <c r="T61">
        <v>0</v>
      </c>
      <c r="U61">
        <v>0</v>
      </c>
      <c r="V61">
        <v>1.28</v>
      </c>
      <c r="W61">
        <v>3.5</v>
      </c>
      <c r="X61">
        <v>0.4</v>
      </c>
      <c r="Y61">
        <v>0</v>
      </c>
      <c r="Z61">
        <v>0</v>
      </c>
      <c r="AA61">
        <v>0.88</v>
      </c>
      <c r="AB61">
        <v>0</v>
      </c>
      <c r="AC61">
        <v>0.4</v>
      </c>
      <c r="AD61">
        <v>0</v>
      </c>
      <c r="AE61">
        <v>0</v>
      </c>
      <c r="AF61">
        <v>0.88</v>
      </c>
      <c r="AG61">
        <v>0.3125</v>
      </c>
      <c r="AH61">
        <v>1</v>
      </c>
      <c r="AI61">
        <v>1</v>
      </c>
      <c r="AJ61">
        <v>2021</v>
      </c>
      <c r="AK61">
        <v>3</v>
      </c>
      <c r="AL61">
        <v>1</v>
      </c>
      <c r="AM61">
        <v>0</v>
      </c>
      <c r="AN61">
        <v>1</v>
      </c>
    </row>
    <row r="62" spans="1:40" x14ac:dyDescent="0.25">
      <c r="A62">
        <v>61</v>
      </c>
      <c r="B62" t="s">
        <v>351</v>
      </c>
      <c r="C62" t="s">
        <v>352</v>
      </c>
      <c r="D62" t="s">
        <v>353</v>
      </c>
      <c r="E62" t="s">
        <v>354</v>
      </c>
      <c r="F62" t="s">
        <v>176</v>
      </c>
      <c r="G62">
        <v>1</v>
      </c>
      <c r="H62">
        <v>1</v>
      </c>
      <c r="I62">
        <v>259</v>
      </c>
      <c r="J62">
        <v>0</v>
      </c>
      <c r="K62">
        <v>0</v>
      </c>
      <c r="L62">
        <v>4463</v>
      </c>
      <c r="M62">
        <v>4493.7</v>
      </c>
      <c r="N62">
        <v>11634.9</v>
      </c>
      <c r="O62">
        <v>376.2</v>
      </c>
      <c r="P62">
        <v>13306.7</v>
      </c>
      <c r="Q62">
        <v>0</v>
      </c>
      <c r="R62">
        <v>0</v>
      </c>
      <c r="S62">
        <v>0</v>
      </c>
      <c r="T62">
        <v>0</v>
      </c>
      <c r="U62">
        <v>0</v>
      </c>
      <c r="V62">
        <v>1.51</v>
      </c>
      <c r="W62">
        <v>3</v>
      </c>
      <c r="X62">
        <v>1.51</v>
      </c>
      <c r="Y62">
        <v>0</v>
      </c>
      <c r="Z62">
        <v>0</v>
      </c>
      <c r="AA62">
        <v>0</v>
      </c>
      <c r="AB62">
        <v>0</v>
      </c>
      <c r="AC62">
        <v>1.51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L62">
        <v>1</v>
      </c>
      <c r="AM62">
        <v>1</v>
      </c>
      <c r="AN62">
        <v>0</v>
      </c>
    </row>
    <row r="63" spans="1:40" x14ac:dyDescent="0.25">
      <c r="A63">
        <v>62</v>
      </c>
      <c r="B63" t="s">
        <v>355</v>
      </c>
      <c r="C63" t="s">
        <v>356</v>
      </c>
      <c r="D63" t="s">
        <v>357</v>
      </c>
      <c r="E63" t="s">
        <v>358</v>
      </c>
      <c r="F63" t="s">
        <v>310</v>
      </c>
      <c r="G63">
        <v>1</v>
      </c>
      <c r="H63">
        <v>1</v>
      </c>
      <c r="I63">
        <v>474</v>
      </c>
      <c r="J63">
        <v>1</v>
      </c>
      <c r="K63">
        <v>0</v>
      </c>
      <c r="L63">
        <v>26934.3</v>
      </c>
      <c r="M63">
        <v>8122.4</v>
      </c>
      <c r="N63">
        <v>29144.7</v>
      </c>
      <c r="O63">
        <v>1982.5</v>
      </c>
      <c r="P63">
        <v>29047.1</v>
      </c>
      <c r="Q63">
        <v>0</v>
      </c>
      <c r="R63">
        <v>0</v>
      </c>
      <c r="S63">
        <v>0</v>
      </c>
      <c r="T63">
        <v>0</v>
      </c>
      <c r="U63">
        <v>0</v>
      </c>
      <c r="V63">
        <v>1.1599999999999999</v>
      </c>
      <c r="W63">
        <v>3.5</v>
      </c>
      <c r="X63">
        <v>1.1599999999999999</v>
      </c>
      <c r="Y63">
        <v>0</v>
      </c>
      <c r="Z63">
        <v>0</v>
      </c>
      <c r="AA63">
        <v>0</v>
      </c>
      <c r="AB63">
        <v>0</v>
      </c>
      <c r="AC63">
        <v>1.1599999999999999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L63">
        <v>0</v>
      </c>
      <c r="AM63">
        <v>0</v>
      </c>
      <c r="AN63">
        <v>0</v>
      </c>
    </row>
    <row r="64" spans="1:40" x14ac:dyDescent="0.25">
      <c r="A64">
        <v>63</v>
      </c>
      <c r="B64" t="s">
        <v>359</v>
      </c>
      <c r="C64" t="s">
        <v>360</v>
      </c>
      <c r="D64" t="s">
        <v>361</v>
      </c>
      <c r="E64" t="s">
        <v>362</v>
      </c>
      <c r="F64" t="s">
        <v>363</v>
      </c>
      <c r="G64">
        <v>1</v>
      </c>
      <c r="H64">
        <v>1</v>
      </c>
      <c r="I64">
        <v>633</v>
      </c>
      <c r="J64">
        <v>0</v>
      </c>
      <c r="K64">
        <v>0</v>
      </c>
      <c r="L64">
        <v>1258.9000000000001</v>
      </c>
      <c r="M64">
        <v>795.3</v>
      </c>
      <c r="N64">
        <v>2477.8000000000002</v>
      </c>
      <c r="O64">
        <v>0</v>
      </c>
      <c r="P64">
        <v>29090.9</v>
      </c>
      <c r="Q64">
        <v>0</v>
      </c>
      <c r="R64">
        <v>0</v>
      </c>
      <c r="S64">
        <v>0</v>
      </c>
      <c r="T64">
        <v>0</v>
      </c>
      <c r="U64">
        <v>0</v>
      </c>
      <c r="V64">
        <v>0.32</v>
      </c>
      <c r="W64">
        <v>3</v>
      </c>
      <c r="X64">
        <v>0.32</v>
      </c>
      <c r="Y64">
        <v>0</v>
      </c>
      <c r="Z64">
        <v>0</v>
      </c>
      <c r="AA64">
        <v>0</v>
      </c>
      <c r="AB64">
        <v>0</v>
      </c>
      <c r="AC64">
        <v>0.32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L64">
        <v>0</v>
      </c>
      <c r="AM64">
        <v>0</v>
      </c>
      <c r="AN64">
        <v>0</v>
      </c>
    </row>
    <row r="65" spans="1:40" x14ac:dyDescent="0.25">
      <c r="A65">
        <v>64</v>
      </c>
      <c r="B65" t="s">
        <v>364</v>
      </c>
      <c r="C65" t="s">
        <v>365</v>
      </c>
      <c r="D65" t="s">
        <v>366</v>
      </c>
      <c r="E65" t="s">
        <v>367</v>
      </c>
      <c r="F65" t="s">
        <v>100</v>
      </c>
      <c r="G65">
        <v>1</v>
      </c>
      <c r="H65">
        <v>1</v>
      </c>
      <c r="I65">
        <v>1142</v>
      </c>
      <c r="J65">
        <v>0</v>
      </c>
      <c r="K65">
        <v>0</v>
      </c>
      <c r="L65">
        <v>1768.8</v>
      </c>
      <c r="M65">
        <v>197.4</v>
      </c>
      <c r="N65">
        <v>3467.1</v>
      </c>
      <c r="O65">
        <v>0</v>
      </c>
      <c r="P65">
        <v>1604.2</v>
      </c>
      <c r="Q65">
        <v>0</v>
      </c>
      <c r="R65">
        <v>0</v>
      </c>
      <c r="S65">
        <v>0</v>
      </c>
      <c r="T65">
        <v>0</v>
      </c>
      <c r="U65">
        <v>0</v>
      </c>
      <c r="V65">
        <v>0.18</v>
      </c>
      <c r="W65">
        <v>3</v>
      </c>
      <c r="X65">
        <v>0.18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0.18</v>
      </c>
      <c r="AE65">
        <v>0</v>
      </c>
      <c r="AF65">
        <v>0</v>
      </c>
      <c r="AG65">
        <v>1</v>
      </c>
      <c r="AH65">
        <v>0</v>
      </c>
      <c r="AI65">
        <v>0</v>
      </c>
      <c r="AL65">
        <v>0</v>
      </c>
      <c r="AM65">
        <v>0</v>
      </c>
      <c r="AN65">
        <v>0</v>
      </c>
    </row>
    <row r="66" spans="1:40" x14ac:dyDescent="0.25">
      <c r="A66">
        <v>65</v>
      </c>
      <c r="B66" t="s">
        <v>368</v>
      </c>
      <c r="C66" t="s">
        <v>369</v>
      </c>
      <c r="D66" t="s">
        <v>370</v>
      </c>
      <c r="E66" t="s">
        <v>371</v>
      </c>
      <c r="F66" t="s">
        <v>310</v>
      </c>
      <c r="G66">
        <v>2</v>
      </c>
      <c r="H66">
        <v>1</v>
      </c>
      <c r="I66">
        <v>859</v>
      </c>
      <c r="J66">
        <v>0</v>
      </c>
      <c r="K66">
        <v>0</v>
      </c>
      <c r="L66">
        <v>30227.200000000001</v>
      </c>
      <c r="M66">
        <v>8413.6</v>
      </c>
      <c r="N66">
        <v>32437.599999999999</v>
      </c>
      <c r="O66">
        <v>2459.5</v>
      </c>
      <c r="P66">
        <v>32339.9</v>
      </c>
      <c r="Q66">
        <v>0</v>
      </c>
      <c r="R66">
        <v>0</v>
      </c>
      <c r="S66">
        <v>0</v>
      </c>
      <c r="T66">
        <v>0</v>
      </c>
      <c r="U66">
        <v>0</v>
      </c>
      <c r="V66">
        <v>4.8600000000000003</v>
      </c>
      <c r="W66">
        <v>1.5</v>
      </c>
      <c r="X66">
        <v>0</v>
      </c>
      <c r="Y66">
        <v>0</v>
      </c>
      <c r="Z66">
        <v>2.2000000000000002</v>
      </c>
      <c r="AA66">
        <v>0.4</v>
      </c>
      <c r="AB66">
        <v>2.2599999999999998</v>
      </c>
      <c r="AC66">
        <v>1.2</v>
      </c>
      <c r="AD66">
        <v>0</v>
      </c>
      <c r="AE66">
        <v>0.4</v>
      </c>
      <c r="AF66">
        <v>3.26</v>
      </c>
      <c r="AG66">
        <v>0.24691358024691359</v>
      </c>
      <c r="AH66">
        <v>1</v>
      </c>
      <c r="AI66">
        <v>3</v>
      </c>
      <c r="AJ66">
        <v>2023</v>
      </c>
      <c r="AK66">
        <v>1</v>
      </c>
      <c r="AL66">
        <v>0</v>
      </c>
      <c r="AM66">
        <v>0</v>
      </c>
      <c r="AN66">
        <v>0</v>
      </c>
    </row>
    <row r="67" spans="1:40" x14ac:dyDescent="0.25">
      <c r="A67">
        <v>66</v>
      </c>
      <c r="B67" t="s">
        <v>372</v>
      </c>
      <c r="C67" t="s">
        <v>373</v>
      </c>
      <c r="D67" t="s">
        <v>374</v>
      </c>
      <c r="E67" t="s">
        <v>109</v>
      </c>
      <c r="F67" t="s">
        <v>100</v>
      </c>
      <c r="G67">
        <v>2</v>
      </c>
      <c r="H67">
        <v>1</v>
      </c>
      <c r="I67">
        <v>2315</v>
      </c>
      <c r="J67">
        <v>0</v>
      </c>
      <c r="K67">
        <v>1</v>
      </c>
      <c r="L67">
        <v>454.9</v>
      </c>
      <c r="M67">
        <v>605</v>
      </c>
      <c r="N67">
        <v>1552.9</v>
      </c>
      <c r="O67">
        <v>35.299999999999997</v>
      </c>
      <c r="P67">
        <v>745.4</v>
      </c>
      <c r="Q67">
        <v>0</v>
      </c>
      <c r="R67">
        <v>0</v>
      </c>
      <c r="S67">
        <v>0</v>
      </c>
      <c r="T67">
        <v>0</v>
      </c>
      <c r="U67">
        <v>0</v>
      </c>
      <c r="V67">
        <v>0.41</v>
      </c>
      <c r="W67">
        <v>4.5</v>
      </c>
      <c r="X67">
        <v>0.41</v>
      </c>
      <c r="Y67">
        <v>0</v>
      </c>
      <c r="Z67">
        <v>0</v>
      </c>
      <c r="AA67">
        <v>0</v>
      </c>
      <c r="AB67">
        <v>0</v>
      </c>
      <c r="AC67">
        <v>0.41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L67">
        <v>0</v>
      </c>
      <c r="AM67">
        <v>0</v>
      </c>
      <c r="AN67">
        <v>0</v>
      </c>
    </row>
    <row r="68" spans="1:40" x14ac:dyDescent="0.25">
      <c r="A68">
        <v>67</v>
      </c>
      <c r="B68" t="s">
        <v>375</v>
      </c>
      <c r="C68" t="s">
        <v>376</v>
      </c>
      <c r="D68" t="s">
        <v>377</v>
      </c>
      <c r="E68" t="s">
        <v>378</v>
      </c>
      <c r="F68" t="s">
        <v>105</v>
      </c>
      <c r="G68">
        <v>2</v>
      </c>
      <c r="H68">
        <v>1</v>
      </c>
      <c r="I68">
        <v>1247</v>
      </c>
      <c r="J68">
        <v>0</v>
      </c>
      <c r="K68">
        <v>0</v>
      </c>
      <c r="L68">
        <v>3193.6</v>
      </c>
      <c r="M68">
        <v>3103.3</v>
      </c>
      <c r="N68">
        <v>3164</v>
      </c>
      <c r="O68">
        <v>689.4</v>
      </c>
      <c r="P68">
        <v>4562.7</v>
      </c>
      <c r="Q68">
        <v>0</v>
      </c>
      <c r="R68">
        <v>0</v>
      </c>
      <c r="S68">
        <v>0</v>
      </c>
      <c r="T68">
        <v>0</v>
      </c>
      <c r="U68">
        <v>0</v>
      </c>
      <c r="V68">
        <v>0.6</v>
      </c>
      <c r="W68">
        <v>3.5</v>
      </c>
      <c r="X68">
        <v>0.6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0.6</v>
      </c>
      <c r="AF68">
        <v>0</v>
      </c>
      <c r="AG68">
        <v>0</v>
      </c>
      <c r="AH68">
        <v>0</v>
      </c>
      <c r="AI68">
        <v>0</v>
      </c>
      <c r="AL68">
        <v>0</v>
      </c>
      <c r="AM68">
        <v>0</v>
      </c>
      <c r="AN68">
        <v>0</v>
      </c>
    </row>
    <row r="69" spans="1:40" x14ac:dyDescent="0.25">
      <c r="A69">
        <v>68</v>
      </c>
      <c r="B69" t="s">
        <v>379</v>
      </c>
      <c r="C69" t="s">
        <v>380</v>
      </c>
      <c r="D69" t="s">
        <v>381</v>
      </c>
      <c r="E69" t="s">
        <v>180</v>
      </c>
      <c r="F69" t="s">
        <v>105</v>
      </c>
      <c r="G69">
        <v>1</v>
      </c>
      <c r="H69">
        <v>1</v>
      </c>
      <c r="I69">
        <v>682</v>
      </c>
      <c r="J69">
        <v>0</v>
      </c>
      <c r="K69">
        <v>0</v>
      </c>
      <c r="L69">
        <v>2954.7</v>
      </c>
      <c r="M69">
        <v>2864.4</v>
      </c>
      <c r="N69">
        <v>3525</v>
      </c>
      <c r="O69">
        <v>916.8</v>
      </c>
      <c r="P69">
        <v>4923.6000000000004</v>
      </c>
      <c r="Q69">
        <v>0</v>
      </c>
      <c r="R69">
        <v>0</v>
      </c>
      <c r="S69">
        <v>0</v>
      </c>
      <c r="T69">
        <v>0</v>
      </c>
      <c r="U69">
        <v>0</v>
      </c>
      <c r="V69">
        <v>0.3</v>
      </c>
      <c r="W69">
        <v>3</v>
      </c>
      <c r="X69">
        <v>0.3</v>
      </c>
      <c r="Y69">
        <v>0</v>
      </c>
      <c r="Z69">
        <v>0</v>
      </c>
      <c r="AA69">
        <v>0</v>
      </c>
      <c r="AB69">
        <v>0</v>
      </c>
      <c r="AC69">
        <v>0.3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L69">
        <v>0</v>
      </c>
      <c r="AM69">
        <v>0</v>
      </c>
      <c r="AN69">
        <v>0</v>
      </c>
    </row>
    <row r="70" spans="1:40" x14ac:dyDescent="0.25">
      <c r="A70">
        <v>69</v>
      </c>
      <c r="B70" t="s">
        <v>382</v>
      </c>
      <c r="C70" t="s">
        <v>383</v>
      </c>
      <c r="D70" t="s">
        <v>384</v>
      </c>
      <c r="E70" t="s">
        <v>385</v>
      </c>
      <c r="F70" t="s">
        <v>127</v>
      </c>
      <c r="G70">
        <v>1</v>
      </c>
      <c r="H70">
        <v>1</v>
      </c>
      <c r="I70">
        <v>448</v>
      </c>
      <c r="J70">
        <v>0</v>
      </c>
      <c r="K70">
        <v>0</v>
      </c>
      <c r="L70">
        <v>7191.3</v>
      </c>
      <c r="M70">
        <v>7765.4</v>
      </c>
      <c r="N70">
        <v>11936</v>
      </c>
      <c r="O70">
        <v>1270.5999999999999</v>
      </c>
      <c r="P70">
        <v>10334.700000000001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2.36</v>
      </c>
      <c r="W70">
        <v>3</v>
      </c>
      <c r="X70">
        <v>0</v>
      </c>
      <c r="Y70">
        <v>0</v>
      </c>
      <c r="Z70">
        <v>0</v>
      </c>
      <c r="AA70">
        <v>2.36</v>
      </c>
      <c r="AB70">
        <v>0</v>
      </c>
      <c r="AC70">
        <v>0</v>
      </c>
      <c r="AD70">
        <v>0</v>
      </c>
      <c r="AE70">
        <v>0</v>
      </c>
      <c r="AF70">
        <v>2.36</v>
      </c>
      <c r="AG70">
        <v>0</v>
      </c>
      <c r="AH70">
        <v>0</v>
      </c>
      <c r="AI70">
        <v>0</v>
      </c>
      <c r="AL70">
        <v>0</v>
      </c>
      <c r="AM70">
        <v>0</v>
      </c>
      <c r="AN70">
        <v>0</v>
      </c>
    </row>
    <row r="71" spans="1:40" x14ac:dyDescent="0.25">
      <c r="A71">
        <v>70</v>
      </c>
      <c r="B71" t="s">
        <v>386</v>
      </c>
      <c r="C71" t="s">
        <v>387</v>
      </c>
      <c r="D71" t="s">
        <v>388</v>
      </c>
      <c r="E71" t="s">
        <v>389</v>
      </c>
      <c r="F71" t="s">
        <v>100</v>
      </c>
      <c r="G71">
        <v>2</v>
      </c>
      <c r="H71">
        <v>1</v>
      </c>
      <c r="I71">
        <v>1348</v>
      </c>
      <c r="J71">
        <v>1</v>
      </c>
      <c r="L71">
        <v>3498.6</v>
      </c>
      <c r="M71">
        <v>2163.1999999999998</v>
      </c>
      <c r="N71">
        <v>6008.8</v>
      </c>
      <c r="O71">
        <v>845</v>
      </c>
      <c r="P71">
        <v>4145.8999999999996</v>
      </c>
      <c r="Q71">
        <v>0</v>
      </c>
      <c r="R71">
        <v>0</v>
      </c>
      <c r="S71">
        <v>0</v>
      </c>
      <c r="T71">
        <v>0</v>
      </c>
      <c r="U71">
        <v>0</v>
      </c>
      <c r="V71">
        <v>1.52</v>
      </c>
      <c r="W71">
        <v>3</v>
      </c>
      <c r="X71">
        <v>1.52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1.52</v>
      </c>
      <c r="AE71">
        <v>0</v>
      </c>
      <c r="AF71">
        <v>0</v>
      </c>
      <c r="AG71">
        <v>1</v>
      </c>
      <c r="AH71">
        <v>1</v>
      </c>
      <c r="AI71">
        <v>1</v>
      </c>
      <c r="AJ71">
        <v>2023</v>
      </c>
      <c r="AK71">
        <v>1</v>
      </c>
      <c r="AL71">
        <v>0</v>
      </c>
      <c r="AM71">
        <v>0</v>
      </c>
      <c r="AN71">
        <v>0</v>
      </c>
    </row>
    <row r="72" spans="1:40" x14ac:dyDescent="0.25">
      <c r="A72">
        <v>71</v>
      </c>
      <c r="B72" t="s">
        <v>390</v>
      </c>
      <c r="C72" t="s">
        <v>391</v>
      </c>
      <c r="D72" t="s">
        <v>392</v>
      </c>
      <c r="E72" t="s">
        <v>393</v>
      </c>
      <c r="F72" t="s">
        <v>203</v>
      </c>
      <c r="G72">
        <v>2</v>
      </c>
      <c r="H72">
        <v>2</v>
      </c>
      <c r="I72">
        <v>1084</v>
      </c>
      <c r="J72">
        <v>1</v>
      </c>
      <c r="K72">
        <v>0</v>
      </c>
      <c r="L72">
        <v>5501</v>
      </c>
      <c r="M72">
        <v>4435</v>
      </c>
      <c r="N72">
        <v>7855.4</v>
      </c>
      <c r="O72">
        <v>1269.8</v>
      </c>
      <c r="P72">
        <v>5992.5</v>
      </c>
      <c r="Q72">
        <v>0</v>
      </c>
      <c r="R72">
        <v>0</v>
      </c>
      <c r="S72">
        <v>0</v>
      </c>
      <c r="T72">
        <v>0</v>
      </c>
      <c r="U72">
        <v>0</v>
      </c>
      <c r="V72">
        <v>1.92</v>
      </c>
      <c r="W72">
        <v>3</v>
      </c>
      <c r="X72">
        <v>1.92</v>
      </c>
      <c r="Y72">
        <v>0</v>
      </c>
      <c r="Z72">
        <v>0</v>
      </c>
      <c r="AA72">
        <v>0</v>
      </c>
      <c r="AB72">
        <v>0</v>
      </c>
      <c r="AC72">
        <v>1.92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L72">
        <v>0</v>
      </c>
      <c r="AM72">
        <v>0</v>
      </c>
      <c r="AN72">
        <v>0</v>
      </c>
    </row>
    <row r="73" spans="1:40" x14ac:dyDescent="0.25">
      <c r="A73">
        <v>72</v>
      </c>
      <c r="B73" t="s">
        <v>394</v>
      </c>
      <c r="C73" t="s">
        <v>395</v>
      </c>
      <c r="D73" t="s">
        <v>396</v>
      </c>
      <c r="E73" t="s">
        <v>397</v>
      </c>
      <c r="F73" t="s">
        <v>100</v>
      </c>
      <c r="G73">
        <v>2</v>
      </c>
      <c r="H73">
        <v>1</v>
      </c>
      <c r="I73">
        <v>1637</v>
      </c>
      <c r="J73">
        <v>1</v>
      </c>
      <c r="K73">
        <v>1</v>
      </c>
      <c r="L73">
        <v>3537.8</v>
      </c>
      <c r="M73">
        <v>2014.8</v>
      </c>
      <c r="N73">
        <v>5299.5</v>
      </c>
      <c r="O73">
        <v>697.1</v>
      </c>
      <c r="P73">
        <v>3436.6</v>
      </c>
      <c r="Q73">
        <v>0</v>
      </c>
      <c r="R73">
        <v>0</v>
      </c>
      <c r="S73">
        <v>0</v>
      </c>
      <c r="T73">
        <v>0</v>
      </c>
      <c r="U73">
        <v>0</v>
      </c>
      <c r="V73">
        <v>1.29</v>
      </c>
      <c r="W73">
        <v>3</v>
      </c>
      <c r="X73">
        <v>1.29</v>
      </c>
      <c r="Y73">
        <v>0</v>
      </c>
      <c r="Z73">
        <v>0</v>
      </c>
      <c r="AA73">
        <v>0</v>
      </c>
      <c r="AB73">
        <v>0</v>
      </c>
      <c r="AC73">
        <v>1.29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L73">
        <v>0</v>
      </c>
      <c r="AM73">
        <v>0</v>
      </c>
      <c r="AN73">
        <v>0</v>
      </c>
    </row>
    <row r="74" spans="1:40" x14ac:dyDescent="0.25">
      <c r="A74">
        <v>73</v>
      </c>
      <c r="B74" t="s">
        <v>398</v>
      </c>
      <c r="C74" t="s">
        <v>399</v>
      </c>
      <c r="D74" t="s">
        <v>400</v>
      </c>
      <c r="E74" t="s">
        <v>401</v>
      </c>
      <c r="F74" t="s">
        <v>100</v>
      </c>
      <c r="G74">
        <v>1</v>
      </c>
      <c r="H74">
        <v>1</v>
      </c>
      <c r="I74">
        <v>775</v>
      </c>
      <c r="J74">
        <v>0</v>
      </c>
      <c r="K74">
        <v>1</v>
      </c>
      <c r="L74">
        <v>2824.3</v>
      </c>
      <c r="M74">
        <v>1429.3</v>
      </c>
      <c r="N74">
        <v>4911</v>
      </c>
      <c r="O74">
        <v>113.6</v>
      </c>
      <c r="P74">
        <v>3048.1</v>
      </c>
      <c r="Q74">
        <v>0</v>
      </c>
      <c r="R74">
        <v>0</v>
      </c>
      <c r="S74">
        <v>0</v>
      </c>
      <c r="T74">
        <v>0</v>
      </c>
      <c r="U74">
        <v>0</v>
      </c>
      <c r="V74">
        <v>0.89</v>
      </c>
      <c r="W74">
        <v>3.5</v>
      </c>
      <c r="X74">
        <v>0.89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0.89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2023</v>
      </c>
      <c r="AK74">
        <v>1</v>
      </c>
      <c r="AL74">
        <v>0</v>
      </c>
      <c r="AM74">
        <v>0</v>
      </c>
      <c r="AN74">
        <v>0</v>
      </c>
    </row>
    <row r="75" spans="1:40" x14ac:dyDescent="0.25">
      <c r="A75">
        <v>74</v>
      </c>
      <c r="B75" t="s">
        <v>402</v>
      </c>
      <c r="C75" t="s">
        <v>403</v>
      </c>
      <c r="D75" t="s">
        <v>404</v>
      </c>
      <c r="E75" t="s">
        <v>405</v>
      </c>
      <c r="F75" t="s">
        <v>100</v>
      </c>
      <c r="G75">
        <v>2</v>
      </c>
      <c r="H75">
        <v>1</v>
      </c>
      <c r="I75">
        <v>1503</v>
      </c>
      <c r="J75">
        <v>0</v>
      </c>
      <c r="K75">
        <v>0</v>
      </c>
      <c r="L75">
        <v>6491.8</v>
      </c>
      <c r="M75">
        <v>5365.4</v>
      </c>
      <c r="N75">
        <v>7507</v>
      </c>
      <c r="O75">
        <v>1638.9</v>
      </c>
      <c r="P75">
        <v>6173.5</v>
      </c>
      <c r="Q75">
        <v>0</v>
      </c>
      <c r="R75">
        <v>0</v>
      </c>
      <c r="S75">
        <v>0</v>
      </c>
      <c r="T75">
        <v>0</v>
      </c>
      <c r="U75">
        <v>0</v>
      </c>
      <c r="V75">
        <v>2.95</v>
      </c>
      <c r="W75">
        <v>3</v>
      </c>
      <c r="X75">
        <v>1.6</v>
      </c>
      <c r="Y75">
        <v>0</v>
      </c>
      <c r="Z75">
        <v>0</v>
      </c>
      <c r="AA75">
        <v>0</v>
      </c>
      <c r="AB75">
        <v>1.35</v>
      </c>
      <c r="AC75">
        <v>1.5</v>
      </c>
      <c r="AD75">
        <v>0</v>
      </c>
      <c r="AE75">
        <v>0</v>
      </c>
      <c r="AF75">
        <v>1.45</v>
      </c>
      <c r="AG75">
        <v>0.50847457627118642</v>
      </c>
      <c r="AH75">
        <v>1</v>
      </c>
      <c r="AI75">
        <v>1</v>
      </c>
      <c r="AJ75">
        <v>2023</v>
      </c>
      <c r="AK75">
        <v>1</v>
      </c>
      <c r="AL75">
        <v>0</v>
      </c>
      <c r="AM75">
        <v>0</v>
      </c>
      <c r="AN75">
        <v>0</v>
      </c>
    </row>
    <row r="76" spans="1:40" x14ac:dyDescent="0.25">
      <c r="A76">
        <v>75</v>
      </c>
      <c r="B76" t="s">
        <v>406</v>
      </c>
      <c r="C76" t="s">
        <v>407</v>
      </c>
      <c r="D76" t="s">
        <v>408</v>
      </c>
      <c r="E76" t="s">
        <v>409</v>
      </c>
      <c r="F76" t="s">
        <v>363</v>
      </c>
      <c r="G76">
        <v>2</v>
      </c>
      <c r="H76">
        <v>1</v>
      </c>
      <c r="I76">
        <v>1172</v>
      </c>
      <c r="J76">
        <v>0</v>
      </c>
      <c r="K76">
        <v>0</v>
      </c>
      <c r="L76">
        <v>1245.2</v>
      </c>
      <c r="M76">
        <v>609.9</v>
      </c>
      <c r="N76">
        <v>2464.1</v>
      </c>
      <c r="O76">
        <v>629.9</v>
      </c>
      <c r="P76">
        <v>29077.200000000001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0.56999999999999995</v>
      </c>
      <c r="W76">
        <v>3</v>
      </c>
      <c r="X76">
        <v>0</v>
      </c>
      <c r="Y76">
        <v>0</v>
      </c>
      <c r="Z76">
        <v>0.1</v>
      </c>
      <c r="AA76">
        <v>0.47</v>
      </c>
      <c r="AB76">
        <v>0</v>
      </c>
      <c r="AC76">
        <v>0</v>
      </c>
      <c r="AD76">
        <v>0.1</v>
      </c>
      <c r="AE76">
        <v>0</v>
      </c>
      <c r="AF76">
        <v>0.47</v>
      </c>
      <c r="AG76">
        <v>0.17543859649122809</v>
      </c>
      <c r="AH76">
        <v>1</v>
      </c>
      <c r="AI76">
        <v>3</v>
      </c>
      <c r="AJ76">
        <v>2023</v>
      </c>
      <c r="AK76">
        <v>1</v>
      </c>
      <c r="AL76">
        <v>1</v>
      </c>
      <c r="AM76">
        <v>0</v>
      </c>
      <c r="AN76">
        <v>1</v>
      </c>
    </row>
    <row r="77" spans="1:40" x14ac:dyDescent="0.25">
      <c r="A77">
        <v>76</v>
      </c>
      <c r="B77" t="s">
        <v>410</v>
      </c>
      <c r="C77" t="s">
        <v>411</v>
      </c>
      <c r="D77" t="s">
        <v>412</v>
      </c>
      <c r="E77" t="s">
        <v>413</v>
      </c>
      <c r="F77" t="s">
        <v>105</v>
      </c>
      <c r="G77">
        <v>1</v>
      </c>
      <c r="H77">
        <v>1</v>
      </c>
      <c r="I77">
        <v>313</v>
      </c>
      <c r="J77">
        <v>0</v>
      </c>
      <c r="K77">
        <v>0</v>
      </c>
      <c r="L77">
        <v>1860.7</v>
      </c>
      <c r="M77">
        <v>2224.4</v>
      </c>
      <c r="N77">
        <v>7617.1</v>
      </c>
      <c r="O77">
        <v>1155.9000000000001</v>
      </c>
      <c r="P77">
        <v>8996.6</v>
      </c>
      <c r="Q77">
        <v>0</v>
      </c>
      <c r="R77">
        <v>0</v>
      </c>
      <c r="S77">
        <v>0</v>
      </c>
      <c r="T77">
        <v>0</v>
      </c>
      <c r="U77">
        <v>0</v>
      </c>
      <c r="V77">
        <v>1.1599999999999999</v>
      </c>
      <c r="W77">
        <v>3</v>
      </c>
      <c r="X77">
        <v>1.1000000000000001</v>
      </c>
      <c r="Y77">
        <v>0</v>
      </c>
      <c r="Z77">
        <v>0</v>
      </c>
      <c r="AA77">
        <v>0</v>
      </c>
      <c r="AB77">
        <v>0.06</v>
      </c>
      <c r="AC77">
        <v>0</v>
      </c>
      <c r="AD77">
        <v>0.9</v>
      </c>
      <c r="AE77">
        <v>0.2</v>
      </c>
      <c r="AF77">
        <v>0.06</v>
      </c>
      <c r="AG77">
        <v>0.77586206896551713</v>
      </c>
      <c r="AH77">
        <v>1</v>
      </c>
      <c r="AI77">
        <v>3</v>
      </c>
      <c r="AJ77">
        <v>2023</v>
      </c>
      <c r="AK77">
        <v>1</v>
      </c>
      <c r="AL77">
        <v>0</v>
      </c>
      <c r="AM77">
        <v>0</v>
      </c>
      <c r="AN77">
        <v>0</v>
      </c>
    </row>
    <row r="78" spans="1:40" x14ac:dyDescent="0.25">
      <c r="A78">
        <v>77</v>
      </c>
      <c r="B78" t="s">
        <v>414</v>
      </c>
      <c r="C78" t="s">
        <v>415</v>
      </c>
      <c r="D78" t="s">
        <v>416</v>
      </c>
      <c r="E78" t="s">
        <v>417</v>
      </c>
      <c r="F78" t="s">
        <v>105</v>
      </c>
      <c r="G78">
        <v>2</v>
      </c>
      <c r="H78">
        <v>1</v>
      </c>
      <c r="I78">
        <v>827</v>
      </c>
      <c r="J78">
        <v>0</v>
      </c>
      <c r="K78">
        <v>1</v>
      </c>
      <c r="L78">
        <v>2082.5</v>
      </c>
      <c r="M78">
        <v>1257.4000000000001</v>
      </c>
      <c r="N78">
        <v>7886</v>
      </c>
      <c r="O78">
        <v>568.79999999999995</v>
      </c>
      <c r="P78">
        <v>9265.5</v>
      </c>
      <c r="Q78">
        <v>0</v>
      </c>
      <c r="R78">
        <v>0</v>
      </c>
      <c r="S78">
        <v>0</v>
      </c>
      <c r="T78">
        <v>0</v>
      </c>
      <c r="U78">
        <v>0</v>
      </c>
      <c r="V78">
        <v>0.52</v>
      </c>
      <c r="W78">
        <v>3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0.52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L78">
        <v>0</v>
      </c>
      <c r="AM78">
        <v>0</v>
      </c>
      <c r="AN78">
        <v>0</v>
      </c>
    </row>
    <row r="79" spans="1:40" x14ac:dyDescent="0.25">
      <c r="A79">
        <v>78</v>
      </c>
      <c r="B79" t="s">
        <v>418</v>
      </c>
      <c r="C79" t="s">
        <v>419</v>
      </c>
      <c r="D79" t="s">
        <v>420</v>
      </c>
      <c r="E79" t="s">
        <v>421</v>
      </c>
      <c r="F79" t="s">
        <v>315</v>
      </c>
      <c r="G79">
        <v>1</v>
      </c>
      <c r="H79">
        <v>1</v>
      </c>
      <c r="I79">
        <v>771</v>
      </c>
      <c r="J79">
        <v>0</v>
      </c>
      <c r="K79">
        <v>0</v>
      </c>
      <c r="L79">
        <v>2087.4</v>
      </c>
      <c r="M79">
        <v>657.1</v>
      </c>
      <c r="N79">
        <v>3045.9</v>
      </c>
      <c r="O79">
        <v>341.5</v>
      </c>
      <c r="P79">
        <v>29659</v>
      </c>
      <c r="Q79">
        <v>0</v>
      </c>
      <c r="R79">
        <v>0</v>
      </c>
      <c r="S79">
        <v>0</v>
      </c>
      <c r="T79">
        <v>0</v>
      </c>
      <c r="U79">
        <v>0</v>
      </c>
      <c r="V79">
        <v>0.24</v>
      </c>
      <c r="W79">
        <v>3.5</v>
      </c>
      <c r="X79">
        <v>0.24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0.24</v>
      </c>
      <c r="AG79">
        <v>0</v>
      </c>
      <c r="AH79">
        <v>0</v>
      </c>
      <c r="AI79">
        <v>0</v>
      </c>
      <c r="AL79">
        <v>0</v>
      </c>
      <c r="AM79">
        <v>0</v>
      </c>
      <c r="AN79">
        <v>0</v>
      </c>
    </row>
    <row r="80" spans="1:40" x14ac:dyDescent="0.25">
      <c r="A80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100</v>
      </c>
      <c r="G80">
        <v>1</v>
      </c>
      <c r="H80">
        <v>1</v>
      </c>
      <c r="I80">
        <v>630</v>
      </c>
      <c r="J80">
        <v>0</v>
      </c>
      <c r="K80">
        <v>0</v>
      </c>
      <c r="L80">
        <v>2508.6999999999998</v>
      </c>
      <c r="M80">
        <v>2658.7</v>
      </c>
      <c r="N80">
        <v>2185.1999999999998</v>
      </c>
      <c r="O80">
        <v>1236.8</v>
      </c>
      <c r="P80">
        <v>2363.6999999999998</v>
      </c>
      <c r="Q80">
        <v>0</v>
      </c>
      <c r="R80">
        <v>0</v>
      </c>
      <c r="S80">
        <v>0</v>
      </c>
      <c r="T80">
        <v>0</v>
      </c>
      <c r="U80">
        <v>0</v>
      </c>
      <c r="V80">
        <v>0.7</v>
      </c>
      <c r="W80">
        <v>3.5</v>
      </c>
      <c r="X80">
        <v>0</v>
      </c>
      <c r="Y80">
        <v>0</v>
      </c>
      <c r="Z80">
        <v>0</v>
      </c>
      <c r="AA80">
        <v>0.7</v>
      </c>
      <c r="AB80">
        <v>0</v>
      </c>
      <c r="AC80">
        <v>0</v>
      </c>
      <c r="AD80">
        <v>0</v>
      </c>
      <c r="AE80">
        <v>0</v>
      </c>
      <c r="AF80">
        <v>0.7</v>
      </c>
      <c r="AG80">
        <v>0</v>
      </c>
      <c r="AH80">
        <v>0</v>
      </c>
      <c r="AI80">
        <v>0</v>
      </c>
      <c r="AL80">
        <v>1</v>
      </c>
      <c r="AM80">
        <v>0</v>
      </c>
      <c r="AN80">
        <v>1</v>
      </c>
    </row>
    <row r="81" spans="1:40" x14ac:dyDescent="0.25">
      <c r="A81">
        <v>80</v>
      </c>
      <c r="B81" t="s">
        <v>426</v>
      </c>
      <c r="C81" t="s">
        <v>427</v>
      </c>
      <c r="D81" t="s">
        <v>428</v>
      </c>
      <c r="E81" t="s">
        <v>429</v>
      </c>
      <c r="F81" t="s">
        <v>132</v>
      </c>
      <c r="G81">
        <v>2</v>
      </c>
      <c r="H81">
        <v>1</v>
      </c>
      <c r="I81">
        <v>1110</v>
      </c>
      <c r="J81">
        <v>0</v>
      </c>
      <c r="K81">
        <v>0</v>
      </c>
      <c r="L81">
        <v>8342.9</v>
      </c>
      <c r="M81">
        <v>2875.1</v>
      </c>
      <c r="N81">
        <v>16421.599999999999</v>
      </c>
      <c r="O81">
        <v>404.8</v>
      </c>
      <c r="P81">
        <v>14820.3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3</v>
      </c>
      <c r="X81">
        <v>5</v>
      </c>
      <c r="Y81">
        <v>0</v>
      </c>
      <c r="Z81">
        <v>0</v>
      </c>
      <c r="AA81">
        <v>0</v>
      </c>
      <c r="AB81">
        <v>0</v>
      </c>
      <c r="AC81">
        <v>5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2023</v>
      </c>
      <c r="AK81">
        <v>1</v>
      </c>
      <c r="AL81">
        <v>1</v>
      </c>
      <c r="AM81">
        <v>1</v>
      </c>
      <c r="AN81">
        <v>0</v>
      </c>
    </row>
    <row r="82" spans="1:40" x14ac:dyDescent="0.25">
      <c r="A82">
        <v>81</v>
      </c>
      <c r="B82" t="s">
        <v>430</v>
      </c>
      <c r="C82" t="s">
        <v>431</v>
      </c>
      <c r="D82" t="s">
        <v>432</v>
      </c>
      <c r="E82" t="s">
        <v>433</v>
      </c>
      <c r="F82" t="s">
        <v>105</v>
      </c>
      <c r="G82">
        <v>3</v>
      </c>
      <c r="H82">
        <v>1</v>
      </c>
      <c r="I82">
        <v>1775</v>
      </c>
      <c r="J82">
        <v>0</v>
      </c>
      <c r="K82">
        <v>0</v>
      </c>
      <c r="L82">
        <v>4802.3999999999996</v>
      </c>
      <c r="M82">
        <v>2469.6</v>
      </c>
      <c r="N82">
        <v>6511.4</v>
      </c>
      <c r="O82">
        <v>1016.5</v>
      </c>
      <c r="P82">
        <v>6676</v>
      </c>
      <c r="Q82">
        <v>0</v>
      </c>
      <c r="R82">
        <v>0</v>
      </c>
      <c r="S82">
        <v>0</v>
      </c>
      <c r="T82">
        <v>0</v>
      </c>
      <c r="U82">
        <v>0</v>
      </c>
      <c r="V82">
        <v>0.62</v>
      </c>
      <c r="W82">
        <v>3</v>
      </c>
      <c r="X82">
        <v>0.62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0.62</v>
      </c>
      <c r="AG82">
        <v>0</v>
      </c>
      <c r="AH82">
        <v>0</v>
      </c>
      <c r="AI82">
        <v>0</v>
      </c>
      <c r="AL82">
        <v>0</v>
      </c>
      <c r="AM82">
        <v>0</v>
      </c>
      <c r="AN82">
        <v>0</v>
      </c>
    </row>
    <row r="83" spans="1:40" x14ac:dyDescent="0.25">
      <c r="A83">
        <v>82</v>
      </c>
      <c r="B83" t="s">
        <v>434</v>
      </c>
      <c r="C83" t="s">
        <v>435</v>
      </c>
      <c r="D83" t="s">
        <v>436</v>
      </c>
      <c r="E83" t="s">
        <v>437</v>
      </c>
      <c r="F83" t="s">
        <v>100</v>
      </c>
      <c r="G83">
        <v>1</v>
      </c>
      <c r="H83">
        <v>1</v>
      </c>
      <c r="I83">
        <v>576</v>
      </c>
      <c r="J83">
        <v>0</v>
      </c>
      <c r="K83">
        <v>1</v>
      </c>
      <c r="L83">
        <v>2541.1</v>
      </c>
      <c r="M83">
        <v>2421.3000000000002</v>
      </c>
      <c r="N83">
        <v>2900.2</v>
      </c>
      <c r="O83">
        <v>285.2</v>
      </c>
      <c r="P83">
        <v>2396.1999999999998</v>
      </c>
      <c r="Q83">
        <v>0</v>
      </c>
      <c r="R83">
        <v>0</v>
      </c>
      <c r="S83">
        <v>0</v>
      </c>
      <c r="T83">
        <v>0</v>
      </c>
      <c r="U83">
        <v>0</v>
      </c>
      <c r="V83">
        <v>0.12</v>
      </c>
      <c r="W83">
        <v>3</v>
      </c>
      <c r="X83">
        <v>0.12</v>
      </c>
      <c r="Y83">
        <v>0</v>
      </c>
      <c r="Z83">
        <v>0</v>
      </c>
      <c r="AA83">
        <v>0</v>
      </c>
      <c r="AB83">
        <v>0</v>
      </c>
      <c r="AC83">
        <v>0.12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L83">
        <v>0</v>
      </c>
      <c r="AM83">
        <v>0</v>
      </c>
      <c r="AN83">
        <v>0</v>
      </c>
    </row>
    <row r="84" spans="1:40" x14ac:dyDescent="0.25">
      <c r="A84">
        <v>83</v>
      </c>
      <c r="B84" t="s">
        <v>438</v>
      </c>
      <c r="C84" t="s">
        <v>439</v>
      </c>
      <c r="D84" t="s">
        <v>440</v>
      </c>
      <c r="E84" t="s">
        <v>413</v>
      </c>
      <c r="F84" t="s">
        <v>105</v>
      </c>
      <c r="G84">
        <v>1</v>
      </c>
      <c r="H84">
        <v>1</v>
      </c>
      <c r="I84">
        <v>313</v>
      </c>
      <c r="J84">
        <v>0</v>
      </c>
      <c r="K84">
        <v>0</v>
      </c>
      <c r="L84">
        <v>2110.9</v>
      </c>
      <c r="M84">
        <v>1506.2</v>
      </c>
      <c r="N84">
        <v>7867.3</v>
      </c>
      <c r="O84">
        <v>817.5</v>
      </c>
      <c r="P84">
        <v>9246.7999999999993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0.71</v>
      </c>
      <c r="W84">
        <v>3</v>
      </c>
      <c r="X84">
        <v>0.71</v>
      </c>
      <c r="Y84">
        <v>0</v>
      </c>
      <c r="Z84">
        <v>0</v>
      </c>
      <c r="AA84">
        <v>0</v>
      </c>
      <c r="AB84">
        <v>0</v>
      </c>
      <c r="AC84">
        <v>0.71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L84">
        <v>0</v>
      </c>
      <c r="AM84">
        <v>0</v>
      </c>
      <c r="AN84">
        <v>0</v>
      </c>
    </row>
    <row r="85" spans="1:40" x14ac:dyDescent="0.25">
      <c r="A85">
        <v>84</v>
      </c>
      <c r="B85" t="s">
        <v>441</v>
      </c>
      <c r="C85" t="s">
        <v>442</v>
      </c>
      <c r="D85" t="s">
        <v>443</v>
      </c>
      <c r="E85" t="s">
        <v>444</v>
      </c>
      <c r="F85" t="s">
        <v>363</v>
      </c>
      <c r="G85">
        <v>1</v>
      </c>
      <c r="H85">
        <v>1</v>
      </c>
      <c r="I85">
        <v>870</v>
      </c>
      <c r="J85">
        <v>1</v>
      </c>
      <c r="K85">
        <v>0</v>
      </c>
      <c r="L85">
        <v>2175.6999999999998</v>
      </c>
      <c r="M85">
        <v>1937.1</v>
      </c>
      <c r="N85">
        <v>3394.6</v>
      </c>
      <c r="O85">
        <v>0</v>
      </c>
      <c r="P85">
        <v>30007.7</v>
      </c>
      <c r="Q85">
        <v>0</v>
      </c>
      <c r="R85">
        <v>0</v>
      </c>
      <c r="S85">
        <v>0</v>
      </c>
      <c r="T85">
        <v>0</v>
      </c>
      <c r="U85">
        <v>0</v>
      </c>
      <c r="V85">
        <v>0.35</v>
      </c>
      <c r="W85">
        <v>3</v>
      </c>
      <c r="X85">
        <v>0.35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0.2</v>
      </c>
      <c r="AE85">
        <v>0.15</v>
      </c>
      <c r="AF85">
        <v>0</v>
      </c>
      <c r="AG85">
        <v>0.57142857142857151</v>
      </c>
      <c r="AH85">
        <v>0</v>
      </c>
      <c r="AI85">
        <v>0</v>
      </c>
      <c r="AL85">
        <v>0</v>
      </c>
      <c r="AM85">
        <v>0</v>
      </c>
      <c r="AN85">
        <v>0</v>
      </c>
    </row>
    <row r="86" spans="1:40" x14ac:dyDescent="0.25">
      <c r="A86">
        <v>85</v>
      </c>
      <c r="B86" t="s">
        <v>445</v>
      </c>
      <c r="C86" t="s">
        <v>446</v>
      </c>
      <c r="D86" t="s">
        <v>447</v>
      </c>
      <c r="E86" t="s">
        <v>448</v>
      </c>
      <c r="F86" t="s">
        <v>315</v>
      </c>
      <c r="G86">
        <v>1</v>
      </c>
      <c r="H86">
        <v>1</v>
      </c>
      <c r="I86">
        <v>706</v>
      </c>
      <c r="J86">
        <v>0</v>
      </c>
      <c r="K86">
        <v>0</v>
      </c>
      <c r="L86">
        <v>1239.3</v>
      </c>
      <c r="M86">
        <v>413.9</v>
      </c>
      <c r="N86">
        <v>2322</v>
      </c>
      <c r="O86">
        <v>75.5</v>
      </c>
      <c r="P86">
        <v>28935.1</v>
      </c>
      <c r="Q86">
        <v>0</v>
      </c>
      <c r="R86">
        <v>0</v>
      </c>
      <c r="S86">
        <v>0</v>
      </c>
      <c r="T86">
        <v>0</v>
      </c>
      <c r="U86">
        <v>0</v>
      </c>
      <c r="V86">
        <v>0.32</v>
      </c>
      <c r="W86">
        <v>3</v>
      </c>
      <c r="X86">
        <v>0.32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0.32</v>
      </c>
      <c r="AF86">
        <v>0</v>
      </c>
      <c r="AG86">
        <v>0</v>
      </c>
      <c r="AH86">
        <v>0</v>
      </c>
      <c r="AI86">
        <v>0</v>
      </c>
      <c r="AL86">
        <v>0</v>
      </c>
      <c r="AM86">
        <v>0</v>
      </c>
      <c r="AN86">
        <v>0</v>
      </c>
    </row>
    <row r="87" spans="1:40" x14ac:dyDescent="0.25">
      <c r="A87">
        <v>86</v>
      </c>
      <c r="B87" t="s">
        <v>449</v>
      </c>
      <c r="C87" t="s">
        <v>450</v>
      </c>
      <c r="D87" t="s">
        <v>451</v>
      </c>
      <c r="E87" t="s">
        <v>452</v>
      </c>
      <c r="F87" t="s">
        <v>363</v>
      </c>
      <c r="G87">
        <v>1</v>
      </c>
      <c r="H87">
        <v>1</v>
      </c>
      <c r="I87">
        <v>489</v>
      </c>
      <c r="J87">
        <v>1</v>
      </c>
      <c r="K87">
        <v>0</v>
      </c>
      <c r="L87">
        <v>609.29999999999995</v>
      </c>
      <c r="M87">
        <v>370.6</v>
      </c>
      <c r="N87">
        <v>1828.1</v>
      </c>
      <c r="O87">
        <v>75</v>
      </c>
      <c r="P87">
        <v>28441.3</v>
      </c>
      <c r="Q87">
        <v>0</v>
      </c>
      <c r="R87">
        <v>0</v>
      </c>
      <c r="S87">
        <v>0</v>
      </c>
      <c r="T87">
        <v>0</v>
      </c>
      <c r="U87">
        <v>0</v>
      </c>
      <c r="V87">
        <v>0.17</v>
      </c>
      <c r="W87">
        <v>3</v>
      </c>
      <c r="X87">
        <v>0.17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0.17</v>
      </c>
      <c r="AG87">
        <v>0</v>
      </c>
      <c r="AH87">
        <v>0</v>
      </c>
      <c r="AI87">
        <v>0</v>
      </c>
      <c r="AL87">
        <v>0</v>
      </c>
      <c r="AM87">
        <v>0</v>
      </c>
      <c r="AN87">
        <v>0</v>
      </c>
    </row>
    <row r="88" spans="1:40" x14ac:dyDescent="0.25">
      <c r="A88">
        <v>87</v>
      </c>
      <c r="B88" t="s">
        <v>453</v>
      </c>
      <c r="C88" t="s">
        <v>454</v>
      </c>
      <c r="D88" t="s">
        <v>455</v>
      </c>
      <c r="E88" t="s">
        <v>456</v>
      </c>
      <c r="F88" t="s">
        <v>363</v>
      </c>
      <c r="G88">
        <v>1</v>
      </c>
      <c r="H88">
        <v>1</v>
      </c>
      <c r="I88">
        <v>670</v>
      </c>
      <c r="J88">
        <v>0</v>
      </c>
      <c r="K88">
        <v>0</v>
      </c>
      <c r="L88">
        <v>9408.8282999999992</v>
      </c>
      <c r="M88">
        <v>9355</v>
      </c>
      <c r="N88">
        <v>14749.7</v>
      </c>
      <c r="O88">
        <v>139.69999999999999</v>
      </c>
      <c r="P88">
        <v>41472.5</v>
      </c>
      <c r="Q88">
        <v>0</v>
      </c>
      <c r="R88">
        <v>0</v>
      </c>
      <c r="S88">
        <v>0</v>
      </c>
      <c r="T88">
        <v>0</v>
      </c>
      <c r="U88">
        <v>0</v>
      </c>
      <c r="V88">
        <v>0.56999999999999995</v>
      </c>
      <c r="W88">
        <v>3</v>
      </c>
      <c r="X88">
        <v>0</v>
      </c>
      <c r="Y88">
        <v>0</v>
      </c>
      <c r="Z88">
        <v>0.56999999999999995</v>
      </c>
      <c r="AA88">
        <v>0</v>
      </c>
      <c r="AB88">
        <v>0</v>
      </c>
      <c r="AC88">
        <v>0</v>
      </c>
      <c r="AD88">
        <v>0</v>
      </c>
      <c r="AE88">
        <v>0.56999999999999995</v>
      </c>
      <c r="AF88">
        <v>0</v>
      </c>
      <c r="AG88">
        <v>0</v>
      </c>
      <c r="AH88">
        <v>0</v>
      </c>
      <c r="AI88">
        <v>0</v>
      </c>
      <c r="AL88">
        <v>0</v>
      </c>
      <c r="AM88">
        <v>0</v>
      </c>
      <c r="AN88">
        <v>0</v>
      </c>
    </row>
    <row r="89" spans="1:40" x14ac:dyDescent="0.25">
      <c r="A89">
        <v>88</v>
      </c>
      <c r="B89" t="s">
        <v>457</v>
      </c>
      <c r="C89" t="s">
        <v>458</v>
      </c>
      <c r="D89" t="s">
        <v>459</v>
      </c>
      <c r="E89" t="s">
        <v>460</v>
      </c>
      <c r="F89" t="s">
        <v>105</v>
      </c>
      <c r="G89">
        <v>2</v>
      </c>
      <c r="H89">
        <v>1</v>
      </c>
      <c r="I89">
        <v>903</v>
      </c>
      <c r="J89">
        <v>0</v>
      </c>
      <c r="K89">
        <v>0</v>
      </c>
      <c r="L89">
        <v>2999</v>
      </c>
      <c r="M89">
        <v>3569.4</v>
      </c>
      <c r="N89">
        <v>8755.4</v>
      </c>
      <c r="O89">
        <v>786</v>
      </c>
      <c r="P89">
        <v>9035.9</v>
      </c>
      <c r="Q89">
        <v>0</v>
      </c>
      <c r="R89">
        <v>0</v>
      </c>
      <c r="S89">
        <v>0</v>
      </c>
      <c r="T89">
        <v>0</v>
      </c>
      <c r="U89">
        <v>0</v>
      </c>
      <c r="V89">
        <v>2.12</v>
      </c>
      <c r="W89">
        <v>3.5</v>
      </c>
      <c r="X89">
        <v>1.6</v>
      </c>
      <c r="Y89">
        <v>0</v>
      </c>
      <c r="Z89">
        <v>0</v>
      </c>
      <c r="AA89">
        <v>0.52</v>
      </c>
      <c r="AB89">
        <v>0</v>
      </c>
      <c r="AC89">
        <v>0</v>
      </c>
      <c r="AD89">
        <v>0.4</v>
      </c>
      <c r="AE89">
        <v>0.6</v>
      </c>
      <c r="AF89">
        <v>1.1200000000000001</v>
      </c>
      <c r="AG89">
        <v>0.18867924528301891</v>
      </c>
      <c r="AH89">
        <v>1</v>
      </c>
      <c r="AI89">
        <v>3</v>
      </c>
      <c r="AJ89">
        <v>2023</v>
      </c>
      <c r="AK89">
        <v>1</v>
      </c>
      <c r="AL89">
        <v>0</v>
      </c>
      <c r="AM89">
        <v>0</v>
      </c>
      <c r="AN89">
        <v>0</v>
      </c>
    </row>
    <row r="90" spans="1:40" x14ac:dyDescent="0.25">
      <c r="A90">
        <v>89</v>
      </c>
      <c r="B90" t="s">
        <v>461</v>
      </c>
      <c r="C90" t="s">
        <v>462</v>
      </c>
      <c r="D90" t="s">
        <v>463</v>
      </c>
      <c r="E90" t="s">
        <v>464</v>
      </c>
      <c r="F90" t="s">
        <v>105</v>
      </c>
      <c r="G90">
        <v>2</v>
      </c>
      <c r="H90">
        <v>1</v>
      </c>
      <c r="I90">
        <v>1354</v>
      </c>
      <c r="J90">
        <v>0</v>
      </c>
      <c r="K90">
        <v>0</v>
      </c>
      <c r="L90">
        <v>2693.7</v>
      </c>
      <c r="M90">
        <v>1953.7</v>
      </c>
      <c r="N90">
        <v>5995.5</v>
      </c>
      <c r="O90">
        <v>1377.9</v>
      </c>
      <c r="P90">
        <v>6160.2</v>
      </c>
      <c r="Q90">
        <v>0</v>
      </c>
      <c r="R90">
        <v>0</v>
      </c>
      <c r="S90">
        <v>0</v>
      </c>
      <c r="T90">
        <v>0</v>
      </c>
      <c r="U90">
        <v>0</v>
      </c>
      <c r="V90">
        <v>1.91</v>
      </c>
      <c r="W90">
        <v>3</v>
      </c>
      <c r="X90">
        <v>1.91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0.4</v>
      </c>
      <c r="AF90">
        <v>1.51</v>
      </c>
      <c r="AG90">
        <v>0</v>
      </c>
      <c r="AH90">
        <v>1</v>
      </c>
      <c r="AI90">
        <v>3</v>
      </c>
      <c r="AJ90">
        <v>2023</v>
      </c>
      <c r="AK90">
        <v>1</v>
      </c>
      <c r="AL90">
        <v>1</v>
      </c>
      <c r="AM90">
        <v>0</v>
      </c>
      <c r="AN90">
        <v>1</v>
      </c>
    </row>
    <row r="91" spans="1:40" x14ac:dyDescent="0.25">
      <c r="A91">
        <v>90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  <c r="G91">
        <v>3</v>
      </c>
      <c r="H91">
        <v>2</v>
      </c>
      <c r="I91">
        <v>810</v>
      </c>
      <c r="J91">
        <v>0</v>
      </c>
      <c r="K91">
        <v>1</v>
      </c>
      <c r="L91">
        <v>18029.7</v>
      </c>
      <c r="M91">
        <v>13987</v>
      </c>
      <c r="N91">
        <v>20240.099999999999</v>
      </c>
      <c r="O91">
        <v>409.1</v>
      </c>
      <c r="P91">
        <v>20142.5</v>
      </c>
      <c r="Q91">
        <v>0</v>
      </c>
      <c r="R91">
        <v>0</v>
      </c>
      <c r="S91">
        <v>0</v>
      </c>
      <c r="T91">
        <v>0</v>
      </c>
      <c r="U91">
        <v>0</v>
      </c>
      <c r="V91">
        <v>7.78</v>
      </c>
      <c r="W91">
        <v>3</v>
      </c>
      <c r="X91">
        <v>5.88</v>
      </c>
      <c r="Y91">
        <v>0</v>
      </c>
      <c r="Z91">
        <v>0</v>
      </c>
      <c r="AA91">
        <v>1.9</v>
      </c>
      <c r="AB91">
        <v>0</v>
      </c>
      <c r="AC91">
        <v>0</v>
      </c>
      <c r="AD91">
        <v>4.78</v>
      </c>
      <c r="AE91">
        <v>1.1000000000000001</v>
      </c>
      <c r="AF91">
        <v>1.9</v>
      </c>
      <c r="AG91">
        <v>0.61439588688946012</v>
      </c>
      <c r="AH91">
        <v>0</v>
      </c>
      <c r="AI91">
        <v>0</v>
      </c>
      <c r="AL91">
        <v>1</v>
      </c>
      <c r="AM91">
        <v>0</v>
      </c>
      <c r="AN91">
        <v>1</v>
      </c>
    </row>
    <row r="92" spans="1:40" x14ac:dyDescent="0.2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132</v>
      </c>
      <c r="G92">
        <v>1</v>
      </c>
      <c r="H92">
        <v>1</v>
      </c>
      <c r="I92">
        <v>166</v>
      </c>
      <c r="J92">
        <v>0</v>
      </c>
      <c r="K92">
        <v>0</v>
      </c>
      <c r="L92">
        <v>23529</v>
      </c>
      <c r="M92">
        <v>19486.3</v>
      </c>
      <c r="N92">
        <v>25739.4</v>
      </c>
      <c r="O92">
        <v>2928.3</v>
      </c>
      <c r="P92">
        <v>25641.8</v>
      </c>
      <c r="Q92">
        <v>0</v>
      </c>
      <c r="R92">
        <v>0</v>
      </c>
      <c r="S92">
        <v>0</v>
      </c>
      <c r="T92">
        <v>0</v>
      </c>
      <c r="U92">
        <v>0</v>
      </c>
      <c r="V92">
        <v>0.97</v>
      </c>
      <c r="W92">
        <v>1.5</v>
      </c>
      <c r="X92">
        <v>0</v>
      </c>
      <c r="Y92">
        <v>0</v>
      </c>
      <c r="Z92">
        <v>0.97</v>
      </c>
      <c r="AA92">
        <v>0</v>
      </c>
      <c r="AB92">
        <v>0</v>
      </c>
      <c r="AC92">
        <v>0.3</v>
      </c>
      <c r="AD92">
        <v>0</v>
      </c>
      <c r="AE92">
        <v>0</v>
      </c>
      <c r="AF92">
        <v>0.67</v>
      </c>
      <c r="AG92">
        <v>0.30927835051546387</v>
      </c>
      <c r="AH92">
        <v>1</v>
      </c>
      <c r="AI92">
        <v>1</v>
      </c>
      <c r="AJ92">
        <v>2023</v>
      </c>
      <c r="AK92">
        <v>1</v>
      </c>
      <c r="AL92">
        <v>0</v>
      </c>
      <c r="AM92">
        <v>0</v>
      </c>
      <c r="AN92">
        <v>0</v>
      </c>
    </row>
    <row r="93" spans="1:40" x14ac:dyDescent="0.25">
      <c r="A93">
        <v>92</v>
      </c>
      <c r="B93" t="s">
        <v>474</v>
      </c>
      <c r="C93" t="s">
        <v>475</v>
      </c>
      <c r="D93" t="s">
        <v>476</v>
      </c>
      <c r="E93" t="s">
        <v>477</v>
      </c>
      <c r="F93" t="s">
        <v>132</v>
      </c>
      <c r="G93">
        <v>2</v>
      </c>
      <c r="H93">
        <v>1</v>
      </c>
      <c r="I93">
        <v>622</v>
      </c>
      <c r="J93">
        <v>0</v>
      </c>
      <c r="K93">
        <v>0</v>
      </c>
      <c r="L93">
        <v>20707.8</v>
      </c>
      <c r="M93">
        <v>16665</v>
      </c>
      <c r="N93">
        <v>22918.2</v>
      </c>
      <c r="O93">
        <v>1957.6</v>
      </c>
      <c r="P93">
        <v>22820.5</v>
      </c>
      <c r="Q93">
        <v>0</v>
      </c>
      <c r="R93">
        <v>0</v>
      </c>
      <c r="S93">
        <v>0</v>
      </c>
      <c r="T93">
        <v>0</v>
      </c>
      <c r="U93">
        <v>0</v>
      </c>
      <c r="V93">
        <v>4.1900000000000004</v>
      </c>
      <c r="W93">
        <v>3</v>
      </c>
      <c r="X93">
        <v>4.1900000000000004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2.99</v>
      </c>
      <c r="AE93">
        <v>1.2</v>
      </c>
      <c r="AF93">
        <v>0</v>
      </c>
      <c r="AG93">
        <v>0.71360381861575173</v>
      </c>
      <c r="AH93">
        <v>0</v>
      </c>
      <c r="AI93">
        <v>0</v>
      </c>
      <c r="AL93">
        <v>1</v>
      </c>
      <c r="AM93">
        <v>1</v>
      </c>
      <c r="AN93">
        <v>0</v>
      </c>
    </row>
    <row r="94" spans="1:40" x14ac:dyDescent="0.25">
      <c r="A94">
        <v>93</v>
      </c>
      <c r="B94" t="s">
        <v>238</v>
      </c>
      <c r="C94" t="s">
        <v>478</v>
      </c>
      <c r="D94" t="s">
        <v>479</v>
      </c>
      <c r="E94" t="s">
        <v>480</v>
      </c>
      <c r="F94" t="s">
        <v>132</v>
      </c>
      <c r="G94">
        <v>1</v>
      </c>
      <c r="H94">
        <v>1</v>
      </c>
      <c r="I94">
        <v>251</v>
      </c>
      <c r="J94">
        <v>0</v>
      </c>
      <c r="K94">
        <v>0</v>
      </c>
      <c r="L94">
        <v>17179.099999999999</v>
      </c>
      <c r="M94">
        <v>13136.4</v>
      </c>
      <c r="N94">
        <v>19389.5</v>
      </c>
      <c r="O94">
        <v>558.29999999999995</v>
      </c>
      <c r="P94">
        <v>19291.8</v>
      </c>
      <c r="Q94">
        <v>0</v>
      </c>
      <c r="R94">
        <v>0</v>
      </c>
      <c r="S94">
        <v>0</v>
      </c>
      <c r="T94">
        <v>0</v>
      </c>
      <c r="U94">
        <v>0</v>
      </c>
      <c r="V94">
        <v>0.3</v>
      </c>
      <c r="W94">
        <v>3</v>
      </c>
      <c r="X94">
        <v>0</v>
      </c>
      <c r="Y94">
        <v>0</v>
      </c>
      <c r="Z94">
        <v>0.2</v>
      </c>
      <c r="AA94">
        <v>0.1</v>
      </c>
      <c r="AB94">
        <v>0</v>
      </c>
      <c r="AC94">
        <v>0</v>
      </c>
      <c r="AD94">
        <v>0</v>
      </c>
      <c r="AE94">
        <v>0.2</v>
      </c>
      <c r="AF94">
        <v>0.1</v>
      </c>
      <c r="AG94">
        <v>0</v>
      </c>
      <c r="AH94">
        <v>0</v>
      </c>
      <c r="AI94">
        <v>0</v>
      </c>
      <c r="AL94">
        <v>0</v>
      </c>
      <c r="AM94">
        <v>0</v>
      </c>
      <c r="AN94">
        <v>0</v>
      </c>
    </row>
    <row r="95" spans="1:40" x14ac:dyDescent="0.25">
      <c r="A95">
        <v>94</v>
      </c>
      <c r="B95" t="s">
        <v>481</v>
      </c>
      <c r="C95" t="s">
        <v>482</v>
      </c>
      <c r="D95" t="s">
        <v>483</v>
      </c>
      <c r="E95" t="s">
        <v>484</v>
      </c>
      <c r="F95" t="s">
        <v>176</v>
      </c>
      <c r="G95">
        <v>2</v>
      </c>
      <c r="H95">
        <v>1</v>
      </c>
      <c r="I95">
        <v>1505</v>
      </c>
      <c r="J95">
        <v>0</v>
      </c>
      <c r="K95">
        <v>0</v>
      </c>
      <c r="L95">
        <v>2537.1999999999998</v>
      </c>
      <c r="M95">
        <v>2687.3</v>
      </c>
      <c r="N95">
        <v>910.5</v>
      </c>
      <c r="O95">
        <v>858.4</v>
      </c>
      <c r="P95">
        <v>2582.3000000000002</v>
      </c>
      <c r="Q95">
        <v>0</v>
      </c>
      <c r="R95">
        <v>0</v>
      </c>
      <c r="S95">
        <v>0</v>
      </c>
      <c r="T95">
        <v>0</v>
      </c>
      <c r="U95">
        <v>0</v>
      </c>
      <c r="V95">
        <v>0.9</v>
      </c>
      <c r="W95">
        <v>3</v>
      </c>
      <c r="X95">
        <v>0.9</v>
      </c>
      <c r="Y95">
        <v>0</v>
      </c>
      <c r="Z95">
        <v>0</v>
      </c>
      <c r="AA95">
        <v>0</v>
      </c>
      <c r="AB95">
        <v>0</v>
      </c>
      <c r="AC95">
        <v>0.5</v>
      </c>
      <c r="AD95">
        <v>0.4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2023</v>
      </c>
      <c r="AK95">
        <v>1</v>
      </c>
      <c r="AL95">
        <v>1</v>
      </c>
      <c r="AM95">
        <v>1</v>
      </c>
      <c r="AN95">
        <v>0</v>
      </c>
    </row>
    <row r="96" spans="1:40" x14ac:dyDescent="0.25">
      <c r="A96">
        <v>95</v>
      </c>
      <c r="B96" t="s">
        <v>485</v>
      </c>
      <c r="C96" t="s">
        <v>486</v>
      </c>
      <c r="D96" t="s">
        <v>487</v>
      </c>
      <c r="E96" t="s">
        <v>488</v>
      </c>
      <c r="F96" t="s">
        <v>489</v>
      </c>
      <c r="G96">
        <v>2</v>
      </c>
      <c r="H96">
        <v>2</v>
      </c>
      <c r="I96">
        <v>1298</v>
      </c>
      <c r="J96">
        <v>0</v>
      </c>
      <c r="K96">
        <v>0</v>
      </c>
      <c r="L96">
        <v>2325.9</v>
      </c>
      <c r="M96">
        <v>2475.9</v>
      </c>
      <c r="N96">
        <v>1443.4</v>
      </c>
      <c r="O96">
        <v>1418.4</v>
      </c>
      <c r="P96">
        <v>2371</v>
      </c>
      <c r="Q96">
        <v>0</v>
      </c>
      <c r="R96">
        <v>0</v>
      </c>
      <c r="S96">
        <v>0</v>
      </c>
      <c r="T96">
        <v>0</v>
      </c>
      <c r="U96">
        <v>0</v>
      </c>
      <c r="V96">
        <v>1.43</v>
      </c>
      <c r="W96">
        <v>3</v>
      </c>
      <c r="X96">
        <v>1.43</v>
      </c>
      <c r="Y96">
        <v>0</v>
      </c>
      <c r="Z96">
        <v>0</v>
      </c>
      <c r="AA96">
        <v>0</v>
      </c>
      <c r="AB96">
        <v>0</v>
      </c>
      <c r="AC96">
        <v>1.43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L96">
        <v>0</v>
      </c>
      <c r="AM96">
        <v>0</v>
      </c>
      <c r="AN96">
        <v>0</v>
      </c>
    </row>
    <row r="97" spans="1:40" x14ac:dyDescent="0.25">
      <c r="A97">
        <v>96</v>
      </c>
      <c r="B97" t="s">
        <v>490</v>
      </c>
      <c r="C97" t="s">
        <v>491</v>
      </c>
      <c r="D97" t="s">
        <v>492</v>
      </c>
      <c r="E97" t="s">
        <v>493</v>
      </c>
      <c r="F97" t="s">
        <v>494</v>
      </c>
      <c r="G97">
        <v>3</v>
      </c>
      <c r="H97">
        <v>3</v>
      </c>
      <c r="I97">
        <v>2554</v>
      </c>
      <c r="J97">
        <v>0</v>
      </c>
      <c r="K97">
        <v>0</v>
      </c>
      <c r="L97">
        <v>2409.4</v>
      </c>
      <c r="M97">
        <v>2559.5</v>
      </c>
      <c r="N97">
        <v>1239.3</v>
      </c>
      <c r="O97">
        <v>370.5</v>
      </c>
      <c r="P97">
        <v>2727.8</v>
      </c>
      <c r="Q97">
        <v>0</v>
      </c>
      <c r="R97">
        <v>0</v>
      </c>
      <c r="S97">
        <v>0</v>
      </c>
      <c r="T97">
        <v>0</v>
      </c>
      <c r="U97">
        <v>0</v>
      </c>
      <c r="V97">
        <v>1.17</v>
      </c>
      <c r="W97">
        <v>3.5</v>
      </c>
      <c r="X97">
        <v>1.17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1.17</v>
      </c>
      <c r="AF97">
        <v>0</v>
      </c>
      <c r="AG97">
        <v>0</v>
      </c>
      <c r="AH97">
        <v>1</v>
      </c>
      <c r="AI97">
        <v>1</v>
      </c>
      <c r="AJ97">
        <v>2023</v>
      </c>
      <c r="AK97">
        <v>1</v>
      </c>
      <c r="AL97">
        <v>1</v>
      </c>
      <c r="AM97">
        <v>0</v>
      </c>
      <c r="AN97">
        <v>1</v>
      </c>
    </row>
    <row r="98" spans="1:40" x14ac:dyDescent="0.25">
      <c r="A98">
        <v>97</v>
      </c>
      <c r="B98" t="s">
        <v>495</v>
      </c>
      <c r="C98" t="s">
        <v>496</v>
      </c>
      <c r="D98" t="s">
        <v>497</v>
      </c>
      <c r="E98" t="s">
        <v>498</v>
      </c>
      <c r="F98" t="s">
        <v>176</v>
      </c>
      <c r="G98">
        <v>2</v>
      </c>
      <c r="H98">
        <v>1</v>
      </c>
      <c r="I98">
        <v>1245</v>
      </c>
      <c r="J98">
        <v>0</v>
      </c>
      <c r="K98">
        <v>1</v>
      </c>
      <c r="L98">
        <v>2781.2</v>
      </c>
      <c r="M98">
        <v>2931.3</v>
      </c>
      <c r="N98">
        <v>1637.8</v>
      </c>
      <c r="O98">
        <v>705.9</v>
      </c>
      <c r="P98">
        <v>3099.5</v>
      </c>
      <c r="Q98">
        <v>0</v>
      </c>
      <c r="R98">
        <v>0</v>
      </c>
      <c r="S98">
        <v>0</v>
      </c>
      <c r="T98">
        <v>0</v>
      </c>
      <c r="U98">
        <v>0</v>
      </c>
      <c r="V98">
        <v>0.78</v>
      </c>
      <c r="W98">
        <v>3.5</v>
      </c>
      <c r="X98">
        <v>0</v>
      </c>
      <c r="Y98">
        <v>0</v>
      </c>
      <c r="Z98">
        <v>0</v>
      </c>
      <c r="AA98">
        <v>0.78</v>
      </c>
      <c r="AB98">
        <v>0</v>
      </c>
      <c r="AC98">
        <v>0</v>
      </c>
      <c r="AD98">
        <v>0</v>
      </c>
      <c r="AE98">
        <v>0</v>
      </c>
      <c r="AF98">
        <v>0.78</v>
      </c>
      <c r="AG98">
        <v>0</v>
      </c>
      <c r="AH98">
        <v>0</v>
      </c>
      <c r="AI98">
        <v>0</v>
      </c>
      <c r="AL98">
        <v>1</v>
      </c>
      <c r="AM98">
        <v>0</v>
      </c>
      <c r="AN98">
        <v>1</v>
      </c>
    </row>
    <row r="99" spans="1:40" x14ac:dyDescent="0.25">
      <c r="A99">
        <v>98</v>
      </c>
      <c r="B99" t="s">
        <v>499</v>
      </c>
      <c r="C99" t="s">
        <v>500</v>
      </c>
      <c r="D99" t="s">
        <v>501</v>
      </c>
      <c r="E99" t="s">
        <v>502</v>
      </c>
      <c r="F99" t="s">
        <v>503</v>
      </c>
      <c r="G99">
        <v>4</v>
      </c>
      <c r="H99">
        <v>2</v>
      </c>
      <c r="I99">
        <v>2916</v>
      </c>
      <c r="J99">
        <v>0</v>
      </c>
      <c r="K99">
        <v>1</v>
      </c>
      <c r="L99">
        <v>2573.5</v>
      </c>
      <c r="M99">
        <v>2569.4</v>
      </c>
      <c r="N99">
        <v>3230</v>
      </c>
      <c r="O99">
        <v>535.6</v>
      </c>
      <c r="P99">
        <v>4628.6000000000004</v>
      </c>
      <c r="Q99">
        <v>0</v>
      </c>
      <c r="R99">
        <v>0</v>
      </c>
      <c r="S99">
        <v>0</v>
      </c>
      <c r="T99">
        <v>0</v>
      </c>
      <c r="U99">
        <v>0</v>
      </c>
      <c r="V99">
        <v>4.9400000000000004</v>
      </c>
      <c r="W99">
        <v>3.5</v>
      </c>
      <c r="X99">
        <v>4.9400000000000004</v>
      </c>
      <c r="Y99">
        <v>0</v>
      </c>
      <c r="Z99">
        <v>0</v>
      </c>
      <c r="AA99">
        <v>0</v>
      </c>
      <c r="AB99">
        <v>0</v>
      </c>
      <c r="AC99">
        <v>4.9400000000000004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2023</v>
      </c>
      <c r="AK99">
        <v>1</v>
      </c>
      <c r="AL99">
        <v>0</v>
      </c>
      <c r="AM99">
        <v>0</v>
      </c>
      <c r="AN99">
        <v>0</v>
      </c>
    </row>
    <row r="100" spans="1:40" x14ac:dyDescent="0.25">
      <c r="A100">
        <v>99</v>
      </c>
      <c r="B100" t="s">
        <v>504</v>
      </c>
      <c r="C100" t="s">
        <v>505</v>
      </c>
      <c r="D100" t="s">
        <v>506</v>
      </c>
      <c r="E100" t="s">
        <v>507</v>
      </c>
      <c r="F100" t="s">
        <v>363</v>
      </c>
      <c r="G100">
        <v>2</v>
      </c>
      <c r="H100">
        <v>1</v>
      </c>
      <c r="I100">
        <v>1435</v>
      </c>
      <c r="J100">
        <v>1</v>
      </c>
      <c r="K100">
        <v>0</v>
      </c>
      <c r="L100">
        <v>9408.7999999999993</v>
      </c>
      <c r="M100">
        <v>11892.5</v>
      </c>
      <c r="N100">
        <v>17293.2</v>
      </c>
      <c r="O100">
        <v>87.8</v>
      </c>
      <c r="P100">
        <v>43906.3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4.0999999999999996</v>
      </c>
      <c r="W100">
        <v>3</v>
      </c>
      <c r="X100">
        <v>0</v>
      </c>
      <c r="Y100">
        <v>0</v>
      </c>
      <c r="Z100">
        <v>2.4</v>
      </c>
      <c r="AA100">
        <v>0</v>
      </c>
      <c r="AB100">
        <v>1.7</v>
      </c>
      <c r="AC100">
        <v>0.4</v>
      </c>
      <c r="AD100">
        <v>0</v>
      </c>
      <c r="AE100">
        <v>2</v>
      </c>
      <c r="AF100">
        <v>1.7</v>
      </c>
      <c r="AG100">
        <v>9.7560975609756115E-2</v>
      </c>
      <c r="AH100">
        <v>1</v>
      </c>
      <c r="AI100">
        <v>2</v>
      </c>
      <c r="AJ100">
        <v>2023</v>
      </c>
      <c r="AK100">
        <v>1</v>
      </c>
      <c r="AL100">
        <v>0</v>
      </c>
      <c r="AM100">
        <v>0</v>
      </c>
      <c r="AN100">
        <v>0</v>
      </c>
    </row>
    <row r="101" spans="1:40" x14ac:dyDescent="0.25">
      <c r="A101">
        <v>100</v>
      </c>
      <c r="B101" t="s">
        <v>508</v>
      </c>
      <c r="C101" t="s">
        <v>509</v>
      </c>
      <c r="D101" t="s">
        <v>510</v>
      </c>
      <c r="E101" t="s">
        <v>511</v>
      </c>
      <c r="F101" t="s">
        <v>315</v>
      </c>
      <c r="G101">
        <v>1</v>
      </c>
      <c r="H101">
        <v>1</v>
      </c>
      <c r="I101">
        <v>741</v>
      </c>
      <c r="J101">
        <v>0</v>
      </c>
      <c r="K101">
        <v>0</v>
      </c>
      <c r="L101">
        <v>2252</v>
      </c>
      <c r="M101">
        <v>901.6</v>
      </c>
      <c r="N101">
        <v>3290.5</v>
      </c>
      <c r="O101">
        <v>0</v>
      </c>
      <c r="P101">
        <v>29903.599999999999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0.21</v>
      </c>
      <c r="W101">
        <v>3</v>
      </c>
      <c r="X101">
        <v>0.21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0.21</v>
      </c>
      <c r="AE101">
        <v>0</v>
      </c>
      <c r="AF101">
        <v>0</v>
      </c>
      <c r="AG101">
        <v>1</v>
      </c>
      <c r="AH101">
        <v>0</v>
      </c>
      <c r="AI101">
        <v>0</v>
      </c>
      <c r="AL101">
        <v>0</v>
      </c>
      <c r="AM101">
        <v>0</v>
      </c>
      <c r="AN101">
        <v>0</v>
      </c>
    </row>
    <row r="102" spans="1:40" x14ac:dyDescent="0.25">
      <c r="A102">
        <v>101</v>
      </c>
      <c r="B102" t="s">
        <v>512</v>
      </c>
      <c r="C102" t="s">
        <v>513</v>
      </c>
      <c r="D102" t="s">
        <v>514</v>
      </c>
      <c r="E102" t="s">
        <v>515</v>
      </c>
      <c r="F102" t="s">
        <v>310</v>
      </c>
      <c r="G102">
        <v>2</v>
      </c>
      <c r="H102">
        <v>1</v>
      </c>
      <c r="I102">
        <v>501</v>
      </c>
      <c r="J102">
        <v>0</v>
      </c>
      <c r="K102">
        <v>0</v>
      </c>
      <c r="L102">
        <v>38688.800000000003</v>
      </c>
      <c r="M102">
        <v>4781.2</v>
      </c>
      <c r="N102">
        <v>40899.199999999997</v>
      </c>
      <c r="O102">
        <v>918.1</v>
      </c>
      <c r="P102">
        <v>40801.599999999999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2.7</v>
      </c>
      <c r="W102">
        <v>2</v>
      </c>
      <c r="X102">
        <v>0</v>
      </c>
      <c r="Y102">
        <v>0</v>
      </c>
      <c r="Z102">
        <v>2.2999999999999998</v>
      </c>
      <c r="AA102">
        <v>0</v>
      </c>
      <c r="AB102">
        <v>0.4</v>
      </c>
      <c r="AC102">
        <v>0.2</v>
      </c>
      <c r="AD102">
        <v>1.4</v>
      </c>
      <c r="AE102">
        <v>0</v>
      </c>
      <c r="AF102">
        <v>1.1000000000000001</v>
      </c>
      <c r="AG102">
        <v>0.59259259259259256</v>
      </c>
      <c r="AH102">
        <v>1</v>
      </c>
      <c r="AI102">
        <v>1</v>
      </c>
      <c r="AJ102">
        <v>2022</v>
      </c>
      <c r="AK102">
        <v>2</v>
      </c>
      <c r="AL102">
        <v>1</v>
      </c>
      <c r="AM102">
        <v>1</v>
      </c>
      <c r="AN102">
        <v>0</v>
      </c>
    </row>
    <row r="103" spans="1:40" x14ac:dyDescent="0.25">
      <c r="A103">
        <v>102</v>
      </c>
      <c r="B103" t="s">
        <v>516</v>
      </c>
      <c r="C103" t="s">
        <v>517</v>
      </c>
      <c r="D103" t="s">
        <v>518</v>
      </c>
      <c r="E103" t="s">
        <v>519</v>
      </c>
      <c r="F103" t="s">
        <v>310</v>
      </c>
      <c r="G103">
        <v>1</v>
      </c>
      <c r="H103">
        <v>1</v>
      </c>
      <c r="I103">
        <v>235</v>
      </c>
      <c r="J103">
        <v>0</v>
      </c>
      <c r="K103">
        <v>0</v>
      </c>
      <c r="L103">
        <v>41201.5</v>
      </c>
      <c r="M103">
        <v>7293.9</v>
      </c>
      <c r="N103">
        <v>43411.9</v>
      </c>
      <c r="O103">
        <v>1185.3</v>
      </c>
      <c r="P103">
        <v>43314.3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5.25</v>
      </c>
      <c r="W103">
        <v>2</v>
      </c>
      <c r="X103">
        <v>0</v>
      </c>
      <c r="Y103">
        <v>0</v>
      </c>
      <c r="Z103">
        <v>5.25</v>
      </c>
      <c r="AA103">
        <v>0</v>
      </c>
      <c r="AB103">
        <v>0</v>
      </c>
      <c r="AC103">
        <v>0</v>
      </c>
      <c r="AD103">
        <v>0.6</v>
      </c>
      <c r="AE103">
        <v>1.4</v>
      </c>
      <c r="AF103">
        <v>3.25</v>
      </c>
      <c r="AG103">
        <v>0.1142857142857143</v>
      </c>
      <c r="AH103">
        <v>1</v>
      </c>
      <c r="AI103">
        <v>3</v>
      </c>
      <c r="AJ103">
        <v>2023</v>
      </c>
      <c r="AK103">
        <v>1</v>
      </c>
      <c r="AL103">
        <v>0</v>
      </c>
      <c r="AM103">
        <v>0</v>
      </c>
      <c r="AN103">
        <v>0</v>
      </c>
    </row>
    <row r="104" spans="1:40" x14ac:dyDescent="0.25">
      <c r="A104">
        <v>103</v>
      </c>
      <c r="B104" t="s">
        <v>520</v>
      </c>
      <c r="C104" t="s">
        <v>521</v>
      </c>
      <c r="D104" t="s">
        <v>522</v>
      </c>
      <c r="E104" t="s">
        <v>523</v>
      </c>
      <c r="F104" t="s">
        <v>176</v>
      </c>
      <c r="G104">
        <v>2</v>
      </c>
      <c r="H104">
        <v>1</v>
      </c>
      <c r="I104">
        <v>424</v>
      </c>
      <c r="J104">
        <v>0</v>
      </c>
      <c r="K104">
        <v>1</v>
      </c>
      <c r="L104">
        <v>3313.7</v>
      </c>
      <c r="M104">
        <v>1973.7</v>
      </c>
      <c r="N104">
        <v>6467.9</v>
      </c>
      <c r="O104">
        <v>0</v>
      </c>
      <c r="P104">
        <v>8139.8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0.64</v>
      </c>
      <c r="W104">
        <v>3</v>
      </c>
      <c r="X104">
        <v>0.64</v>
      </c>
      <c r="Y104">
        <v>0</v>
      </c>
      <c r="Z104">
        <v>0</v>
      </c>
      <c r="AA104">
        <v>0</v>
      </c>
      <c r="AB104">
        <v>0</v>
      </c>
      <c r="AC104">
        <v>0.64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2021</v>
      </c>
      <c r="AK104">
        <v>3</v>
      </c>
      <c r="AL104">
        <v>0</v>
      </c>
      <c r="AM104">
        <v>0</v>
      </c>
      <c r="AN104">
        <v>0</v>
      </c>
    </row>
    <row r="105" spans="1:40" x14ac:dyDescent="0.25">
      <c r="A105">
        <v>104</v>
      </c>
      <c r="B105" t="s">
        <v>524</v>
      </c>
      <c r="C105" t="s">
        <v>525</v>
      </c>
      <c r="D105" t="s">
        <v>526</v>
      </c>
      <c r="E105" t="s">
        <v>527</v>
      </c>
      <c r="F105" t="s">
        <v>176</v>
      </c>
      <c r="G105">
        <v>3</v>
      </c>
      <c r="H105">
        <v>1</v>
      </c>
      <c r="I105">
        <v>1055</v>
      </c>
      <c r="J105">
        <v>0</v>
      </c>
      <c r="K105">
        <v>1</v>
      </c>
      <c r="L105">
        <v>3751.3</v>
      </c>
      <c r="M105">
        <v>3431.5</v>
      </c>
      <c r="N105">
        <v>7925.7</v>
      </c>
      <c r="O105">
        <v>1826.6</v>
      </c>
      <c r="P105">
        <v>9597.5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2.66</v>
      </c>
      <c r="W105">
        <v>3</v>
      </c>
      <c r="X105">
        <v>0.8</v>
      </c>
      <c r="Y105">
        <v>0</v>
      </c>
      <c r="Z105">
        <v>0</v>
      </c>
      <c r="AA105">
        <v>1.86</v>
      </c>
      <c r="AB105">
        <v>0</v>
      </c>
      <c r="AC105">
        <v>0</v>
      </c>
      <c r="AD105">
        <v>0.8</v>
      </c>
      <c r="AE105">
        <v>0</v>
      </c>
      <c r="AF105">
        <v>1.86</v>
      </c>
      <c r="AG105">
        <v>0.3007518796992481</v>
      </c>
      <c r="AH105">
        <v>0</v>
      </c>
      <c r="AI105">
        <v>0</v>
      </c>
      <c r="AL105">
        <v>1</v>
      </c>
      <c r="AM105">
        <v>1</v>
      </c>
      <c r="AN105">
        <v>0</v>
      </c>
    </row>
    <row r="106" spans="1:40" x14ac:dyDescent="0.25">
      <c r="A106">
        <v>105</v>
      </c>
      <c r="B106" t="s">
        <v>528</v>
      </c>
      <c r="C106" t="s">
        <v>529</v>
      </c>
      <c r="D106" t="s">
        <v>530</v>
      </c>
      <c r="E106" t="s">
        <v>531</v>
      </c>
      <c r="F106" t="s">
        <v>310</v>
      </c>
      <c r="G106">
        <v>1</v>
      </c>
      <c r="H106">
        <v>1</v>
      </c>
      <c r="I106">
        <v>238</v>
      </c>
      <c r="J106">
        <v>0</v>
      </c>
      <c r="K106">
        <v>0</v>
      </c>
      <c r="L106">
        <v>33381.9</v>
      </c>
      <c r="M106">
        <v>3247.9</v>
      </c>
      <c r="N106">
        <v>35592.300000000003</v>
      </c>
      <c r="O106">
        <v>1965.4</v>
      </c>
      <c r="P106">
        <v>35494.699999999997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7</v>
      </c>
      <c r="W106">
        <v>1.5</v>
      </c>
      <c r="X106">
        <v>0</v>
      </c>
      <c r="Y106">
        <v>0</v>
      </c>
      <c r="Z106">
        <v>7</v>
      </c>
      <c r="AA106">
        <v>0</v>
      </c>
      <c r="AB106">
        <v>0</v>
      </c>
      <c r="AC106">
        <v>0.2</v>
      </c>
      <c r="AD106">
        <v>5.4</v>
      </c>
      <c r="AE106">
        <v>1</v>
      </c>
      <c r="AF106">
        <v>0.4</v>
      </c>
      <c r="AG106">
        <v>0.79999999999999993</v>
      </c>
      <c r="AH106">
        <v>0</v>
      </c>
      <c r="AI106">
        <v>0</v>
      </c>
      <c r="AL106">
        <v>0</v>
      </c>
      <c r="AM106">
        <v>0</v>
      </c>
      <c r="AN106">
        <v>0</v>
      </c>
    </row>
    <row r="107" spans="1:40" x14ac:dyDescent="0.25">
      <c r="A107">
        <v>106</v>
      </c>
      <c r="B107" t="s">
        <v>532</v>
      </c>
      <c r="C107" t="s">
        <v>533</v>
      </c>
      <c r="D107" t="s">
        <v>534</v>
      </c>
      <c r="E107" t="s">
        <v>358</v>
      </c>
      <c r="F107" t="s">
        <v>310</v>
      </c>
      <c r="G107">
        <v>1</v>
      </c>
      <c r="H107">
        <v>1</v>
      </c>
      <c r="I107">
        <v>474</v>
      </c>
      <c r="J107">
        <v>1</v>
      </c>
      <c r="K107">
        <v>0</v>
      </c>
      <c r="L107">
        <v>25538.1</v>
      </c>
      <c r="M107">
        <v>10172.5</v>
      </c>
      <c r="N107">
        <v>27748.5</v>
      </c>
      <c r="O107">
        <v>827.3</v>
      </c>
      <c r="P107">
        <v>27650.9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1.79</v>
      </c>
      <c r="W107">
        <v>3</v>
      </c>
      <c r="X107">
        <v>1.79</v>
      </c>
      <c r="Y107">
        <v>0</v>
      </c>
      <c r="Z107">
        <v>0</v>
      </c>
      <c r="AA107">
        <v>0</v>
      </c>
      <c r="AB107">
        <v>0</v>
      </c>
      <c r="AC107">
        <v>1.79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L107">
        <v>0</v>
      </c>
      <c r="AM107">
        <v>0</v>
      </c>
      <c r="AN107">
        <v>0</v>
      </c>
    </row>
    <row r="108" spans="1:40" x14ac:dyDescent="0.25">
      <c r="A108">
        <v>107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  <c r="G108">
        <v>2</v>
      </c>
      <c r="H108">
        <v>2</v>
      </c>
      <c r="I108">
        <v>1048</v>
      </c>
      <c r="J108">
        <v>0</v>
      </c>
      <c r="K108">
        <v>1</v>
      </c>
      <c r="L108">
        <v>4947.1000000000004</v>
      </c>
      <c r="M108">
        <v>4916.3999999999996</v>
      </c>
      <c r="N108">
        <v>10139.1</v>
      </c>
      <c r="O108">
        <v>2876.1</v>
      </c>
      <c r="P108">
        <v>11810.9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3.69</v>
      </c>
      <c r="W108">
        <v>3.5</v>
      </c>
      <c r="X108">
        <v>2.8</v>
      </c>
      <c r="Y108">
        <v>0</v>
      </c>
      <c r="Z108">
        <v>0</v>
      </c>
      <c r="AA108">
        <v>0.89</v>
      </c>
      <c r="AB108">
        <v>0</v>
      </c>
      <c r="AC108">
        <v>0</v>
      </c>
      <c r="AD108">
        <v>0</v>
      </c>
      <c r="AE108">
        <v>2.8</v>
      </c>
      <c r="AF108">
        <v>0.89</v>
      </c>
      <c r="AG108">
        <v>0</v>
      </c>
      <c r="AH108">
        <v>0</v>
      </c>
      <c r="AI108">
        <v>0</v>
      </c>
      <c r="AL108">
        <v>0</v>
      </c>
      <c r="AM108">
        <v>0</v>
      </c>
      <c r="AN108">
        <v>0</v>
      </c>
    </row>
    <row r="109" spans="1:40" x14ac:dyDescent="0.25">
      <c r="A109">
        <v>108</v>
      </c>
      <c r="B109" t="s">
        <v>540</v>
      </c>
      <c r="C109" t="s">
        <v>541</v>
      </c>
      <c r="D109" t="s">
        <v>542</v>
      </c>
      <c r="E109" t="s">
        <v>421</v>
      </c>
      <c r="F109" t="s">
        <v>315</v>
      </c>
      <c r="G109">
        <v>1</v>
      </c>
      <c r="H109">
        <v>1</v>
      </c>
      <c r="I109">
        <v>771</v>
      </c>
      <c r="J109">
        <v>0</v>
      </c>
      <c r="K109">
        <v>0</v>
      </c>
      <c r="L109">
        <v>1594.2</v>
      </c>
      <c r="M109">
        <v>320.5</v>
      </c>
      <c r="N109">
        <v>2709.3</v>
      </c>
      <c r="O109">
        <v>294.8</v>
      </c>
      <c r="P109">
        <v>29322.400000000001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0.26</v>
      </c>
      <c r="W109">
        <v>3.5</v>
      </c>
      <c r="X109">
        <v>0.26</v>
      </c>
      <c r="Y109">
        <v>0</v>
      </c>
      <c r="Z109">
        <v>0</v>
      </c>
      <c r="AA109">
        <v>0</v>
      </c>
      <c r="AB109">
        <v>0</v>
      </c>
      <c r="AC109">
        <v>0.26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L109">
        <v>0</v>
      </c>
      <c r="AM109">
        <v>0</v>
      </c>
      <c r="AN109">
        <v>0</v>
      </c>
    </row>
    <row r="110" spans="1:40" x14ac:dyDescent="0.25">
      <c r="A110">
        <v>109</v>
      </c>
      <c r="B110" t="s">
        <v>543</v>
      </c>
      <c r="C110" t="s">
        <v>544</v>
      </c>
      <c r="D110" t="s">
        <v>545</v>
      </c>
      <c r="E110" t="s">
        <v>546</v>
      </c>
      <c r="F110" t="s">
        <v>100</v>
      </c>
      <c r="G110">
        <v>3</v>
      </c>
      <c r="H110">
        <v>1</v>
      </c>
      <c r="I110">
        <v>1747</v>
      </c>
      <c r="J110">
        <v>0</v>
      </c>
      <c r="K110">
        <v>0</v>
      </c>
      <c r="L110">
        <v>1961.9</v>
      </c>
      <c r="M110">
        <v>2111.9</v>
      </c>
      <c r="N110">
        <v>2320.9</v>
      </c>
      <c r="O110">
        <v>690</v>
      </c>
      <c r="P110">
        <v>1816.9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1.07</v>
      </c>
      <c r="W110">
        <v>3</v>
      </c>
      <c r="X110">
        <v>1.07</v>
      </c>
      <c r="Y110">
        <v>0</v>
      </c>
      <c r="Z110">
        <v>0</v>
      </c>
      <c r="AA110">
        <v>0</v>
      </c>
      <c r="AB110">
        <v>0</v>
      </c>
      <c r="AC110">
        <v>1.07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1</v>
      </c>
      <c r="AJ110">
        <v>2023</v>
      </c>
      <c r="AK110">
        <v>1</v>
      </c>
      <c r="AL110">
        <v>0</v>
      </c>
      <c r="AM110">
        <v>0</v>
      </c>
      <c r="AN110">
        <v>0</v>
      </c>
    </row>
    <row r="111" spans="1:40" x14ac:dyDescent="0.25">
      <c r="A111">
        <v>110</v>
      </c>
      <c r="B111" t="s">
        <v>548</v>
      </c>
      <c r="C111" t="s">
        <v>549</v>
      </c>
      <c r="D111" t="s">
        <v>550</v>
      </c>
      <c r="E111" t="s">
        <v>551</v>
      </c>
      <c r="F111" t="s">
        <v>127</v>
      </c>
      <c r="G111">
        <v>1</v>
      </c>
      <c r="H111">
        <v>1</v>
      </c>
      <c r="I111">
        <v>551</v>
      </c>
      <c r="J111">
        <v>0</v>
      </c>
      <c r="K111">
        <v>0</v>
      </c>
      <c r="L111">
        <v>3614.8</v>
      </c>
      <c r="M111">
        <v>2775.1</v>
      </c>
      <c r="N111">
        <v>5309.1</v>
      </c>
      <c r="O111">
        <v>942.1</v>
      </c>
      <c r="P111">
        <v>5462.2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1.62</v>
      </c>
      <c r="W111">
        <v>3</v>
      </c>
      <c r="X111">
        <v>1.62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1.62</v>
      </c>
      <c r="AE111">
        <v>0</v>
      </c>
      <c r="AF111">
        <v>0</v>
      </c>
      <c r="AG111">
        <v>1</v>
      </c>
      <c r="AH111">
        <v>0</v>
      </c>
      <c r="AI111">
        <v>0</v>
      </c>
      <c r="AL111">
        <v>0</v>
      </c>
      <c r="AM111">
        <v>0</v>
      </c>
      <c r="AN111">
        <v>0</v>
      </c>
    </row>
    <row r="112" spans="1:40" x14ac:dyDescent="0.25">
      <c r="A112">
        <v>111</v>
      </c>
      <c r="B112" t="s">
        <v>552</v>
      </c>
      <c r="C112" t="s">
        <v>553</v>
      </c>
      <c r="D112" t="s">
        <v>554</v>
      </c>
      <c r="E112" t="s">
        <v>555</v>
      </c>
      <c r="F112" t="s">
        <v>105</v>
      </c>
      <c r="G112">
        <v>1</v>
      </c>
      <c r="H112">
        <v>1</v>
      </c>
      <c r="I112">
        <v>729</v>
      </c>
      <c r="J112">
        <v>0</v>
      </c>
      <c r="K112">
        <v>1</v>
      </c>
      <c r="L112">
        <v>373.9</v>
      </c>
      <c r="M112">
        <v>1215.8</v>
      </c>
      <c r="N112">
        <v>6177.5</v>
      </c>
      <c r="O112">
        <v>446.5</v>
      </c>
      <c r="P112">
        <v>7557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0.34</v>
      </c>
      <c r="W112">
        <v>3</v>
      </c>
      <c r="X112">
        <v>0.34</v>
      </c>
      <c r="Y112">
        <v>0</v>
      </c>
      <c r="Z112">
        <v>0</v>
      </c>
      <c r="AA112">
        <v>0</v>
      </c>
      <c r="AB112">
        <v>0</v>
      </c>
      <c r="AC112">
        <v>0.34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L112">
        <v>0</v>
      </c>
      <c r="AM112">
        <v>0</v>
      </c>
      <c r="AN112">
        <v>0</v>
      </c>
    </row>
    <row r="113" spans="1:40" x14ac:dyDescent="0.25">
      <c r="A113">
        <v>112</v>
      </c>
      <c r="B113" t="s">
        <v>556</v>
      </c>
      <c r="C113" t="s">
        <v>557</v>
      </c>
      <c r="D113" t="s">
        <v>558</v>
      </c>
      <c r="E113" t="s">
        <v>559</v>
      </c>
      <c r="F113" t="s">
        <v>118</v>
      </c>
      <c r="G113">
        <v>3</v>
      </c>
      <c r="H113">
        <v>2</v>
      </c>
      <c r="I113">
        <v>2070</v>
      </c>
      <c r="J113">
        <v>0</v>
      </c>
      <c r="K113">
        <v>0</v>
      </c>
      <c r="L113">
        <v>5873</v>
      </c>
      <c r="M113">
        <v>4693.3999999999996</v>
      </c>
      <c r="N113">
        <v>6888.2</v>
      </c>
      <c r="O113">
        <v>966.9</v>
      </c>
      <c r="P113">
        <v>5554.7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1.69</v>
      </c>
      <c r="W113">
        <v>3</v>
      </c>
      <c r="X113">
        <v>1.39</v>
      </c>
      <c r="Y113">
        <v>0</v>
      </c>
      <c r="Z113">
        <v>0</v>
      </c>
      <c r="AA113">
        <v>0</v>
      </c>
      <c r="AB113">
        <v>0.3</v>
      </c>
      <c r="AC113">
        <v>1.1000000000000001</v>
      </c>
      <c r="AD113">
        <v>0</v>
      </c>
      <c r="AE113">
        <v>0.28999999999999998</v>
      </c>
      <c r="AF113">
        <v>0.3</v>
      </c>
      <c r="AG113">
        <v>0.65088757396449703</v>
      </c>
      <c r="AH113">
        <v>1</v>
      </c>
      <c r="AI113">
        <v>2</v>
      </c>
      <c r="AJ113">
        <v>2023</v>
      </c>
      <c r="AK113">
        <v>1</v>
      </c>
      <c r="AL113">
        <v>0</v>
      </c>
      <c r="AM113">
        <v>0</v>
      </c>
      <c r="AN113">
        <v>0</v>
      </c>
    </row>
    <row r="114" spans="1:40" x14ac:dyDescent="0.25">
      <c r="A114">
        <v>113</v>
      </c>
      <c r="B114" t="s">
        <v>560</v>
      </c>
      <c r="C114" t="s">
        <v>561</v>
      </c>
      <c r="D114" t="s">
        <v>562</v>
      </c>
      <c r="E114" t="s">
        <v>563</v>
      </c>
      <c r="F114" t="s">
        <v>176</v>
      </c>
      <c r="G114">
        <v>1</v>
      </c>
      <c r="H114">
        <v>1</v>
      </c>
      <c r="I114">
        <v>483</v>
      </c>
      <c r="J114">
        <v>0</v>
      </c>
      <c r="K114">
        <v>0</v>
      </c>
      <c r="L114">
        <v>3231.6</v>
      </c>
      <c r="M114">
        <v>3262.3</v>
      </c>
      <c r="N114">
        <v>9659.2000000000007</v>
      </c>
      <c r="O114">
        <v>724.1</v>
      </c>
      <c r="P114">
        <v>11331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</v>
      </c>
      <c r="W114">
        <v>3</v>
      </c>
      <c r="X114">
        <v>0.7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0.2</v>
      </c>
      <c r="AF114">
        <v>0.5</v>
      </c>
      <c r="AG114">
        <v>0</v>
      </c>
      <c r="AH114">
        <v>0</v>
      </c>
      <c r="AI114">
        <v>0</v>
      </c>
      <c r="AL114">
        <v>1</v>
      </c>
      <c r="AM114">
        <v>1</v>
      </c>
      <c r="AN114">
        <v>0</v>
      </c>
    </row>
    <row r="115" spans="1:40" x14ac:dyDescent="0.25">
      <c r="A115">
        <v>114</v>
      </c>
      <c r="B115" t="s">
        <v>564</v>
      </c>
      <c r="C115" t="s">
        <v>565</v>
      </c>
      <c r="D115" t="s">
        <v>566</v>
      </c>
      <c r="E115" t="s">
        <v>567</v>
      </c>
      <c r="F115" t="s">
        <v>489</v>
      </c>
      <c r="G115">
        <v>2</v>
      </c>
      <c r="H115">
        <v>2</v>
      </c>
      <c r="I115">
        <v>1775</v>
      </c>
      <c r="J115">
        <v>0</v>
      </c>
      <c r="K115">
        <v>1</v>
      </c>
      <c r="L115">
        <v>1696.8</v>
      </c>
      <c r="M115">
        <v>1846.9</v>
      </c>
      <c r="N115">
        <v>121</v>
      </c>
      <c r="O115">
        <v>789.3</v>
      </c>
      <c r="P115">
        <v>1741.9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2.44</v>
      </c>
      <c r="W115">
        <v>8</v>
      </c>
      <c r="X115">
        <v>2.44</v>
      </c>
      <c r="Y115">
        <v>0</v>
      </c>
      <c r="Z115">
        <v>0</v>
      </c>
      <c r="AA115">
        <v>0</v>
      </c>
      <c r="AB115">
        <v>0</v>
      </c>
      <c r="AC115">
        <v>2.44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L115">
        <v>0</v>
      </c>
      <c r="AM115">
        <v>0</v>
      </c>
      <c r="AN115">
        <v>0</v>
      </c>
    </row>
    <row r="116" spans="1:40" x14ac:dyDescent="0.25">
      <c r="A116">
        <v>115</v>
      </c>
      <c r="B116" t="s">
        <v>568</v>
      </c>
      <c r="C116" t="s">
        <v>569</v>
      </c>
      <c r="D116" t="s">
        <v>570</v>
      </c>
      <c r="E116" t="s">
        <v>571</v>
      </c>
      <c r="F116" t="s">
        <v>203</v>
      </c>
      <c r="G116">
        <v>2</v>
      </c>
      <c r="H116">
        <v>2</v>
      </c>
      <c r="I116">
        <v>2100</v>
      </c>
      <c r="J116">
        <v>0</v>
      </c>
      <c r="K116">
        <v>0</v>
      </c>
      <c r="L116">
        <v>37625</v>
      </c>
      <c r="M116">
        <v>16570.900000000001</v>
      </c>
      <c r="N116">
        <v>39835.4</v>
      </c>
      <c r="O116">
        <v>3384.4</v>
      </c>
      <c r="P116">
        <v>39737.800000000003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2.08</v>
      </c>
      <c r="W116">
        <v>1</v>
      </c>
      <c r="X116">
        <v>0</v>
      </c>
      <c r="Y116">
        <v>0</v>
      </c>
      <c r="Z116">
        <v>1.8</v>
      </c>
      <c r="AA116">
        <v>0</v>
      </c>
      <c r="AB116">
        <v>0.28000000000000003</v>
      </c>
      <c r="AC116">
        <v>0</v>
      </c>
      <c r="AD116">
        <v>0</v>
      </c>
      <c r="AE116">
        <v>1.8</v>
      </c>
      <c r="AF116">
        <v>0.28000000000000003</v>
      </c>
      <c r="AG116">
        <v>0</v>
      </c>
      <c r="AH116">
        <v>0</v>
      </c>
      <c r="AI116">
        <v>0</v>
      </c>
      <c r="AL116">
        <v>0</v>
      </c>
      <c r="AM116">
        <v>0</v>
      </c>
      <c r="AN116">
        <v>0</v>
      </c>
    </row>
    <row r="117" spans="1:40" x14ac:dyDescent="0.25">
      <c r="A117">
        <v>116</v>
      </c>
      <c r="B117" t="s">
        <v>572</v>
      </c>
      <c r="C117" t="s">
        <v>573</v>
      </c>
      <c r="D117" t="s">
        <v>574</v>
      </c>
      <c r="E117" t="s">
        <v>575</v>
      </c>
      <c r="F117" t="s">
        <v>310</v>
      </c>
      <c r="G117">
        <v>1</v>
      </c>
      <c r="H117">
        <v>1</v>
      </c>
      <c r="I117">
        <v>266</v>
      </c>
      <c r="J117">
        <v>0</v>
      </c>
      <c r="K117">
        <v>0</v>
      </c>
      <c r="L117">
        <v>35944</v>
      </c>
      <c r="M117">
        <v>14889.9</v>
      </c>
      <c r="N117">
        <v>38154.400000000001</v>
      </c>
      <c r="O117">
        <v>1703.4</v>
      </c>
      <c r="P117">
        <v>38056.699999999997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0.83</v>
      </c>
      <c r="W117">
        <v>1</v>
      </c>
      <c r="X117">
        <v>0</v>
      </c>
      <c r="Y117">
        <v>0</v>
      </c>
      <c r="Z117">
        <v>0.83</v>
      </c>
      <c r="AA117">
        <v>0</v>
      </c>
      <c r="AB117">
        <v>0</v>
      </c>
      <c r="AC117">
        <v>0</v>
      </c>
      <c r="AD117">
        <v>0.2</v>
      </c>
      <c r="AE117">
        <v>0.63</v>
      </c>
      <c r="AF117">
        <v>0</v>
      </c>
      <c r="AG117">
        <v>0.24096385542168669</v>
      </c>
      <c r="AH117">
        <v>0</v>
      </c>
      <c r="AI117">
        <v>0</v>
      </c>
      <c r="AL117">
        <v>0</v>
      </c>
      <c r="AM117">
        <v>0</v>
      </c>
      <c r="AN117">
        <v>0</v>
      </c>
    </row>
    <row r="118" spans="1:40" x14ac:dyDescent="0.25">
      <c r="A118">
        <v>117</v>
      </c>
      <c r="B118" t="s">
        <v>576</v>
      </c>
      <c r="C118" t="s">
        <v>577</v>
      </c>
      <c r="D118" t="s">
        <v>578</v>
      </c>
      <c r="E118" t="s">
        <v>575</v>
      </c>
      <c r="F118" t="s">
        <v>310</v>
      </c>
      <c r="G118">
        <v>1</v>
      </c>
      <c r="H118">
        <v>1</v>
      </c>
      <c r="I118">
        <v>266</v>
      </c>
      <c r="J118">
        <v>0</v>
      </c>
      <c r="K118">
        <v>0</v>
      </c>
      <c r="L118">
        <v>4245.8</v>
      </c>
      <c r="M118">
        <v>1365.4</v>
      </c>
      <c r="N118">
        <v>3635.4</v>
      </c>
      <c r="O118">
        <v>287.10000000000002</v>
      </c>
      <c r="P118">
        <v>5307.2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0.43</v>
      </c>
      <c r="W118">
        <v>3</v>
      </c>
      <c r="X118">
        <v>0</v>
      </c>
      <c r="Y118">
        <v>0</v>
      </c>
      <c r="Z118">
        <v>0</v>
      </c>
      <c r="AA118">
        <v>0.43</v>
      </c>
      <c r="AB118">
        <v>0</v>
      </c>
      <c r="AC118">
        <v>0</v>
      </c>
      <c r="AD118">
        <v>0</v>
      </c>
      <c r="AE118">
        <v>0</v>
      </c>
      <c r="AF118">
        <v>0.43</v>
      </c>
      <c r="AG118">
        <v>0</v>
      </c>
      <c r="AH118">
        <v>1</v>
      </c>
      <c r="AI118">
        <v>1</v>
      </c>
      <c r="AJ118">
        <v>2022</v>
      </c>
      <c r="AK118">
        <v>2</v>
      </c>
      <c r="AL118">
        <v>1</v>
      </c>
      <c r="AM118">
        <v>1</v>
      </c>
      <c r="AN118">
        <v>0</v>
      </c>
    </row>
    <row r="119" spans="1:40" x14ac:dyDescent="0.25">
      <c r="A119">
        <v>118</v>
      </c>
      <c r="B119" t="s">
        <v>579</v>
      </c>
      <c r="C119" t="s">
        <v>580</v>
      </c>
      <c r="D119" t="s">
        <v>581</v>
      </c>
      <c r="E119" t="s">
        <v>582</v>
      </c>
      <c r="F119" t="s">
        <v>176</v>
      </c>
      <c r="G119">
        <v>1</v>
      </c>
      <c r="H119">
        <v>1</v>
      </c>
      <c r="I119">
        <v>393</v>
      </c>
      <c r="J119">
        <v>0</v>
      </c>
      <c r="K119">
        <v>0</v>
      </c>
      <c r="L119">
        <v>1902.6</v>
      </c>
      <c r="M119">
        <v>2052.6999999999998</v>
      </c>
      <c r="N119">
        <v>1348.7</v>
      </c>
      <c r="O119">
        <v>1070.9000000000001</v>
      </c>
      <c r="P119">
        <v>2220.9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0.41</v>
      </c>
      <c r="W119">
        <v>3.5</v>
      </c>
      <c r="X119">
        <v>0.41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0.41</v>
      </c>
      <c r="AE119">
        <v>0</v>
      </c>
      <c r="AF119">
        <v>0</v>
      </c>
      <c r="AG119">
        <v>1</v>
      </c>
      <c r="AH119">
        <v>0</v>
      </c>
      <c r="AI119">
        <v>0</v>
      </c>
      <c r="AL119">
        <v>0</v>
      </c>
      <c r="AM119">
        <v>0</v>
      </c>
      <c r="AN119">
        <v>0</v>
      </c>
    </row>
    <row r="120" spans="1:40" x14ac:dyDescent="0.25">
      <c r="A120">
        <v>119</v>
      </c>
      <c r="B120" t="s">
        <v>583</v>
      </c>
      <c r="C120" t="s">
        <v>584</v>
      </c>
      <c r="D120" t="s">
        <v>585</v>
      </c>
      <c r="E120" t="s">
        <v>586</v>
      </c>
      <c r="F120" t="s">
        <v>176</v>
      </c>
      <c r="G120">
        <v>1</v>
      </c>
      <c r="H120">
        <v>1</v>
      </c>
      <c r="I120">
        <v>837</v>
      </c>
      <c r="J120">
        <v>0</v>
      </c>
      <c r="K120">
        <v>0</v>
      </c>
      <c r="L120">
        <v>742.3</v>
      </c>
      <c r="M120">
        <v>2005.6</v>
      </c>
      <c r="N120">
        <v>6498.7</v>
      </c>
      <c r="O120">
        <v>37.5</v>
      </c>
      <c r="P120">
        <v>7878.2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</v>
      </c>
      <c r="W120">
        <v>3.5</v>
      </c>
      <c r="X120">
        <v>0.9</v>
      </c>
      <c r="Y120">
        <v>0</v>
      </c>
      <c r="Z120">
        <v>0</v>
      </c>
      <c r="AA120">
        <v>0</v>
      </c>
      <c r="AB120">
        <v>0</v>
      </c>
      <c r="AC120">
        <v>0.9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L120">
        <v>0</v>
      </c>
      <c r="AM120">
        <v>0</v>
      </c>
      <c r="AN120">
        <v>0</v>
      </c>
    </row>
    <row r="121" spans="1:40" x14ac:dyDescent="0.25">
      <c r="A121">
        <v>120</v>
      </c>
      <c r="B121" t="s">
        <v>587</v>
      </c>
      <c r="C121" t="s">
        <v>588</v>
      </c>
      <c r="D121" t="s">
        <v>589</v>
      </c>
      <c r="E121" t="s">
        <v>590</v>
      </c>
      <c r="F121" t="s">
        <v>105</v>
      </c>
      <c r="G121">
        <v>2</v>
      </c>
      <c r="H121">
        <v>1</v>
      </c>
      <c r="I121">
        <v>1042</v>
      </c>
      <c r="J121">
        <v>0</v>
      </c>
      <c r="K121">
        <v>1</v>
      </c>
      <c r="L121">
        <v>2835.6</v>
      </c>
      <c r="M121">
        <v>2319.8000000000002</v>
      </c>
      <c r="N121">
        <v>7322.6</v>
      </c>
      <c r="O121">
        <v>1408</v>
      </c>
      <c r="P121">
        <v>5721.3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4.5</v>
      </c>
      <c r="W121">
        <v>3</v>
      </c>
      <c r="X121">
        <v>4.5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2.8</v>
      </c>
      <c r="AE121">
        <v>1.7</v>
      </c>
      <c r="AF121">
        <v>0</v>
      </c>
      <c r="AG121">
        <v>0.62222222222222223</v>
      </c>
      <c r="AH121">
        <v>0</v>
      </c>
      <c r="AI121">
        <v>0</v>
      </c>
      <c r="AL121">
        <v>0</v>
      </c>
      <c r="AM121">
        <v>0</v>
      </c>
      <c r="AN121">
        <v>0</v>
      </c>
    </row>
    <row r="122" spans="1:40" x14ac:dyDescent="0.25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127</v>
      </c>
      <c r="G122">
        <v>2</v>
      </c>
      <c r="H122">
        <v>1</v>
      </c>
      <c r="I122">
        <v>952</v>
      </c>
      <c r="J122">
        <v>0</v>
      </c>
      <c r="K122">
        <v>1</v>
      </c>
      <c r="L122">
        <v>5176.3</v>
      </c>
      <c r="M122">
        <v>2782.4</v>
      </c>
      <c r="N122">
        <v>15690</v>
      </c>
      <c r="O122">
        <v>1306.5999999999999</v>
      </c>
      <c r="P122">
        <v>17069.5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5.21</v>
      </c>
      <c r="W122">
        <v>3.5</v>
      </c>
      <c r="X122">
        <v>5.21</v>
      </c>
      <c r="Y122">
        <v>0</v>
      </c>
      <c r="Z122">
        <v>0</v>
      </c>
      <c r="AA122">
        <v>0</v>
      </c>
      <c r="AB122">
        <v>0</v>
      </c>
      <c r="AC122">
        <v>5.21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2023</v>
      </c>
      <c r="AK122">
        <v>1</v>
      </c>
      <c r="AL122">
        <v>1</v>
      </c>
      <c r="AM122">
        <v>1</v>
      </c>
      <c r="AN122">
        <v>0</v>
      </c>
    </row>
    <row r="123" spans="1:40" x14ac:dyDescent="0.25">
      <c r="A123">
        <v>122</v>
      </c>
      <c r="B123" t="s">
        <v>595</v>
      </c>
      <c r="C123" t="s">
        <v>596</v>
      </c>
      <c r="D123" t="s">
        <v>597</v>
      </c>
      <c r="E123" t="s">
        <v>598</v>
      </c>
      <c r="F123" t="s">
        <v>190</v>
      </c>
      <c r="G123">
        <v>5</v>
      </c>
      <c r="H123">
        <v>1</v>
      </c>
      <c r="I123">
        <v>1270</v>
      </c>
      <c r="J123">
        <v>0</v>
      </c>
      <c r="K123">
        <v>1</v>
      </c>
      <c r="L123">
        <v>3242.8</v>
      </c>
      <c r="M123">
        <v>1603.3</v>
      </c>
      <c r="N123">
        <v>13554.9</v>
      </c>
      <c r="O123">
        <v>1216.0999999999999</v>
      </c>
      <c r="P123">
        <v>14934.4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2.72</v>
      </c>
      <c r="W123">
        <v>3</v>
      </c>
      <c r="X123">
        <v>2.72</v>
      </c>
      <c r="Y123">
        <v>0</v>
      </c>
      <c r="Z123">
        <v>0</v>
      </c>
      <c r="AA123">
        <v>0</v>
      </c>
      <c r="AB123">
        <v>0</v>
      </c>
      <c r="AC123">
        <v>2.72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1</v>
      </c>
      <c r="AJ123">
        <v>2021</v>
      </c>
      <c r="AK123">
        <v>3</v>
      </c>
      <c r="AL123">
        <v>0</v>
      </c>
      <c r="AM123">
        <v>0</v>
      </c>
      <c r="AN123">
        <v>0</v>
      </c>
    </row>
    <row r="124" spans="1:40" x14ac:dyDescent="0.25">
      <c r="A124">
        <v>123</v>
      </c>
      <c r="B124" t="s">
        <v>599</v>
      </c>
      <c r="C124" t="s">
        <v>600</v>
      </c>
      <c r="D124" t="s">
        <v>601</v>
      </c>
      <c r="E124" t="s">
        <v>602</v>
      </c>
      <c r="F124" t="s">
        <v>190</v>
      </c>
      <c r="G124">
        <v>2</v>
      </c>
      <c r="H124">
        <v>1</v>
      </c>
      <c r="I124">
        <v>716</v>
      </c>
      <c r="J124">
        <v>0</v>
      </c>
      <c r="K124">
        <v>0</v>
      </c>
      <c r="L124">
        <v>5758</v>
      </c>
      <c r="M124">
        <v>3364.1</v>
      </c>
      <c r="N124">
        <v>16271.6</v>
      </c>
      <c r="O124">
        <v>3221.9</v>
      </c>
      <c r="P124">
        <v>17651.2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5.69</v>
      </c>
      <c r="W124">
        <v>5</v>
      </c>
      <c r="X124">
        <v>0</v>
      </c>
      <c r="Y124">
        <v>0</v>
      </c>
      <c r="Z124">
        <v>0</v>
      </c>
      <c r="AA124">
        <v>5.69</v>
      </c>
      <c r="AB124">
        <v>0</v>
      </c>
      <c r="AC124">
        <v>0</v>
      </c>
      <c r="AD124">
        <v>0</v>
      </c>
      <c r="AE124">
        <v>0</v>
      </c>
      <c r="AF124">
        <v>5.69</v>
      </c>
      <c r="AG124">
        <v>0</v>
      </c>
      <c r="AH124">
        <v>1</v>
      </c>
      <c r="AI124">
        <v>1</v>
      </c>
      <c r="AJ124">
        <v>2023</v>
      </c>
      <c r="AK124">
        <v>1</v>
      </c>
      <c r="AL124">
        <v>0</v>
      </c>
      <c r="AM124">
        <v>0</v>
      </c>
      <c r="AN124">
        <v>0</v>
      </c>
    </row>
    <row r="125" spans="1:40" x14ac:dyDescent="0.25">
      <c r="A125">
        <v>124</v>
      </c>
      <c r="B125" t="s">
        <v>603</v>
      </c>
      <c r="C125" t="s">
        <v>604</v>
      </c>
      <c r="D125" t="s">
        <v>605</v>
      </c>
      <c r="E125" t="s">
        <v>606</v>
      </c>
      <c r="F125" t="s">
        <v>190</v>
      </c>
      <c r="G125">
        <v>2</v>
      </c>
      <c r="H125">
        <v>1</v>
      </c>
      <c r="I125">
        <v>570</v>
      </c>
      <c r="J125">
        <v>0</v>
      </c>
      <c r="K125">
        <v>0</v>
      </c>
      <c r="L125">
        <v>6068.8</v>
      </c>
      <c r="M125">
        <v>5264.4</v>
      </c>
      <c r="N125">
        <v>12201.7</v>
      </c>
      <c r="O125">
        <v>1096</v>
      </c>
      <c r="P125">
        <v>13600.3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0.82</v>
      </c>
      <c r="W125">
        <v>3</v>
      </c>
      <c r="X125">
        <v>0</v>
      </c>
      <c r="Y125">
        <v>0</v>
      </c>
      <c r="Z125">
        <v>0.82</v>
      </c>
      <c r="AA125">
        <v>0</v>
      </c>
      <c r="AB125">
        <v>0</v>
      </c>
      <c r="AC125">
        <v>0</v>
      </c>
      <c r="AD125">
        <v>0</v>
      </c>
      <c r="AE125">
        <v>0.62</v>
      </c>
      <c r="AF125">
        <v>0.2</v>
      </c>
      <c r="AG125">
        <v>0</v>
      </c>
      <c r="AH125">
        <v>0</v>
      </c>
      <c r="AI125">
        <v>0</v>
      </c>
      <c r="AL125">
        <v>0</v>
      </c>
      <c r="AM125">
        <v>0</v>
      </c>
      <c r="AN125">
        <v>0</v>
      </c>
    </row>
    <row r="126" spans="1:40" x14ac:dyDescent="0.25">
      <c r="A126">
        <v>125</v>
      </c>
      <c r="B126" t="s">
        <v>607</v>
      </c>
      <c r="C126" t="s">
        <v>608</v>
      </c>
      <c r="D126" t="s">
        <v>609</v>
      </c>
      <c r="E126" t="s">
        <v>175</v>
      </c>
      <c r="F126" t="s">
        <v>176</v>
      </c>
      <c r="G126">
        <v>2</v>
      </c>
      <c r="H126">
        <v>1</v>
      </c>
      <c r="I126">
        <v>797</v>
      </c>
      <c r="J126">
        <v>0</v>
      </c>
      <c r="K126">
        <v>0</v>
      </c>
      <c r="L126">
        <v>1683.8</v>
      </c>
      <c r="M126">
        <v>112.4</v>
      </c>
      <c r="N126">
        <v>3382.1</v>
      </c>
      <c r="O126">
        <v>85</v>
      </c>
      <c r="P126">
        <v>1519.2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0.21</v>
      </c>
      <c r="W126">
        <v>4</v>
      </c>
      <c r="X126">
        <v>0.21</v>
      </c>
      <c r="Y126">
        <v>0</v>
      </c>
      <c r="Z126">
        <v>0</v>
      </c>
      <c r="AA126">
        <v>0</v>
      </c>
      <c r="AB126">
        <v>0</v>
      </c>
      <c r="AC126">
        <v>0.21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2023</v>
      </c>
      <c r="AK126">
        <v>1</v>
      </c>
      <c r="AL126">
        <v>0</v>
      </c>
      <c r="AM126">
        <v>0</v>
      </c>
      <c r="AN126">
        <v>0</v>
      </c>
    </row>
    <row r="127" spans="1:40" x14ac:dyDescent="0.25">
      <c r="A127">
        <v>126</v>
      </c>
      <c r="B127" t="s">
        <v>610</v>
      </c>
      <c r="C127" t="s">
        <v>611</v>
      </c>
      <c r="D127" t="s">
        <v>612</v>
      </c>
      <c r="E127" t="s">
        <v>367</v>
      </c>
      <c r="F127" t="s">
        <v>100</v>
      </c>
      <c r="G127">
        <v>1</v>
      </c>
      <c r="H127">
        <v>1</v>
      </c>
      <c r="I127">
        <v>1142</v>
      </c>
      <c r="J127">
        <v>0</v>
      </c>
      <c r="K127">
        <v>0</v>
      </c>
      <c r="L127">
        <v>2008.7</v>
      </c>
      <c r="M127">
        <v>1250.2</v>
      </c>
      <c r="N127">
        <v>3227.5</v>
      </c>
      <c r="O127">
        <v>0</v>
      </c>
      <c r="P127">
        <v>29840.7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0.35</v>
      </c>
      <c r="W127">
        <v>3</v>
      </c>
      <c r="X127">
        <v>0.35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0.35</v>
      </c>
      <c r="AF127">
        <v>0</v>
      </c>
      <c r="AG127">
        <v>0</v>
      </c>
      <c r="AH127">
        <v>1</v>
      </c>
      <c r="AI127">
        <v>1</v>
      </c>
      <c r="AJ127">
        <v>2021</v>
      </c>
      <c r="AK127">
        <v>3</v>
      </c>
      <c r="AL127">
        <v>0</v>
      </c>
      <c r="AM127">
        <v>0</v>
      </c>
      <c r="AN127">
        <v>0</v>
      </c>
    </row>
    <row r="128" spans="1:40" x14ac:dyDescent="0.25">
      <c r="A128">
        <v>127</v>
      </c>
      <c r="B128" t="s">
        <v>613</v>
      </c>
      <c r="C128" t="s">
        <v>614</v>
      </c>
      <c r="D128" t="s">
        <v>615</v>
      </c>
      <c r="E128" t="s">
        <v>616</v>
      </c>
      <c r="F128" t="s">
        <v>363</v>
      </c>
      <c r="G128">
        <v>1</v>
      </c>
      <c r="H128">
        <v>1</v>
      </c>
      <c r="I128">
        <v>925</v>
      </c>
      <c r="J128">
        <v>0</v>
      </c>
      <c r="K128">
        <v>0</v>
      </c>
      <c r="L128">
        <v>1881.5</v>
      </c>
      <c r="M128">
        <v>1417.9</v>
      </c>
      <c r="N128">
        <v>3100.4</v>
      </c>
      <c r="O128">
        <v>215</v>
      </c>
      <c r="P128">
        <v>29713.5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0.33</v>
      </c>
      <c r="W128">
        <v>3</v>
      </c>
      <c r="X128">
        <v>0.33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0.33</v>
      </c>
      <c r="AG128">
        <v>0</v>
      </c>
      <c r="AH128">
        <v>0</v>
      </c>
      <c r="AI128">
        <v>0</v>
      </c>
      <c r="AL128">
        <v>0</v>
      </c>
      <c r="AM128">
        <v>0</v>
      </c>
      <c r="AN128">
        <v>0</v>
      </c>
    </row>
    <row r="129" spans="1:40" x14ac:dyDescent="0.25">
      <c r="A129">
        <v>128</v>
      </c>
      <c r="B129" t="s">
        <v>617</v>
      </c>
      <c r="C129" t="s">
        <v>618</v>
      </c>
      <c r="D129" t="s">
        <v>619</v>
      </c>
      <c r="E129" t="s">
        <v>620</v>
      </c>
      <c r="F129" t="s">
        <v>213</v>
      </c>
      <c r="G129">
        <v>3</v>
      </c>
      <c r="H129">
        <v>2</v>
      </c>
      <c r="I129">
        <v>4379</v>
      </c>
      <c r="J129">
        <v>0</v>
      </c>
      <c r="K129">
        <v>1</v>
      </c>
      <c r="L129">
        <v>1075.3</v>
      </c>
      <c r="M129">
        <v>1905.9</v>
      </c>
      <c r="N129">
        <v>3266.5</v>
      </c>
      <c r="O129">
        <v>952</v>
      </c>
      <c r="P129">
        <v>1533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1.25</v>
      </c>
      <c r="W129">
        <v>3.5</v>
      </c>
      <c r="X129">
        <v>1.25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1.25</v>
      </c>
      <c r="AE129">
        <v>0</v>
      </c>
      <c r="AF129">
        <v>0</v>
      </c>
      <c r="AG129">
        <v>1</v>
      </c>
      <c r="AH129">
        <v>1</v>
      </c>
      <c r="AI129">
        <v>2</v>
      </c>
      <c r="AJ129">
        <v>2023</v>
      </c>
      <c r="AK129">
        <v>1</v>
      </c>
      <c r="AL129">
        <v>1</v>
      </c>
      <c r="AM129">
        <v>0</v>
      </c>
      <c r="AN129">
        <v>1</v>
      </c>
    </row>
    <row r="130" spans="1:40" x14ac:dyDescent="0.25">
      <c r="A130">
        <v>129</v>
      </c>
      <c r="B130" t="s">
        <v>621</v>
      </c>
      <c r="C130" t="s">
        <v>622</v>
      </c>
      <c r="D130" t="s">
        <v>623</v>
      </c>
      <c r="E130" t="s">
        <v>624</v>
      </c>
      <c r="F130" t="s">
        <v>315</v>
      </c>
      <c r="G130">
        <v>1</v>
      </c>
      <c r="H130">
        <v>1</v>
      </c>
      <c r="I130">
        <v>923</v>
      </c>
      <c r="J130">
        <v>1</v>
      </c>
      <c r="K130">
        <v>0</v>
      </c>
      <c r="L130">
        <v>988.6</v>
      </c>
      <c r="M130">
        <v>1168.8</v>
      </c>
      <c r="N130">
        <v>1546.7</v>
      </c>
      <c r="O130">
        <v>496.2</v>
      </c>
      <c r="P130">
        <v>28159.8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0.32</v>
      </c>
      <c r="W130">
        <v>4</v>
      </c>
      <c r="X130">
        <v>0.32</v>
      </c>
      <c r="Y130">
        <v>0</v>
      </c>
      <c r="Z130">
        <v>0</v>
      </c>
      <c r="AA130">
        <v>0</v>
      </c>
      <c r="AB130">
        <v>0</v>
      </c>
      <c r="AC130">
        <v>0.32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L130">
        <v>0</v>
      </c>
      <c r="AM130">
        <v>0</v>
      </c>
      <c r="AN130">
        <v>0</v>
      </c>
    </row>
    <row r="131" spans="1:40" x14ac:dyDescent="0.25">
      <c r="A131">
        <v>130</v>
      </c>
      <c r="B131" t="s">
        <v>625</v>
      </c>
      <c r="C131" t="s">
        <v>626</v>
      </c>
      <c r="D131" t="s">
        <v>627</v>
      </c>
      <c r="E131" t="s">
        <v>310</v>
      </c>
      <c r="F131" t="s">
        <v>310</v>
      </c>
      <c r="G131">
        <v>1</v>
      </c>
      <c r="H131">
        <v>1</v>
      </c>
      <c r="I131">
        <v>346</v>
      </c>
      <c r="J131">
        <v>0</v>
      </c>
      <c r="K131">
        <v>0</v>
      </c>
      <c r="L131">
        <v>33609.800000000003</v>
      </c>
      <c r="M131">
        <v>408.9</v>
      </c>
      <c r="N131">
        <v>35820.199999999997</v>
      </c>
      <c r="O131">
        <v>333.5</v>
      </c>
      <c r="P131">
        <v>35722.5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0.12</v>
      </c>
      <c r="W131">
        <v>3.5</v>
      </c>
      <c r="X131">
        <v>0</v>
      </c>
      <c r="Y131">
        <v>0</v>
      </c>
      <c r="Z131">
        <v>0.12</v>
      </c>
      <c r="AA131">
        <v>0</v>
      </c>
      <c r="AB131">
        <v>0</v>
      </c>
      <c r="AC131">
        <v>0</v>
      </c>
      <c r="AD131">
        <v>0.12</v>
      </c>
      <c r="AE131">
        <v>0</v>
      </c>
      <c r="AF131">
        <v>0</v>
      </c>
      <c r="AG131">
        <v>1</v>
      </c>
      <c r="AH131">
        <v>0</v>
      </c>
      <c r="AI131">
        <v>0</v>
      </c>
      <c r="AL131">
        <v>0</v>
      </c>
      <c r="AM131">
        <v>0</v>
      </c>
      <c r="AN131">
        <v>0</v>
      </c>
    </row>
    <row r="132" spans="1:40" x14ac:dyDescent="0.25">
      <c r="A132">
        <v>131</v>
      </c>
      <c r="B132" t="s">
        <v>628</v>
      </c>
      <c r="C132" t="s">
        <v>629</v>
      </c>
      <c r="D132" t="s">
        <v>630</v>
      </c>
      <c r="E132" t="s">
        <v>378</v>
      </c>
      <c r="F132" t="s">
        <v>105</v>
      </c>
      <c r="G132">
        <v>2</v>
      </c>
      <c r="H132">
        <v>1</v>
      </c>
      <c r="I132">
        <v>1247</v>
      </c>
      <c r="J132">
        <v>0</v>
      </c>
      <c r="K132">
        <v>0</v>
      </c>
      <c r="L132">
        <v>2374.3000000000002</v>
      </c>
      <c r="M132">
        <v>2616.4</v>
      </c>
      <c r="N132">
        <v>3485.1</v>
      </c>
      <c r="O132">
        <v>485.4</v>
      </c>
      <c r="P132">
        <v>4883.7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</v>
      </c>
      <c r="W132">
        <v>3</v>
      </c>
      <c r="X132">
        <v>0.52</v>
      </c>
      <c r="Y132">
        <v>0</v>
      </c>
      <c r="Z132">
        <v>0</v>
      </c>
      <c r="AA132">
        <v>0</v>
      </c>
      <c r="AB132">
        <v>0</v>
      </c>
      <c r="AC132">
        <v>0.52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L132">
        <v>0</v>
      </c>
      <c r="AM132">
        <v>0</v>
      </c>
      <c r="AN132">
        <v>0</v>
      </c>
    </row>
    <row r="133" spans="1:40" x14ac:dyDescent="0.25">
      <c r="A133">
        <v>132</v>
      </c>
      <c r="B133" t="s">
        <v>524</v>
      </c>
      <c r="C133" t="s">
        <v>631</v>
      </c>
      <c r="D133" t="s">
        <v>632</v>
      </c>
      <c r="E133" t="s">
        <v>633</v>
      </c>
      <c r="F133" t="s">
        <v>176</v>
      </c>
      <c r="G133">
        <v>2</v>
      </c>
      <c r="H133">
        <v>1</v>
      </c>
      <c r="I133">
        <v>1083</v>
      </c>
      <c r="J133">
        <v>0</v>
      </c>
      <c r="K133">
        <v>1</v>
      </c>
      <c r="L133">
        <v>3995.5</v>
      </c>
      <c r="M133">
        <v>586.70000000000005</v>
      </c>
      <c r="N133">
        <v>4976.3999999999996</v>
      </c>
      <c r="O133">
        <v>1315.3</v>
      </c>
      <c r="P133">
        <v>6648.2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1.1100000000000001</v>
      </c>
      <c r="W133">
        <v>3</v>
      </c>
      <c r="X133">
        <v>1.1100000000000001</v>
      </c>
      <c r="Y133">
        <v>0</v>
      </c>
      <c r="Z133">
        <v>0</v>
      </c>
      <c r="AA133">
        <v>0</v>
      </c>
      <c r="AB133">
        <v>0</v>
      </c>
      <c r="AC133">
        <v>1.1100000000000001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L133">
        <v>0</v>
      </c>
      <c r="AM133">
        <v>0</v>
      </c>
      <c r="AN133">
        <v>0</v>
      </c>
    </row>
    <row r="134" spans="1:40" x14ac:dyDescent="0.25">
      <c r="A134">
        <v>133</v>
      </c>
      <c r="B134" t="s">
        <v>634</v>
      </c>
      <c r="C134" t="s">
        <v>635</v>
      </c>
      <c r="D134" t="s">
        <v>636</v>
      </c>
      <c r="E134" t="s">
        <v>637</v>
      </c>
      <c r="F134" t="s">
        <v>127</v>
      </c>
      <c r="G134">
        <v>4</v>
      </c>
      <c r="H134">
        <v>1</v>
      </c>
      <c r="I134">
        <v>2294</v>
      </c>
      <c r="J134">
        <v>0</v>
      </c>
      <c r="K134">
        <v>0</v>
      </c>
      <c r="L134">
        <v>1919.7</v>
      </c>
      <c r="M134">
        <v>2759.4</v>
      </c>
      <c r="N134">
        <v>6664.3</v>
      </c>
      <c r="O134">
        <v>812.9</v>
      </c>
      <c r="P134">
        <v>5063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4.04</v>
      </c>
      <c r="W134">
        <v>3.5</v>
      </c>
      <c r="X134">
        <v>4.04</v>
      </c>
      <c r="Y134">
        <v>0</v>
      </c>
      <c r="Z134">
        <v>0</v>
      </c>
      <c r="AA134">
        <v>0</v>
      </c>
      <c r="AB134">
        <v>0</v>
      </c>
      <c r="AC134">
        <v>1.6</v>
      </c>
      <c r="AD134">
        <v>1.44</v>
      </c>
      <c r="AE134">
        <v>1</v>
      </c>
      <c r="AF134">
        <v>0</v>
      </c>
      <c r="AG134">
        <v>0.75247524752475248</v>
      </c>
      <c r="AH134">
        <v>1</v>
      </c>
      <c r="AI134">
        <v>3</v>
      </c>
      <c r="AJ134">
        <v>2023</v>
      </c>
      <c r="AK134">
        <v>1</v>
      </c>
      <c r="AL134">
        <v>1</v>
      </c>
      <c r="AM134">
        <v>1</v>
      </c>
      <c r="AN134">
        <v>0</v>
      </c>
    </row>
    <row r="135" spans="1:40" x14ac:dyDescent="0.25">
      <c r="A135">
        <v>134</v>
      </c>
      <c r="B135" t="s">
        <v>638</v>
      </c>
      <c r="C135" t="s">
        <v>639</v>
      </c>
      <c r="D135" t="s">
        <v>640</v>
      </c>
      <c r="E135" t="s">
        <v>641</v>
      </c>
      <c r="F135" t="s">
        <v>176</v>
      </c>
      <c r="G135">
        <v>3</v>
      </c>
      <c r="H135">
        <v>1</v>
      </c>
      <c r="I135">
        <v>1457</v>
      </c>
      <c r="J135">
        <v>0</v>
      </c>
      <c r="K135">
        <v>1</v>
      </c>
      <c r="L135">
        <v>4210.3</v>
      </c>
      <c r="M135">
        <v>3585.8</v>
      </c>
      <c r="N135">
        <v>2583.6</v>
      </c>
      <c r="O135">
        <v>961.6</v>
      </c>
      <c r="P135">
        <v>4255.3999999999996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1.9</v>
      </c>
      <c r="W135">
        <v>3</v>
      </c>
      <c r="X135">
        <v>1.9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0.9</v>
      </c>
      <c r="AF135">
        <v>0</v>
      </c>
      <c r="AG135">
        <v>0.52631578947368418</v>
      </c>
      <c r="AH135">
        <v>1</v>
      </c>
      <c r="AI135">
        <v>2</v>
      </c>
      <c r="AJ135">
        <v>2023</v>
      </c>
      <c r="AK135">
        <v>1</v>
      </c>
      <c r="AL135">
        <v>0</v>
      </c>
      <c r="AM135">
        <v>0</v>
      </c>
      <c r="AN135">
        <v>0</v>
      </c>
    </row>
    <row r="136" spans="1:40" x14ac:dyDescent="0.25">
      <c r="A136">
        <v>135</v>
      </c>
      <c r="B136" t="s">
        <v>642</v>
      </c>
      <c r="C136" t="s">
        <v>643</v>
      </c>
      <c r="D136" t="s">
        <v>644</v>
      </c>
      <c r="E136" t="s">
        <v>225</v>
      </c>
      <c r="F136" t="s">
        <v>190</v>
      </c>
      <c r="G136">
        <v>1</v>
      </c>
      <c r="H136">
        <v>1</v>
      </c>
      <c r="I136">
        <v>310</v>
      </c>
      <c r="J136">
        <v>0</v>
      </c>
      <c r="K136">
        <v>0</v>
      </c>
      <c r="L136">
        <v>7572.6</v>
      </c>
      <c r="M136">
        <v>5178.7</v>
      </c>
      <c r="N136">
        <v>18086.2</v>
      </c>
      <c r="O136">
        <v>716.1</v>
      </c>
      <c r="P136">
        <v>19465.7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</v>
      </c>
      <c r="W136">
        <v>5</v>
      </c>
      <c r="X136">
        <v>0</v>
      </c>
      <c r="Y136">
        <v>0</v>
      </c>
      <c r="Z136">
        <v>0</v>
      </c>
      <c r="AA136">
        <v>0.86</v>
      </c>
      <c r="AB136">
        <v>0</v>
      </c>
      <c r="AC136">
        <v>0</v>
      </c>
      <c r="AD136">
        <v>0</v>
      </c>
      <c r="AE136">
        <v>0</v>
      </c>
      <c r="AF136">
        <v>0.86</v>
      </c>
      <c r="AG136">
        <v>0</v>
      </c>
      <c r="AH136">
        <v>0</v>
      </c>
      <c r="AI136">
        <v>0</v>
      </c>
      <c r="AL136">
        <v>0</v>
      </c>
      <c r="AM136">
        <v>0</v>
      </c>
      <c r="AN136">
        <v>0</v>
      </c>
    </row>
    <row r="137" spans="1:40" x14ac:dyDescent="0.25">
      <c r="A137">
        <v>136</v>
      </c>
      <c r="B137" t="s">
        <v>645</v>
      </c>
      <c r="C137" t="s">
        <v>646</v>
      </c>
      <c r="D137" t="s">
        <v>647</v>
      </c>
      <c r="E137" t="s">
        <v>249</v>
      </c>
      <c r="F137" t="s">
        <v>149</v>
      </c>
      <c r="G137">
        <v>2</v>
      </c>
      <c r="H137">
        <v>1</v>
      </c>
      <c r="I137">
        <v>1286</v>
      </c>
      <c r="J137">
        <v>0</v>
      </c>
      <c r="K137">
        <v>0</v>
      </c>
      <c r="L137">
        <v>3487.3</v>
      </c>
      <c r="M137">
        <v>2758.9</v>
      </c>
      <c r="N137">
        <v>11780.9</v>
      </c>
      <c r="O137">
        <v>1002.5</v>
      </c>
      <c r="P137">
        <v>9918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0.98</v>
      </c>
      <c r="W137">
        <v>3</v>
      </c>
      <c r="X137">
        <v>0</v>
      </c>
      <c r="Y137">
        <v>0</v>
      </c>
      <c r="Z137">
        <v>0.98</v>
      </c>
      <c r="AA137">
        <v>0</v>
      </c>
      <c r="AB137">
        <v>0</v>
      </c>
      <c r="AC137">
        <v>0</v>
      </c>
      <c r="AD137">
        <v>0.4</v>
      </c>
      <c r="AE137">
        <v>0.57999999999999996</v>
      </c>
      <c r="AF137">
        <v>0</v>
      </c>
      <c r="AG137">
        <v>0.40816326530612251</v>
      </c>
      <c r="AH137">
        <v>0</v>
      </c>
      <c r="AI137">
        <v>0</v>
      </c>
      <c r="AL137">
        <v>0</v>
      </c>
      <c r="AM137">
        <v>0</v>
      </c>
      <c r="AN137">
        <v>0</v>
      </c>
    </row>
    <row r="138" spans="1:40" x14ac:dyDescent="0.25">
      <c r="A138">
        <v>137</v>
      </c>
      <c r="B138" t="s">
        <v>648</v>
      </c>
      <c r="C138" t="s">
        <v>649</v>
      </c>
      <c r="D138" t="s">
        <v>650</v>
      </c>
      <c r="E138" t="s">
        <v>651</v>
      </c>
      <c r="F138" t="s">
        <v>149</v>
      </c>
      <c r="G138">
        <v>1</v>
      </c>
      <c r="H138">
        <v>1</v>
      </c>
      <c r="I138">
        <v>787</v>
      </c>
      <c r="J138">
        <v>0</v>
      </c>
      <c r="K138">
        <v>0</v>
      </c>
      <c r="L138">
        <v>2912</v>
      </c>
      <c r="M138">
        <v>3645.1</v>
      </c>
      <c r="N138">
        <v>11001.8</v>
      </c>
      <c r="O138">
        <v>714.4</v>
      </c>
      <c r="P138">
        <v>9138.9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</v>
      </c>
      <c r="W138">
        <v>3</v>
      </c>
      <c r="X138">
        <v>0.7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</v>
      </c>
      <c r="AE138">
        <v>0.2</v>
      </c>
      <c r="AF138">
        <v>0</v>
      </c>
      <c r="AG138">
        <v>0.7142857142857143</v>
      </c>
      <c r="AH138">
        <v>0</v>
      </c>
      <c r="AI138">
        <v>0</v>
      </c>
      <c r="AL138">
        <v>0</v>
      </c>
      <c r="AM138">
        <v>0</v>
      </c>
      <c r="AN138">
        <v>0</v>
      </c>
    </row>
    <row r="139" spans="1:40" x14ac:dyDescent="0.25">
      <c r="A139">
        <v>138</v>
      </c>
      <c r="B139" t="s">
        <v>652</v>
      </c>
      <c r="C139" t="s">
        <v>653</v>
      </c>
      <c r="D139" t="s">
        <v>654</v>
      </c>
      <c r="E139" t="s">
        <v>367</v>
      </c>
      <c r="F139" t="s">
        <v>100</v>
      </c>
      <c r="G139">
        <v>1</v>
      </c>
      <c r="H139">
        <v>1</v>
      </c>
      <c r="I139">
        <v>1142</v>
      </c>
      <c r="J139">
        <v>0</v>
      </c>
      <c r="K139">
        <v>0</v>
      </c>
      <c r="L139">
        <v>781.6</v>
      </c>
      <c r="M139">
        <v>796.9</v>
      </c>
      <c r="N139">
        <v>2773.5</v>
      </c>
      <c r="O139">
        <v>196.3</v>
      </c>
      <c r="P139">
        <v>910.6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0.23</v>
      </c>
      <c r="W139">
        <v>3</v>
      </c>
      <c r="X139">
        <v>0.23</v>
      </c>
      <c r="Y139">
        <v>0</v>
      </c>
      <c r="Z139">
        <v>0</v>
      </c>
      <c r="AA139">
        <v>0</v>
      </c>
      <c r="AB139">
        <v>0</v>
      </c>
      <c r="AC139">
        <v>0.23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L139">
        <v>0</v>
      </c>
      <c r="AM139">
        <v>0</v>
      </c>
      <c r="AN139">
        <v>0</v>
      </c>
    </row>
    <row r="140" spans="1:40" x14ac:dyDescent="0.25">
      <c r="A140">
        <v>139</v>
      </c>
      <c r="B140" t="s">
        <v>655</v>
      </c>
      <c r="C140" t="s">
        <v>656</v>
      </c>
      <c r="D140" t="s">
        <v>657</v>
      </c>
      <c r="E140" t="s">
        <v>444</v>
      </c>
      <c r="F140" t="s">
        <v>363</v>
      </c>
      <c r="G140">
        <v>1</v>
      </c>
      <c r="H140">
        <v>1</v>
      </c>
      <c r="I140">
        <v>870</v>
      </c>
      <c r="J140">
        <v>1</v>
      </c>
      <c r="K140">
        <v>0</v>
      </c>
      <c r="L140">
        <v>1729.3</v>
      </c>
      <c r="M140">
        <v>1490.7</v>
      </c>
      <c r="N140">
        <v>2948.2</v>
      </c>
      <c r="O140">
        <v>0</v>
      </c>
      <c r="P140">
        <v>29561.3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0.31</v>
      </c>
      <c r="W140">
        <v>3</v>
      </c>
      <c r="X140">
        <v>0.31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0.2</v>
      </c>
      <c r="AE140">
        <v>0</v>
      </c>
      <c r="AF140">
        <v>0.11</v>
      </c>
      <c r="AG140">
        <v>0.64516129032258074</v>
      </c>
      <c r="AH140">
        <v>0</v>
      </c>
      <c r="AI140">
        <v>0</v>
      </c>
      <c r="AL140">
        <v>0</v>
      </c>
      <c r="AM140">
        <v>0</v>
      </c>
      <c r="AN140">
        <v>0</v>
      </c>
    </row>
    <row r="141" spans="1:40" x14ac:dyDescent="0.25">
      <c r="A141">
        <v>140</v>
      </c>
      <c r="B141" t="s">
        <v>658</v>
      </c>
      <c r="C141" t="s">
        <v>659</v>
      </c>
      <c r="D141" t="s">
        <v>660</v>
      </c>
      <c r="E141" t="s">
        <v>350</v>
      </c>
      <c r="F141" t="s">
        <v>105</v>
      </c>
      <c r="G141">
        <v>1</v>
      </c>
      <c r="H141">
        <v>1</v>
      </c>
      <c r="I141">
        <v>404</v>
      </c>
      <c r="J141">
        <v>0</v>
      </c>
      <c r="K141">
        <v>1</v>
      </c>
      <c r="L141">
        <v>2008.8</v>
      </c>
      <c r="M141">
        <v>2598.1</v>
      </c>
      <c r="N141">
        <v>9226.6</v>
      </c>
      <c r="O141">
        <v>816.8</v>
      </c>
      <c r="P141">
        <v>10606.1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0.69</v>
      </c>
      <c r="W141">
        <v>3</v>
      </c>
      <c r="X141">
        <v>0</v>
      </c>
      <c r="Y141">
        <v>0</v>
      </c>
      <c r="Z141">
        <v>0</v>
      </c>
      <c r="AA141">
        <v>0.69</v>
      </c>
      <c r="AB141">
        <v>0</v>
      </c>
      <c r="AC141">
        <v>0</v>
      </c>
      <c r="AD141">
        <v>0</v>
      </c>
      <c r="AE141">
        <v>0</v>
      </c>
      <c r="AF141">
        <v>0.69</v>
      </c>
      <c r="AG141">
        <v>0</v>
      </c>
      <c r="AH141">
        <v>0</v>
      </c>
      <c r="AI141">
        <v>0</v>
      </c>
      <c r="AL141">
        <v>1</v>
      </c>
      <c r="AM141">
        <v>0</v>
      </c>
      <c r="AN141">
        <v>1</v>
      </c>
    </row>
    <row r="142" spans="1:40" x14ac:dyDescent="0.25">
      <c r="A142">
        <v>141</v>
      </c>
      <c r="B142" t="s">
        <v>661</v>
      </c>
      <c r="C142" t="s">
        <v>662</v>
      </c>
      <c r="D142" t="s">
        <v>663</v>
      </c>
      <c r="E142" t="s">
        <v>109</v>
      </c>
      <c r="F142" t="s">
        <v>100</v>
      </c>
      <c r="G142">
        <v>2</v>
      </c>
      <c r="H142">
        <v>1</v>
      </c>
      <c r="I142">
        <v>2315</v>
      </c>
      <c r="J142">
        <v>0</v>
      </c>
      <c r="K142">
        <v>1</v>
      </c>
      <c r="L142">
        <v>815.5</v>
      </c>
      <c r="M142">
        <v>1226.2</v>
      </c>
      <c r="N142">
        <v>1738.6</v>
      </c>
      <c r="O142">
        <v>437.7</v>
      </c>
      <c r="P142">
        <v>497.1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0.28000000000000003</v>
      </c>
      <c r="W142">
        <v>3.5</v>
      </c>
      <c r="X142">
        <v>0.28000000000000003</v>
      </c>
      <c r="Y142">
        <v>0</v>
      </c>
      <c r="Z142">
        <v>0</v>
      </c>
      <c r="AA142">
        <v>0</v>
      </c>
      <c r="AB142">
        <v>0</v>
      </c>
      <c r="AC142">
        <v>0.28000000000000003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L142">
        <v>0</v>
      </c>
      <c r="AM142">
        <v>0</v>
      </c>
      <c r="AN142">
        <v>0</v>
      </c>
    </row>
    <row r="143" spans="1:40" x14ac:dyDescent="0.25">
      <c r="A143">
        <v>142</v>
      </c>
      <c r="B143" t="s">
        <v>664</v>
      </c>
      <c r="C143" t="s">
        <v>665</v>
      </c>
      <c r="D143" t="s">
        <v>666</v>
      </c>
      <c r="E143" t="s">
        <v>667</v>
      </c>
      <c r="F143" t="s">
        <v>105</v>
      </c>
      <c r="G143">
        <v>1</v>
      </c>
      <c r="H143">
        <v>1</v>
      </c>
      <c r="I143">
        <v>590</v>
      </c>
      <c r="J143">
        <v>0</v>
      </c>
      <c r="K143">
        <v>0</v>
      </c>
      <c r="L143">
        <v>2561.3000000000002</v>
      </c>
      <c r="M143">
        <v>3131.7</v>
      </c>
      <c r="N143">
        <v>8317.7000000000007</v>
      </c>
      <c r="O143">
        <v>895.7</v>
      </c>
      <c r="P143">
        <v>8598.2000000000007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0.34</v>
      </c>
      <c r="W143">
        <v>3</v>
      </c>
      <c r="X143">
        <v>0.34</v>
      </c>
      <c r="Y143">
        <v>0</v>
      </c>
      <c r="Z143">
        <v>0</v>
      </c>
      <c r="AA143">
        <v>0</v>
      </c>
      <c r="AB143">
        <v>0</v>
      </c>
      <c r="AC143">
        <v>0.34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1</v>
      </c>
      <c r="AJ143">
        <v>2023</v>
      </c>
      <c r="AK143">
        <v>1</v>
      </c>
      <c r="AL143">
        <v>0</v>
      </c>
      <c r="AM143">
        <v>0</v>
      </c>
      <c r="AN143">
        <v>0</v>
      </c>
    </row>
    <row r="144" spans="1:40" x14ac:dyDescent="0.25">
      <c r="A144">
        <v>143</v>
      </c>
      <c r="B144" t="s">
        <v>668</v>
      </c>
      <c r="C144" t="s">
        <v>669</v>
      </c>
      <c r="D144" t="s">
        <v>670</v>
      </c>
      <c r="E144" t="s">
        <v>194</v>
      </c>
      <c r="F144" t="s">
        <v>100</v>
      </c>
      <c r="G144">
        <v>1</v>
      </c>
      <c r="H144">
        <v>1</v>
      </c>
      <c r="I144">
        <v>1874</v>
      </c>
      <c r="J144">
        <v>0</v>
      </c>
      <c r="K144">
        <v>0</v>
      </c>
      <c r="L144">
        <v>1289.5</v>
      </c>
      <c r="M144">
        <v>1832.6</v>
      </c>
      <c r="N144">
        <v>2664.3</v>
      </c>
      <c r="O144">
        <v>61.8</v>
      </c>
      <c r="P144">
        <v>971.2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0.22</v>
      </c>
      <c r="W144">
        <v>3</v>
      </c>
      <c r="X144">
        <v>0.22</v>
      </c>
      <c r="Y144">
        <v>0</v>
      </c>
      <c r="Z144">
        <v>0</v>
      </c>
      <c r="AA144">
        <v>0</v>
      </c>
      <c r="AB144">
        <v>0</v>
      </c>
      <c r="AC144">
        <v>0.22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L144">
        <v>1</v>
      </c>
      <c r="AM144">
        <v>0</v>
      </c>
      <c r="AN144">
        <v>1</v>
      </c>
    </row>
    <row r="145" spans="1:40" x14ac:dyDescent="0.25">
      <c r="A145">
        <v>144</v>
      </c>
      <c r="B145" t="s">
        <v>671</v>
      </c>
      <c r="C145" t="s">
        <v>672</v>
      </c>
      <c r="D145" t="s">
        <v>673</v>
      </c>
      <c r="E145" t="s">
        <v>674</v>
      </c>
      <c r="F145" t="s">
        <v>100</v>
      </c>
      <c r="G145">
        <v>2</v>
      </c>
      <c r="H145">
        <v>1</v>
      </c>
      <c r="I145">
        <v>3016</v>
      </c>
      <c r="J145">
        <v>0</v>
      </c>
      <c r="K145">
        <v>1</v>
      </c>
      <c r="L145">
        <v>1258.5999999999999</v>
      </c>
      <c r="M145">
        <v>1191.3</v>
      </c>
      <c r="N145">
        <v>3413.4</v>
      </c>
      <c r="O145">
        <v>625.1</v>
      </c>
      <c r="P145">
        <v>1550.5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0.96</v>
      </c>
      <c r="W145">
        <v>3</v>
      </c>
      <c r="X145">
        <v>0.96</v>
      </c>
      <c r="Y145">
        <v>0</v>
      </c>
      <c r="Z145">
        <v>0</v>
      </c>
      <c r="AA145">
        <v>0</v>
      </c>
      <c r="AB145">
        <v>0</v>
      </c>
      <c r="AC145">
        <v>0.96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1</v>
      </c>
      <c r="AJ145">
        <v>2023</v>
      </c>
      <c r="AK145">
        <v>1</v>
      </c>
      <c r="AL145">
        <v>0</v>
      </c>
      <c r="AM145">
        <v>0</v>
      </c>
      <c r="AN145">
        <v>0</v>
      </c>
    </row>
    <row r="146" spans="1:40" x14ac:dyDescent="0.25">
      <c r="A146">
        <v>145</v>
      </c>
      <c r="B146" t="s">
        <v>675</v>
      </c>
      <c r="C146" t="s">
        <v>676</v>
      </c>
      <c r="D146" t="s">
        <v>677</v>
      </c>
      <c r="E146" t="s">
        <v>531</v>
      </c>
      <c r="F146" t="s">
        <v>310</v>
      </c>
      <c r="G146">
        <v>1</v>
      </c>
      <c r="H146">
        <v>1</v>
      </c>
      <c r="I146">
        <v>238</v>
      </c>
      <c r="J146">
        <v>0</v>
      </c>
      <c r="K146">
        <v>0</v>
      </c>
      <c r="L146">
        <v>31022.2</v>
      </c>
      <c r="M146">
        <v>6215.7</v>
      </c>
      <c r="N146">
        <v>33232.6</v>
      </c>
      <c r="O146">
        <v>1002.3</v>
      </c>
      <c r="P146">
        <v>33135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0.67</v>
      </c>
      <c r="W146">
        <v>2</v>
      </c>
      <c r="X146">
        <v>0</v>
      </c>
      <c r="Y146">
        <v>0</v>
      </c>
      <c r="Z146">
        <v>0.67</v>
      </c>
      <c r="AA146">
        <v>0</v>
      </c>
      <c r="AB146">
        <v>0</v>
      </c>
      <c r="AC146">
        <v>0</v>
      </c>
      <c r="AD146">
        <v>0.2</v>
      </c>
      <c r="AE146">
        <v>0.47</v>
      </c>
      <c r="AF146">
        <v>0</v>
      </c>
      <c r="AG146">
        <v>0.29850746268656719</v>
      </c>
      <c r="AH146">
        <v>1</v>
      </c>
      <c r="AI146">
        <v>1</v>
      </c>
      <c r="AJ146">
        <v>2023</v>
      </c>
      <c r="AK146">
        <v>1</v>
      </c>
      <c r="AL146">
        <v>0</v>
      </c>
      <c r="AM146">
        <v>0</v>
      </c>
      <c r="AN146">
        <v>0</v>
      </c>
    </row>
    <row r="147" spans="1:40" x14ac:dyDescent="0.25">
      <c r="A147">
        <v>146</v>
      </c>
      <c r="B147" t="s">
        <v>678</v>
      </c>
      <c r="C147" t="s">
        <v>679</v>
      </c>
      <c r="D147" t="s">
        <v>680</v>
      </c>
      <c r="E147" t="s">
        <v>681</v>
      </c>
      <c r="F147" t="s">
        <v>310</v>
      </c>
      <c r="G147">
        <v>3</v>
      </c>
      <c r="H147">
        <v>1</v>
      </c>
      <c r="I147">
        <v>521</v>
      </c>
      <c r="J147">
        <v>0</v>
      </c>
      <c r="K147">
        <v>0</v>
      </c>
      <c r="L147">
        <v>37536.6</v>
      </c>
      <c r="M147">
        <v>5049.7</v>
      </c>
      <c r="N147">
        <v>39747</v>
      </c>
      <c r="O147">
        <v>636.29999999999995</v>
      </c>
      <c r="P147">
        <v>39649.4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6.82</v>
      </c>
      <c r="W147">
        <v>2</v>
      </c>
      <c r="X147">
        <v>0.5</v>
      </c>
      <c r="Y147">
        <v>0</v>
      </c>
      <c r="Z147">
        <v>6.32</v>
      </c>
      <c r="AA147">
        <v>0</v>
      </c>
      <c r="AB147">
        <v>0</v>
      </c>
      <c r="AC147">
        <v>0.8</v>
      </c>
      <c r="AD147">
        <v>0.8</v>
      </c>
      <c r="AE147">
        <v>0</v>
      </c>
      <c r="AF147">
        <v>5.22</v>
      </c>
      <c r="AG147">
        <v>0.23460410557184749</v>
      </c>
      <c r="AH147">
        <v>1</v>
      </c>
      <c r="AI147">
        <v>2</v>
      </c>
      <c r="AJ147">
        <v>2023</v>
      </c>
      <c r="AK147">
        <v>1</v>
      </c>
      <c r="AL147">
        <v>1</v>
      </c>
      <c r="AM147">
        <v>0</v>
      </c>
      <c r="AN147">
        <v>1</v>
      </c>
    </row>
    <row r="148" spans="1:40" x14ac:dyDescent="0.25">
      <c r="A148">
        <v>147</v>
      </c>
      <c r="B148" t="s">
        <v>682</v>
      </c>
      <c r="C148" t="s">
        <v>683</v>
      </c>
      <c r="D148" t="s">
        <v>684</v>
      </c>
      <c r="E148" t="s">
        <v>685</v>
      </c>
      <c r="F148" t="s">
        <v>310</v>
      </c>
      <c r="G148">
        <v>1</v>
      </c>
      <c r="H148">
        <v>1</v>
      </c>
      <c r="I148">
        <v>138</v>
      </c>
      <c r="J148">
        <v>0</v>
      </c>
      <c r="K148">
        <v>0</v>
      </c>
      <c r="L148">
        <v>35235</v>
      </c>
      <c r="M148">
        <v>2018.5</v>
      </c>
      <c r="N148">
        <v>37445.4</v>
      </c>
      <c r="O148">
        <v>413.6</v>
      </c>
      <c r="P148">
        <v>37347.800000000003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0.81</v>
      </c>
      <c r="W148">
        <v>3.5</v>
      </c>
      <c r="X148">
        <v>0</v>
      </c>
      <c r="Y148">
        <v>0</v>
      </c>
      <c r="Z148">
        <v>0.81</v>
      </c>
      <c r="AA148">
        <v>0</v>
      </c>
      <c r="AB148">
        <v>0</v>
      </c>
      <c r="AC148">
        <v>0</v>
      </c>
      <c r="AD148">
        <v>0.21</v>
      </c>
      <c r="AE148">
        <v>0.2</v>
      </c>
      <c r="AF148">
        <v>0.4</v>
      </c>
      <c r="AG148">
        <v>0.25925925925925919</v>
      </c>
      <c r="AH148">
        <v>1</v>
      </c>
      <c r="AI148">
        <v>1</v>
      </c>
      <c r="AJ148">
        <v>2023</v>
      </c>
      <c r="AK148">
        <v>1</v>
      </c>
      <c r="AL148">
        <v>1</v>
      </c>
      <c r="AM148">
        <v>1</v>
      </c>
      <c r="AN148">
        <v>0</v>
      </c>
    </row>
    <row r="149" spans="1:40" x14ac:dyDescent="0.25">
      <c r="A149">
        <v>148</v>
      </c>
      <c r="B149" t="s">
        <v>686</v>
      </c>
      <c r="C149" t="s">
        <v>687</v>
      </c>
      <c r="D149" t="s">
        <v>688</v>
      </c>
      <c r="E149" t="s">
        <v>689</v>
      </c>
      <c r="F149" t="s">
        <v>310</v>
      </c>
      <c r="G149">
        <v>2</v>
      </c>
      <c r="H149">
        <v>1</v>
      </c>
      <c r="I149">
        <v>581</v>
      </c>
      <c r="J149">
        <v>1</v>
      </c>
      <c r="K149">
        <v>0</v>
      </c>
      <c r="L149">
        <v>37205.699999999997</v>
      </c>
      <c r="M149">
        <v>3298.1</v>
      </c>
      <c r="N149">
        <v>39416.1</v>
      </c>
      <c r="O149">
        <v>2401.1999999999998</v>
      </c>
      <c r="P149">
        <v>39318.400000000001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7.17</v>
      </c>
      <c r="W149">
        <v>2</v>
      </c>
      <c r="X149">
        <v>0.6</v>
      </c>
      <c r="Y149">
        <v>0</v>
      </c>
      <c r="Z149">
        <v>6.57</v>
      </c>
      <c r="AA149">
        <v>0</v>
      </c>
      <c r="AB149">
        <v>0</v>
      </c>
      <c r="AC149">
        <v>0</v>
      </c>
      <c r="AD149">
        <v>0.5</v>
      </c>
      <c r="AE149">
        <v>6.47</v>
      </c>
      <c r="AF149">
        <v>0.2</v>
      </c>
      <c r="AG149">
        <v>6.9735006973500699E-2</v>
      </c>
      <c r="AH149">
        <v>0</v>
      </c>
      <c r="AI149">
        <v>0</v>
      </c>
      <c r="AL149">
        <v>1</v>
      </c>
      <c r="AM149">
        <v>1</v>
      </c>
      <c r="AN149">
        <v>0</v>
      </c>
    </row>
    <row r="150" spans="1:40" x14ac:dyDescent="0.25">
      <c r="A150">
        <v>149</v>
      </c>
      <c r="B150" t="s">
        <v>690</v>
      </c>
      <c r="C150" t="s">
        <v>691</v>
      </c>
      <c r="D150" t="s">
        <v>692</v>
      </c>
      <c r="E150" t="s">
        <v>693</v>
      </c>
      <c r="F150" t="s">
        <v>310</v>
      </c>
      <c r="G150">
        <v>2</v>
      </c>
      <c r="H150">
        <v>1</v>
      </c>
      <c r="I150">
        <v>484</v>
      </c>
      <c r="J150">
        <v>1</v>
      </c>
      <c r="K150">
        <v>0</v>
      </c>
      <c r="L150">
        <v>34216.6</v>
      </c>
      <c r="M150">
        <v>1000</v>
      </c>
      <c r="N150">
        <v>36427</v>
      </c>
      <c r="O150">
        <v>307.10000000000002</v>
      </c>
      <c r="P150">
        <v>36329.4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1.28</v>
      </c>
      <c r="W150">
        <v>3</v>
      </c>
      <c r="X150">
        <v>1.28</v>
      </c>
      <c r="Y150">
        <v>0</v>
      </c>
      <c r="Z150">
        <v>0</v>
      </c>
      <c r="AA150">
        <v>0</v>
      </c>
      <c r="AB150">
        <v>0</v>
      </c>
      <c r="AC150">
        <v>1.28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L150">
        <v>0</v>
      </c>
      <c r="AM150">
        <v>0</v>
      </c>
      <c r="AN150">
        <v>0</v>
      </c>
    </row>
    <row r="151" spans="1:40" x14ac:dyDescent="0.25">
      <c r="A151">
        <v>150</v>
      </c>
      <c r="B151" t="s">
        <v>694</v>
      </c>
      <c r="C151" t="s">
        <v>695</v>
      </c>
      <c r="D151" t="s">
        <v>696</v>
      </c>
      <c r="E151" t="s">
        <v>697</v>
      </c>
      <c r="F151" t="s">
        <v>310</v>
      </c>
      <c r="G151">
        <v>2</v>
      </c>
      <c r="H151">
        <v>1</v>
      </c>
      <c r="I151">
        <v>584</v>
      </c>
      <c r="J151">
        <v>1</v>
      </c>
      <c r="K151">
        <v>0</v>
      </c>
      <c r="L151">
        <v>34399.4</v>
      </c>
      <c r="M151">
        <v>1719.1</v>
      </c>
      <c r="N151">
        <v>36609.800000000003</v>
      </c>
      <c r="O151">
        <v>1643.7</v>
      </c>
      <c r="P151">
        <v>36512.199999999997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</v>
      </c>
      <c r="W151">
        <v>1</v>
      </c>
      <c r="X151">
        <v>0</v>
      </c>
      <c r="Y151">
        <v>0</v>
      </c>
      <c r="Z151">
        <v>2.27</v>
      </c>
      <c r="AA151">
        <v>0</v>
      </c>
      <c r="AB151">
        <v>0</v>
      </c>
      <c r="AC151">
        <v>0</v>
      </c>
      <c r="AD151">
        <v>0</v>
      </c>
      <c r="AE151">
        <v>2.27</v>
      </c>
      <c r="AF151">
        <v>0</v>
      </c>
      <c r="AG151">
        <v>0</v>
      </c>
      <c r="AH151">
        <v>0</v>
      </c>
      <c r="AI151">
        <v>0</v>
      </c>
      <c r="AL151">
        <v>0</v>
      </c>
      <c r="AM151">
        <v>0</v>
      </c>
      <c r="AN151">
        <v>0</v>
      </c>
    </row>
    <row r="152" spans="1:40" x14ac:dyDescent="0.25">
      <c r="A152">
        <v>151</v>
      </c>
      <c r="B152" t="s">
        <v>698</v>
      </c>
      <c r="C152" t="s">
        <v>699</v>
      </c>
      <c r="D152" t="s">
        <v>700</v>
      </c>
      <c r="E152" t="s">
        <v>701</v>
      </c>
      <c r="F152" t="s">
        <v>132</v>
      </c>
      <c r="G152">
        <v>2</v>
      </c>
      <c r="H152">
        <v>1</v>
      </c>
      <c r="I152">
        <v>912</v>
      </c>
      <c r="J152">
        <v>0</v>
      </c>
      <c r="K152">
        <v>0</v>
      </c>
      <c r="L152">
        <v>6121.3</v>
      </c>
      <c r="M152">
        <v>3023</v>
      </c>
      <c r="N152">
        <v>15880.5</v>
      </c>
      <c r="O152">
        <v>292</v>
      </c>
      <c r="P152">
        <v>14017.6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1.66</v>
      </c>
      <c r="W152">
        <v>3.5</v>
      </c>
      <c r="X152">
        <v>1.66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1.66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2023</v>
      </c>
      <c r="AK152">
        <v>1</v>
      </c>
      <c r="AL152">
        <v>1</v>
      </c>
      <c r="AM152">
        <v>1</v>
      </c>
      <c r="AN152">
        <v>0</v>
      </c>
    </row>
    <row r="153" spans="1:40" x14ac:dyDescent="0.25">
      <c r="A153">
        <v>152</v>
      </c>
      <c r="B153" t="s">
        <v>702</v>
      </c>
      <c r="C153" t="s">
        <v>703</v>
      </c>
      <c r="D153" t="s">
        <v>704</v>
      </c>
      <c r="E153" t="s">
        <v>705</v>
      </c>
      <c r="F153" t="s">
        <v>100</v>
      </c>
      <c r="G153">
        <v>1</v>
      </c>
      <c r="H153">
        <v>1</v>
      </c>
      <c r="I153">
        <v>3189</v>
      </c>
      <c r="J153">
        <v>0</v>
      </c>
      <c r="K153">
        <v>0</v>
      </c>
      <c r="L153">
        <v>575.9</v>
      </c>
      <c r="M153">
        <v>1149.0999999999999</v>
      </c>
      <c r="N153">
        <v>2120.5</v>
      </c>
      <c r="O153">
        <v>0</v>
      </c>
      <c r="P153">
        <v>257.60000000000002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0.39</v>
      </c>
      <c r="W153">
        <v>3</v>
      </c>
      <c r="X153">
        <v>0.39</v>
      </c>
      <c r="Y153">
        <v>0</v>
      </c>
      <c r="Z153">
        <v>0</v>
      </c>
      <c r="AA153">
        <v>0</v>
      </c>
      <c r="AB153">
        <v>0</v>
      </c>
      <c r="AC153">
        <v>0.39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2023</v>
      </c>
      <c r="AK153">
        <v>1</v>
      </c>
      <c r="AL153">
        <v>0</v>
      </c>
      <c r="AM153">
        <v>0</v>
      </c>
      <c r="AN153">
        <v>0</v>
      </c>
    </row>
    <row r="154" spans="1:40" x14ac:dyDescent="0.25">
      <c r="A154">
        <v>153</v>
      </c>
      <c r="B154" t="s">
        <v>706</v>
      </c>
      <c r="C154" t="s">
        <v>707</v>
      </c>
      <c r="D154" t="s">
        <v>708</v>
      </c>
      <c r="E154" t="s">
        <v>709</v>
      </c>
      <c r="F154" t="s">
        <v>710</v>
      </c>
      <c r="G154">
        <v>2</v>
      </c>
      <c r="H154">
        <v>2</v>
      </c>
      <c r="I154">
        <v>700</v>
      </c>
      <c r="J154">
        <v>0</v>
      </c>
      <c r="K154">
        <v>0</v>
      </c>
      <c r="L154">
        <v>4661.3999999999996</v>
      </c>
      <c r="M154">
        <v>4844.3999999999996</v>
      </c>
      <c r="N154">
        <v>9406.1</v>
      </c>
      <c r="O154">
        <v>1615.3</v>
      </c>
      <c r="P154">
        <v>7804.8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2.94</v>
      </c>
      <c r="W154">
        <v>3.5</v>
      </c>
      <c r="X154">
        <v>2.94</v>
      </c>
      <c r="Y154">
        <v>0</v>
      </c>
      <c r="Z154">
        <v>0</v>
      </c>
      <c r="AA154">
        <v>0</v>
      </c>
      <c r="AB154">
        <v>0</v>
      </c>
      <c r="AC154">
        <v>2.94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2023</v>
      </c>
      <c r="AK154">
        <v>1</v>
      </c>
      <c r="AL154">
        <v>0</v>
      </c>
      <c r="AM154">
        <v>0</v>
      </c>
      <c r="AN154">
        <v>0</v>
      </c>
    </row>
    <row r="155" spans="1:40" x14ac:dyDescent="0.25">
      <c r="A155">
        <v>154</v>
      </c>
      <c r="B155" t="s">
        <v>711</v>
      </c>
      <c r="C155" t="s">
        <v>712</v>
      </c>
      <c r="D155" t="s">
        <v>713</v>
      </c>
      <c r="E155" t="s">
        <v>714</v>
      </c>
      <c r="F155" t="s">
        <v>310</v>
      </c>
      <c r="G155">
        <v>1</v>
      </c>
      <c r="H155">
        <v>1</v>
      </c>
      <c r="I155">
        <v>385</v>
      </c>
      <c r="J155">
        <v>1</v>
      </c>
      <c r="K155">
        <v>1</v>
      </c>
      <c r="L155">
        <v>21094.2</v>
      </c>
      <c r="M155">
        <v>8100.1</v>
      </c>
      <c r="N155">
        <v>23304.6</v>
      </c>
      <c r="O155">
        <v>219.7</v>
      </c>
      <c r="P155">
        <v>23207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0.38</v>
      </c>
      <c r="W155">
        <v>1</v>
      </c>
      <c r="X155">
        <v>0</v>
      </c>
      <c r="Y155">
        <v>0</v>
      </c>
      <c r="Z155">
        <v>0.38</v>
      </c>
      <c r="AA155">
        <v>0</v>
      </c>
      <c r="AB155">
        <v>0</v>
      </c>
      <c r="AC155">
        <v>0</v>
      </c>
      <c r="AD155">
        <v>0.38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2021</v>
      </c>
      <c r="AK155">
        <v>3</v>
      </c>
      <c r="AL155">
        <v>0</v>
      </c>
      <c r="AM155">
        <v>0</v>
      </c>
      <c r="AN155">
        <v>0</v>
      </c>
    </row>
    <row r="156" spans="1:40" x14ac:dyDescent="0.25">
      <c r="A156">
        <v>155</v>
      </c>
      <c r="B156" t="s">
        <v>715</v>
      </c>
      <c r="C156" t="s">
        <v>716</v>
      </c>
      <c r="D156" t="s">
        <v>717</v>
      </c>
      <c r="E156" t="s">
        <v>685</v>
      </c>
      <c r="F156" t="s">
        <v>310</v>
      </c>
      <c r="G156">
        <v>1</v>
      </c>
      <c r="H156">
        <v>1</v>
      </c>
      <c r="I156">
        <v>138</v>
      </c>
      <c r="J156">
        <v>0</v>
      </c>
      <c r="K156">
        <v>0</v>
      </c>
      <c r="L156">
        <v>790352350</v>
      </c>
      <c r="M156">
        <v>79020185</v>
      </c>
      <c r="N156">
        <v>37445.478999999999</v>
      </c>
      <c r="O156">
        <v>413.67899999999997</v>
      </c>
      <c r="P156">
        <v>38542.800000000003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1.58</v>
      </c>
      <c r="W156">
        <v>1</v>
      </c>
      <c r="X156">
        <v>0</v>
      </c>
      <c r="Y156">
        <v>0</v>
      </c>
      <c r="Z156">
        <v>1.58</v>
      </c>
      <c r="AA156">
        <v>0</v>
      </c>
      <c r="AB156">
        <v>0</v>
      </c>
      <c r="AC156">
        <v>0</v>
      </c>
      <c r="AD156">
        <v>0.18</v>
      </c>
      <c r="AE156">
        <v>1.4</v>
      </c>
      <c r="AF156">
        <v>0</v>
      </c>
      <c r="AG156">
        <v>0.1139240506329114</v>
      </c>
      <c r="AH156">
        <v>0</v>
      </c>
      <c r="AI156">
        <v>0</v>
      </c>
      <c r="AL156">
        <v>0</v>
      </c>
      <c r="AM156">
        <v>0</v>
      </c>
      <c r="AN156">
        <v>0</v>
      </c>
    </row>
    <row r="157" spans="1:40" x14ac:dyDescent="0.25">
      <c r="A157">
        <v>156</v>
      </c>
      <c r="B157" t="s">
        <v>718</v>
      </c>
      <c r="C157" t="s">
        <v>719</v>
      </c>
      <c r="D157" t="s">
        <v>720</v>
      </c>
      <c r="E157" t="s">
        <v>721</v>
      </c>
      <c r="F157" t="s">
        <v>127</v>
      </c>
      <c r="G157">
        <v>1</v>
      </c>
      <c r="H157">
        <v>1</v>
      </c>
      <c r="I157">
        <v>371</v>
      </c>
      <c r="J157">
        <v>0</v>
      </c>
      <c r="K157">
        <v>0</v>
      </c>
      <c r="L157">
        <v>18164.7</v>
      </c>
      <c r="M157">
        <v>14215</v>
      </c>
      <c r="N157">
        <v>20375.099999999999</v>
      </c>
      <c r="O157">
        <v>802.2</v>
      </c>
      <c r="P157">
        <v>20277.5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10.66</v>
      </c>
      <c r="W157">
        <v>3</v>
      </c>
      <c r="X157">
        <v>7.7</v>
      </c>
      <c r="Y157">
        <v>0</v>
      </c>
      <c r="Z157">
        <v>0</v>
      </c>
      <c r="AA157">
        <v>2.96</v>
      </c>
      <c r="AB157">
        <v>0</v>
      </c>
      <c r="AC157">
        <v>7.7</v>
      </c>
      <c r="AD157">
        <v>0</v>
      </c>
      <c r="AE157">
        <v>0</v>
      </c>
      <c r="AF157">
        <v>2.96</v>
      </c>
      <c r="AG157">
        <v>0.72232645403377116</v>
      </c>
      <c r="AH157">
        <v>1</v>
      </c>
      <c r="AI157">
        <v>1</v>
      </c>
      <c r="AJ157">
        <v>2023</v>
      </c>
      <c r="AK157">
        <v>1</v>
      </c>
      <c r="AL157">
        <v>1</v>
      </c>
      <c r="AM157">
        <v>1</v>
      </c>
      <c r="AN157">
        <v>0</v>
      </c>
    </row>
    <row r="158" spans="1:40" x14ac:dyDescent="0.25">
      <c r="A158">
        <v>157</v>
      </c>
      <c r="B158" t="s">
        <v>722</v>
      </c>
      <c r="C158" t="s">
        <v>723</v>
      </c>
      <c r="D158" t="s">
        <v>724</v>
      </c>
      <c r="E158" t="s">
        <v>725</v>
      </c>
      <c r="F158" t="s">
        <v>127</v>
      </c>
      <c r="G158">
        <v>2</v>
      </c>
      <c r="H158">
        <v>1</v>
      </c>
      <c r="I158">
        <v>1090</v>
      </c>
      <c r="J158">
        <v>0</v>
      </c>
      <c r="K158">
        <v>0</v>
      </c>
      <c r="L158">
        <v>15110.7</v>
      </c>
      <c r="M158">
        <v>11161</v>
      </c>
      <c r="N158">
        <v>17321.099999999999</v>
      </c>
      <c r="O158">
        <v>858.1</v>
      </c>
      <c r="P158">
        <v>17223.5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4.57</v>
      </c>
      <c r="W158">
        <v>4</v>
      </c>
      <c r="X158">
        <v>0</v>
      </c>
      <c r="Y158">
        <v>0</v>
      </c>
      <c r="Z158">
        <v>0</v>
      </c>
      <c r="AA158">
        <v>2</v>
      </c>
      <c r="AB158">
        <v>2.57</v>
      </c>
      <c r="AC158">
        <v>0</v>
      </c>
      <c r="AD158">
        <v>0</v>
      </c>
      <c r="AE158">
        <v>0</v>
      </c>
      <c r="AF158">
        <v>4.57</v>
      </c>
      <c r="AG158">
        <v>0</v>
      </c>
      <c r="AH158">
        <v>0</v>
      </c>
      <c r="AI158">
        <v>0</v>
      </c>
      <c r="AL158">
        <v>0</v>
      </c>
      <c r="AM158">
        <v>0</v>
      </c>
      <c r="AN158">
        <v>0</v>
      </c>
    </row>
    <row r="159" spans="1:40" x14ac:dyDescent="0.25">
      <c r="A159">
        <v>158</v>
      </c>
      <c r="B159" t="s">
        <v>726</v>
      </c>
      <c r="C159" t="s">
        <v>727</v>
      </c>
      <c r="D159" t="s">
        <v>728</v>
      </c>
      <c r="E159" t="s">
        <v>729</v>
      </c>
      <c r="F159" t="s">
        <v>310</v>
      </c>
      <c r="G159">
        <v>2</v>
      </c>
      <c r="H159">
        <v>1</v>
      </c>
      <c r="I159">
        <v>746</v>
      </c>
      <c r="J159">
        <v>0</v>
      </c>
      <c r="K159">
        <v>1</v>
      </c>
      <c r="L159">
        <v>29795.599999999999</v>
      </c>
      <c r="M159">
        <v>3662.6</v>
      </c>
      <c r="N159">
        <v>32006</v>
      </c>
      <c r="O159">
        <v>2306.6</v>
      </c>
      <c r="P159">
        <v>31908.3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4.16</v>
      </c>
      <c r="W159">
        <v>1.5</v>
      </c>
      <c r="X159">
        <v>0</v>
      </c>
      <c r="Y159">
        <v>0</v>
      </c>
      <c r="Z159">
        <v>1</v>
      </c>
      <c r="AA159">
        <v>0</v>
      </c>
      <c r="AB159">
        <v>3.16</v>
      </c>
      <c r="AC159">
        <v>0</v>
      </c>
      <c r="AD159">
        <v>0</v>
      </c>
      <c r="AE159">
        <v>0.8</v>
      </c>
      <c r="AF159">
        <v>3.36</v>
      </c>
      <c r="AG159">
        <v>0</v>
      </c>
      <c r="AH159">
        <v>0</v>
      </c>
      <c r="AI159">
        <v>0</v>
      </c>
      <c r="AL159">
        <v>0</v>
      </c>
      <c r="AM159">
        <v>0</v>
      </c>
      <c r="AN159">
        <v>0</v>
      </c>
    </row>
    <row r="160" spans="1:40" x14ac:dyDescent="0.25">
      <c r="A160">
        <v>159</v>
      </c>
      <c r="B160" t="s">
        <v>730</v>
      </c>
      <c r="C160" t="s">
        <v>731</v>
      </c>
      <c r="D160" t="s">
        <v>732</v>
      </c>
      <c r="E160" t="s">
        <v>733</v>
      </c>
      <c r="F160" t="s">
        <v>310</v>
      </c>
      <c r="G160">
        <v>3</v>
      </c>
      <c r="H160">
        <v>1</v>
      </c>
      <c r="I160">
        <v>826</v>
      </c>
      <c r="J160">
        <v>0</v>
      </c>
      <c r="K160">
        <v>1</v>
      </c>
      <c r="L160">
        <v>32644</v>
      </c>
      <c r="M160">
        <v>5566</v>
      </c>
      <c r="N160">
        <v>34854.400000000001</v>
      </c>
      <c r="O160">
        <v>5215.3999999999996</v>
      </c>
      <c r="P160">
        <v>34756.800000000003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9.4600000000000009</v>
      </c>
      <c r="W160">
        <v>3</v>
      </c>
      <c r="X160">
        <v>4.8</v>
      </c>
      <c r="Y160">
        <v>0</v>
      </c>
      <c r="Z160">
        <v>0</v>
      </c>
      <c r="AA160">
        <v>0.6</v>
      </c>
      <c r="AB160">
        <v>4.0599999999999996</v>
      </c>
      <c r="AC160">
        <v>4.8</v>
      </c>
      <c r="AD160">
        <v>0</v>
      </c>
      <c r="AE160">
        <v>0</v>
      </c>
      <c r="AF160">
        <v>4.66</v>
      </c>
      <c r="AG160">
        <v>0.507399577167019</v>
      </c>
      <c r="AH160">
        <v>1</v>
      </c>
      <c r="AI160">
        <v>1</v>
      </c>
      <c r="AJ160">
        <v>2023</v>
      </c>
      <c r="AK160">
        <v>1</v>
      </c>
      <c r="AL160">
        <v>0</v>
      </c>
      <c r="AM160">
        <v>0</v>
      </c>
      <c r="AN160">
        <v>0</v>
      </c>
    </row>
    <row r="161" spans="1:40" x14ac:dyDescent="0.25">
      <c r="A161">
        <v>160</v>
      </c>
      <c r="B161" t="s">
        <v>734</v>
      </c>
      <c r="C161" t="s">
        <v>735</v>
      </c>
      <c r="D161" t="s">
        <v>736</v>
      </c>
      <c r="E161" t="s">
        <v>737</v>
      </c>
      <c r="F161" t="s">
        <v>132</v>
      </c>
      <c r="G161">
        <v>3</v>
      </c>
      <c r="H161">
        <v>1</v>
      </c>
      <c r="I161">
        <v>1073</v>
      </c>
      <c r="J161">
        <v>0</v>
      </c>
      <c r="K161">
        <v>0</v>
      </c>
      <c r="L161">
        <v>3842.4</v>
      </c>
      <c r="M161">
        <v>3621.9</v>
      </c>
      <c r="N161">
        <v>13601.6</v>
      </c>
      <c r="O161">
        <v>722.9</v>
      </c>
      <c r="P161">
        <v>11738.7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2.86</v>
      </c>
      <c r="W161">
        <v>3.5</v>
      </c>
      <c r="X161">
        <v>2.86</v>
      </c>
      <c r="Y161">
        <v>0</v>
      </c>
      <c r="Z161">
        <v>0</v>
      </c>
      <c r="AA161">
        <v>0</v>
      </c>
      <c r="AB161">
        <v>0</v>
      </c>
      <c r="AC161">
        <v>2.6</v>
      </c>
      <c r="AD161">
        <v>0.26</v>
      </c>
      <c r="AE161">
        <v>0</v>
      </c>
      <c r="AF161">
        <v>0</v>
      </c>
      <c r="AG161">
        <v>1</v>
      </c>
      <c r="AH161">
        <v>0</v>
      </c>
      <c r="AI161">
        <v>0</v>
      </c>
      <c r="AL161">
        <v>0</v>
      </c>
      <c r="AM161">
        <v>0</v>
      </c>
      <c r="AN161">
        <v>0</v>
      </c>
    </row>
    <row r="162" spans="1:40" x14ac:dyDescent="0.25">
      <c r="A162">
        <v>161</v>
      </c>
      <c r="B162" t="s">
        <v>738</v>
      </c>
      <c r="C162" t="s">
        <v>739</v>
      </c>
      <c r="D162" t="s">
        <v>740</v>
      </c>
      <c r="E162" t="s">
        <v>741</v>
      </c>
      <c r="F162" t="s">
        <v>127</v>
      </c>
      <c r="G162">
        <v>2</v>
      </c>
      <c r="H162">
        <v>1</v>
      </c>
      <c r="I162">
        <v>1167</v>
      </c>
      <c r="J162">
        <v>0</v>
      </c>
      <c r="K162">
        <v>1</v>
      </c>
      <c r="L162">
        <v>6152.3</v>
      </c>
      <c r="M162">
        <v>6491.7</v>
      </c>
      <c r="N162">
        <v>10897</v>
      </c>
      <c r="O162">
        <v>231.7</v>
      </c>
      <c r="P162">
        <v>9295.7000000000007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5.82</v>
      </c>
      <c r="W162">
        <v>3.5</v>
      </c>
      <c r="X162">
        <v>5.82</v>
      </c>
      <c r="Y162">
        <v>0</v>
      </c>
      <c r="Z162">
        <v>0</v>
      </c>
      <c r="AA162">
        <v>0</v>
      </c>
      <c r="AB162">
        <v>0</v>
      </c>
      <c r="AC162">
        <v>1.8</v>
      </c>
      <c r="AD162">
        <v>2.02</v>
      </c>
      <c r="AE162">
        <v>1.2</v>
      </c>
      <c r="AF162">
        <v>0.8</v>
      </c>
      <c r="AG162">
        <v>0.6563573883161512</v>
      </c>
      <c r="AH162">
        <v>1</v>
      </c>
      <c r="AI162">
        <v>1</v>
      </c>
      <c r="AJ162">
        <v>2023</v>
      </c>
      <c r="AK162">
        <v>1</v>
      </c>
      <c r="AL162">
        <v>0</v>
      </c>
      <c r="AM162">
        <v>0</v>
      </c>
      <c r="AN162">
        <v>0</v>
      </c>
    </row>
    <row r="163" spans="1:40" x14ac:dyDescent="0.25">
      <c r="A163">
        <v>162</v>
      </c>
      <c r="B163" t="s">
        <v>742</v>
      </c>
      <c r="C163" t="s">
        <v>743</v>
      </c>
      <c r="D163" t="s">
        <v>744</v>
      </c>
      <c r="E163" t="s">
        <v>745</v>
      </c>
      <c r="F163" t="s">
        <v>105</v>
      </c>
      <c r="G163">
        <v>2</v>
      </c>
      <c r="H163">
        <v>1</v>
      </c>
      <c r="I163">
        <v>1333</v>
      </c>
      <c r="J163">
        <v>0</v>
      </c>
      <c r="K163">
        <v>0</v>
      </c>
      <c r="L163">
        <v>5072.3</v>
      </c>
      <c r="M163">
        <v>2739.5</v>
      </c>
      <c r="N163">
        <v>6781.3</v>
      </c>
      <c r="O163">
        <v>1099.5</v>
      </c>
      <c r="P163">
        <v>6945.9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0.69</v>
      </c>
      <c r="W163">
        <v>3</v>
      </c>
      <c r="X163">
        <v>0</v>
      </c>
      <c r="Y163">
        <v>0</v>
      </c>
      <c r="Z163">
        <v>0</v>
      </c>
      <c r="AA163">
        <v>0.69</v>
      </c>
      <c r="AB163">
        <v>0</v>
      </c>
      <c r="AC163">
        <v>0</v>
      </c>
      <c r="AD163">
        <v>0</v>
      </c>
      <c r="AE163">
        <v>0</v>
      </c>
      <c r="AF163">
        <v>0.69</v>
      </c>
      <c r="AG163">
        <v>0</v>
      </c>
      <c r="AH163">
        <v>0</v>
      </c>
      <c r="AI163">
        <v>0</v>
      </c>
      <c r="AL163">
        <v>1</v>
      </c>
      <c r="AM163">
        <v>0</v>
      </c>
      <c r="AN163">
        <v>1</v>
      </c>
    </row>
    <row r="164" spans="1:40" x14ac:dyDescent="0.25">
      <c r="A164">
        <v>163</v>
      </c>
      <c r="B164" t="s">
        <v>746</v>
      </c>
      <c r="C164" t="s">
        <v>747</v>
      </c>
      <c r="D164" t="s">
        <v>748</v>
      </c>
      <c r="E164" t="s">
        <v>749</v>
      </c>
      <c r="F164" t="s">
        <v>176</v>
      </c>
      <c r="G164">
        <v>2</v>
      </c>
      <c r="H164">
        <v>1</v>
      </c>
      <c r="I164">
        <v>699</v>
      </c>
      <c r="J164">
        <v>0</v>
      </c>
      <c r="K164">
        <v>1</v>
      </c>
      <c r="L164">
        <v>4079.9</v>
      </c>
      <c r="M164">
        <v>4049.2</v>
      </c>
      <c r="N164">
        <v>9016.5</v>
      </c>
      <c r="O164">
        <v>1953.1</v>
      </c>
      <c r="P164">
        <v>10688.3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4.0999999999999996</v>
      </c>
      <c r="W164">
        <v>3.5</v>
      </c>
      <c r="X164">
        <v>0</v>
      </c>
      <c r="Y164">
        <v>0</v>
      </c>
      <c r="Z164">
        <v>0</v>
      </c>
      <c r="AA164">
        <v>4.0999999999999996</v>
      </c>
      <c r="AB164">
        <v>0</v>
      </c>
      <c r="AC164">
        <v>0</v>
      </c>
      <c r="AD164">
        <v>0</v>
      </c>
      <c r="AE164">
        <v>0</v>
      </c>
      <c r="AF164">
        <v>4.0999999999999996</v>
      </c>
      <c r="AG164">
        <v>0</v>
      </c>
      <c r="AH164">
        <v>0</v>
      </c>
      <c r="AI164">
        <v>0</v>
      </c>
      <c r="AL164">
        <v>0</v>
      </c>
      <c r="AM164">
        <v>0</v>
      </c>
      <c r="AN164">
        <v>0</v>
      </c>
    </row>
    <row r="165" spans="1:40" x14ac:dyDescent="0.25">
      <c r="A165">
        <v>164</v>
      </c>
      <c r="B165" t="s">
        <v>750</v>
      </c>
      <c r="C165" t="s">
        <v>751</v>
      </c>
      <c r="D165" t="s">
        <v>752</v>
      </c>
      <c r="E165" t="s">
        <v>753</v>
      </c>
      <c r="F165" t="s">
        <v>176</v>
      </c>
      <c r="G165">
        <v>3</v>
      </c>
      <c r="H165">
        <v>1</v>
      </c>
      <c r="I165">
        <v>918</v>
      </c>
      <c r="J165">
        <v>0</v>
      </c>
      <c r="K165">
        <v>0</v>
      </c>
      <c r="L165">
        <v>3496.7</v>
      </c>
      <c r="M165">
        <v>2643.3</v>
      </c>
      <c r="N165">
        <v>9580.6</v>
      </c>
      <c r="O165">
        <v>1024</v>
      </c>
      <c r="P165">
        <v>10979.2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1.28</v>
      </c>
      <c r="W165">
        <v>3.5</v>
      </c>
      <c r="X165">
        <v>0</v>
      </c>
      <c r="Y165">
        <v>0</v>
      </c>
      <c r="Z165">
        <v>0</v>
      </c>
      <c r="AA165">
        <v>1.28</v>
      </c>
      <c r="AB165">
        <v>0</v>
      </c>
      <c r="AC165">
        <v>0</v>
      </c>
      <c r="AD165">
        <v>0</v>
      </c>
      <c r="AE165">
        <v>0</v>
      </c>
      <c r="AF165">
        <v>1.28</v>
      </c>
      <c r="AG165">
        <v>0</v>
      </c>
      <c r="AH165">
        <v>0</v>
      </c>
      <c r="AI165">
        <v>0</v>
      </c>
      <c r="AL165">
        <v>1</v>
      </c>
      <c r="AM165">
        <v>0</v>
      </c>
      <c r="AN165">
        <v>1</v>
      </c>
    </row>
    <row r="166" spans="1:40" x14ac:dyDescent="0.25">
      <c r="A166">
        <v>165</v>
      </c>
      <c r="B166" t="s">
        <v>754</v>
      </c>
      <c r="C166" t="s">
        <v>755</v>
      </c>
      <c r="D166" t="s">
        <v>756</v>
      </c>
      <c r="E166" t="s">
        <v>582</v>
      </c>
      <c r="F166" t="s">
        <v>176</v>
      </c>
      <c r="G166">
        <v>1</v>
      </c>
      <c r="H166">
        <v>1</v>
      </c>
      <c r="I166">
        <v>393</v>
      </c>
      <c r="J166">
        <v>0</v>
      </c>
      <c r="K166">
        <v>1</v>
      </c>
      <c r="L166">
        <v>4487.8999999999996</v>
      </c>
      <c r="M166">
        <v>1607.4</v>
      </c>
      <c r="N166">
        <v>3210.8</v>
      </c>
      <c r="O166">
        <v>580.70000000000005</v>
      </c>
      <c r="P166">
        <v>4882.7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0.7</v>
      </c>
      <c r="W166">
        <v>3</v>
      </c>
      <c r="X166">
        <v>0.7</v>
      </c>
      <c r="Y166">
        <v>0</v>
      </c>
      <c r="Z166">
        <v>0</v>
      </c>
      <c r="AA166">
        <v>0</v>
      </c>
      <c r="AB166">
        <v>0</v>
      </c>
      <c r="AC166">
        <v>0.6</v>
      </c>
      <c r="AD166">
        <v>0.1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2023</v>
      </c>
      <c r="AK166">
        <v>1</v>
      </c>
      <c r="AL166">
        <v>0</v>
      </c>
      <c r="AM166">
        <v>0</v>
      </c>
      <c r="AN166">
        <v>0</v>
      </c>
    </row>
    <row r="167" spans="1:40" x14ac:dyDescent="0.25">
      <c r="A167">
        <v>166</v>
      </c>
      <c r="B167" t="s">
        <v>757</v>
      </c>
      <c r="C167" t="s">
        <v>758</v>
      </c>
      <c r="D167" t="s">
        <v>759</v>
      </c>
      <c r="E167" t="s">
        <v>257</v>
      </c>
      <c r="F167" t="s">
        <v>176</v>
      </c>
      <c r="G167">
        <v>1</v>
      </c>
      <c r="H167">
        <v>1</v>
      </c>
      <c r="I167">
        <v>668</v>
      </c>
      <c r="J167">
        <v>0</v>
      </c>
      <c r="K167">
        <v>0</v>
      </c>
      <c r="L167">
        <v>4563</v>
      </c>
      <c r="M167">
        <v>3628.5</v>
      </c>
      <c r="N167">
        <v>2936.3</v>
      </c>
      <c r="O167">
        <v>1004.3</v>
      </c>
      <c r="P167">
        <v>4608.1000000000004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0.42</v>
      </c>
      <c r="W167">
        <v>3</v>
      </c>
      <c r="X167">
        <v>0</v>
      </c>
      <c r="Y167">
        <v>0</v>
      </c>
      <c r="Z167">
        <v>0</v>
      </c>
      <c r="AA167">
        <v>0.42</v>
      </c>
      <c r="AB167">
        <v>0</v>
      </c>
      <c r="AC167">
        <v>0</v>
      </c>
      <c r="AD167">
        <v>0</v>
      </c>
      <c r="AE167">
        <v>0</v>
      </c>
      <c r="AF167">
        <v>0.42</v>
      </c>
      <c r="AG167">
        <v>0</v>
      </c>
      <c r="AH167">
        <v>0</v>
      </c>
      <c r="AI167">
        <v>0</v>
      </c>
      <c r="AL167">
        <v>1</v>
      </c>
      <c r="AM167">
        <v>0</v>
      </c>
      <c r="AN167">
        <v>1</v>
      </c>
    </row>
    <row r="168" spans="1:40" x14ac:dyDescent="0.25">
      <c r="A168">
        <v>167</v>
      </c>
      <c r="B168" t="s">
        <v>760</v>
      </c>
      <c r="C168" t="s">
        <v>761</v>
      </c>
      <c r="D168" t="s">
        <v>762</v>
      </c>
      <c r="E168" t="s">
        <v>763</v>
      </c>
      <c r="F168" t="s">
        <v>710</v>
      </c>
      <c r="G168">
        <v>4</v>
      </c>
      <c r="H168">
        <v>2</v>
      </c>
      <c r="I168">
        <v>1371</v>
      </c>
      <c r="J168">
        <v>0</v>
      </c>
      <c r="K168">
        <v>1</v>
      </c>
      <c r="L168">
        <v>17414.7</v>
      </c>
      <c r="M168">
        <v>13372</v>
      </c>
      <c r="N168">
        <v>19625.099999999999</v>
      </c>
      <c r="O168">
        <v>15.7</v>
      </c>
      <c r="P168">
        <v>19527.5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14.22</v>
      </c>
      <c r="W168">
        <v>4</v>
      </c>
      <c r="X168">
        <v>14.22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10.220000000000001</v>
      </c>
      <c r="AE168">
        <v>2.8</v>
      </c>
      <c r="AF168">
        <v>1.2</v>
      </c>
      <c r="AG168">
        <v>0.71870604781997194</v>
      </c>
      <c r="AH168">
        <v>1</v>
      </c>
      <c r="AI168">
        <v>2</v>
      </c>
      <c r="AJ168">
        <v>2023</v>
      </c>
      <c r="AK168">
        <v>1</v>
      </c>
      <c r="AL168">
        <v>1</v>
      </c>
      <c r="AM168">
        <v>1</v>
      </c>
      <c r="AN168">
        <v>0</v>
      </c>
    </row>
    <row r="169" spans="1:40" x14ac:dyDescent="0.25">
      <c r="A169">
        <v>168</v>
      </c>
      <c r="B169" t="s">
        <v>764</v>
      </c>
      <c r="C169" t="s">
        <v>765</v>
      </c>
      <c r="D169" t="s">
        <v>766</v>
      </c>
      <c r="E169" t="s">
        <v>767</v>
      </c>
      <c r="F169" t="s">
        <v>127</v>
      </c>
      <c r="G169">
        <v>2</v>
      </c>
      <c r="H169">
        <v>1</v>
      </c>
      <c r="I169">
        <v>1137</v>
      </c>
      <c r="J169">
        <v>0</v>
      </c>
      <c r="K169">
        <v>1</v>
      </c>
      <c r="L169">
        <v>10447.4</v>
      </c>
      <c r="M169">
        <v>6404.7</v>
      </c>
      <c r="N169">
        <v>12657.8</v>
      </c>
      <c r="O169">
        <v>712</v>
      </c>
      <c r="P169">
        <v>12560.2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2.35</v>
      </c>
      <c r="W169">
        <v>3.5</v>
      </c>
      <c r="X169">
        <v>2.35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1.75</v>
      </c>
      <c r="AE169">
        <v>0.6</v>
      </c>
      <c r="AF169">
        <v>0</v>
      </c>
      <c r="AG169">
        <v>0.74468085106382975</v>
      </c>
      <c r="AH169">
        <v>1</v>
      </c>
      <c r="AI169">
        <v>3</v>
      </c>
      <c r="AJ169">
        <v>2023</v>
      </c>
      <c r="AK169">
        <v>1</v>
      </c>
      <c r="AL169">
        <v>0</v>
      </c>
      <c r="AM169">
        <v>0</v>
      </c>
      <c r="AN169">
        <v>0</v>
      </c>
    </row>
    <row r="170" spans="1:40" x14ac:dyDescent="0.25">
      <c r="A170">
        <v>169</v>
      </c>
      <c r="B170" t="s">
        <v>768</v>
      </c>
      <c r="C170" t="s">
        <v>769</v>
      </c>
      <c r="D170" t="s">
        <v>770</v>
      </c>
      <c r="E170" t="s">
        <v>367</v>
      </c>
      <c r="F170" t="s">
        <v>100</v>
      </c>
      <c r="G170">
        <v>1</v>
      </c>
      <c r="H170">
        <v>1</v>
      </c>
      <c r="I170">
        <v>1142</v>
      </c>
      <c r="J170">
        <v>0</v>
      </c>
      <c r="K170">
        <v>0</v>
      </c>
      <c r="L170">
        <v>1047.5999999999999</v>
      </c>
      <c r="M170">
        <v>523.79999999999995</v>
      </c>
      <c r="N170">
        <v>2745.9</v>
      </c>
      <c r="O170">
        <v>76.8</v>
      </c>
      <c r="P170">
        <v>29136.3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0.23</v>
      </c>
      <c r="W170">
        <v>7</v>
      </c>
      <c r="X170">
        <v>0.23</v>
      </c>
      <c r="Y170">
        <v>0</v>
      </c>
      <c r="Z170">
        <v>0</v>
      </c>
      <c r="AA170">
        <v>0</v>
      </c>
      <c r="AB170">
        <v>0</v>
      </c>
      <c r="AC170">
        <v>0.23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2023</v>
      </c>
      <c r="AK170">
        <v>1</v>
      </c>
      <c r="AL170">
        <v>0</v>
      </c>
      <c r="AM170">
        <v>0</v>
      </c>
      <c r="AN170">
        <v>0</v>
      </c>
    </row>
    <row r="171" spans="1:40" x14ac:dyDescent="0.25">
      <c r="A171">
        <v>170</v>
      </c>
      <c r="B171" t="s">
        <v>771</v>
      </c>
      <c r="C171" t="s">
        <v>772</v>
      </c>
      <c r="D171" t="s">
        <v>773</v>
      </c>
      <c r="E171" t="s">
        <v>448</v>
      </c>
      <c r="F171" t="s">
        <v>315</v>
      </c>
      <c r="G171">
        <v>1</v>
      </c>
      <c r="H171">
        <v>1</v>
      </c>
      <c r="I171">
        <v>706</v>
      </c>
      <c r="J171">
        <v>0</v>
      </c>
      <c r="K171">
        <v>0</v>
      </c>
      <c r="L171">
        <v>1399.3</v>
      </c>
      <c r="M171">
        <v>205.3</v>
      </c>
      <c r="N171">
        <v>2523.1999999999998</v>
      </c>
      <c r="O171">
        <v>248.6</v>
      </c>
      <c r="P171">
        <v>883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0.27</v>
      </c>
      <c r="W171">
        <v>3.5</v>
      </c>
      <c r="X171">
        <v>0.27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0.27</v>
      </c>
      <c r="AF171">
        <v>0</v>
      </c>
      <c r="AG171">
        <v>0</v>
      </c>
      <c r="AH171">
        <v>0</v>
      </c>
      <c r="AI171">
        <v>0</v>
      </c>
      <c r="AL171">
        <v>0</v>
      </c>
      <c r="AM171">
        <v>0</v>
      </c>
      <c r="AN171">
        <v>0</v>
      </c>
    </row>
    <row r="172" spans="1:40" x14ac:dyDescent="0.25">
      <c r="A172">
        <v>171</v>
      </c>
      <c r="B172" t="s">
        <v>774</v>
      </c>
      <c r="C172" t="s">
        <v>775</v>
      </c>
      <c r="D172" t="s">
        <v>776</v>
      </c>
      <c r="E172" t="s">
        <v>777</v>
      </c>
      <c r="F172" t="s">
        <v>100</v>
      </c>
      <c r="G172">
        <v>3</v>
      </c>
      <c r="H172">
        <v>1</v>
      </c>
      <c r="I172">
        <v>1887</v>
      </c>
      <c r="J172">
        <v>1</v>
      </c>
      <c r="K172">
        <v>0</v>
      </c>
      <c r="L172">
        <v>4729.7</v>
      </c>
      <c r="M172">
        <v>3206.6</v>
      </c>
      <c r="N172">
        <v>6491.3</v>
      </c>
      <c r="O172">
        <v>314.10000000000002</v>
      </c>
      <c r="P172">
        <v>4628.3999999999996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3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L172">
        <v>0</v>
      </c>
      <c r="AM172">
        <v>0</v>
      </c>
      <c r="AN172">
        <v>0</v>
      </c>
    </row>
    <row r="173" spans="1:40" x14ac:dyDescent="0.25">
      <c r="A173">
        <v>172</v>
      </c>
      <c r="B173" t="s">
        <v>778</v>
      </c>
      <c r="C173" t="s">
        <v>779</v>
      </c>
      <c r="D173" t="s">
        <v>780</v>
      </c>
      <c r="E173" t="s">
        <v>721</v>
      </c>
      <c r="F173" t="s">
        <v>127</v>
      </c>
      <c r="G173">
        <v>1</v>
      </c>
      <c r="H173">
        <v>1</v>
      </c>
      <c r="I173">
        <v>371</v>
      </c>
      <c r="J173">
        <v>0</v>
      </c>
      <c r="K173">
        <v>0</v>
      </c>
      <c r="L173">
        <v>12975.4</v>
      </c>
      <c r="M173">
        <v>9025.7000000000007</v>
      </c>
      <c r="N173">
        <v>15185.8</v>
      </c>
      <c r="O173">
        <v>305.10000000000002</v>
      </c>
      <c r="P173">
        <v>15088.2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0.45</v>
      </c>
      <c r="W173">
        <v>3</v>
      </c>
      <c r="X173">
        <v>0.45</v>
      </c>
      <c r="Y173">
        <v>0</v>
      </c>
      <c r="Z173">
        <v>0</v>
      </c>
      <c r="AA173">
        <v>0</v>
      </c>
      <c r="AB173">
        <v>0</v>
      </c>
      <c r="AC173">
        <v>0.45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L173">
        <v>0</v>
      </c>
      <c r="AM173">
        <v>0</v>
      </c>
      <c r="AN173">
        <v>0</v>
      </c>
    </row>
    <row r="174" spans="1:40" x14ac:dyDescent="0.25">
      <c r="A174">
        <v>173</v>
      </c>
      <c r="B174" t="s">
        <v>781</v>
      </c>
      <c r="C174" t="s">
        <v>782</v>
      </c>
      <c r="D174" t="s">
        <v>783</v>
      </c>
      <c r="E174" t="s">
        <v>99</v>
      </c>
      <c r="F174" t="s">
        <v>100</v>
      </c>
      <c r="G174">
        <v>1</v>
      </c>
      <c r="H174">
        <v>1</v>
      </c>
      <c r="I174">
        <v>1377</v>
      </c>
      <c r="J174">
        <v>0</v>
      </c>
      <c r="K174">
        <v>1</v>
      </c>
      <c r="L174">
        <v>1857.9</v>
      </c>
      <c r="M174">
        <v>2008</v>
      </c>
      <c r="N174">
        <v>2128.1</v>
      </c>
      <c r="O174">
        <v>1110.0999999999999</v>
      </c>
      <c r="P174">
        <v>2176.1999999999998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0.28999999999999998</v>
      </c>
      <c r="W174">
        <v>14</v>
      </c>
      <c r="X174">
        <v>0.28999999999999998</v>
      </c>
      <c r="Y174">
        <v>0</v>
      </c>
      <c r="Z174">
        <v>0</v>
      </c>
      <c r="AA174">
        <v>0</v>
      </c>
      <c r="AB174">
        <v>0</v>
      </c>
      <c r="AC174">
        <v>0.28999999999999998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2</v>
      </c>
      <c r="AJ174">
        <v>2022</v>
      </c>
      <c r="AK174">
        <v>2</v>
      </c>
      <c r="AL174">
        <v>0</v>
      </c>
      <c r="AM174">
        <v>0</v>
      </c>
      <c r="AN174">
        <v>0</v>
      </c>
    </row>
    <row r="175" spans="1:40" x14ac:dyDescent="0.25">
      <c r="A175">
        <v>174</v>
      </c>
      <c r="B175" t="s">
        <v>784</v>
      </c>
      <c r="C175" t="s">
        <v>785</v>
      </c>
      <c r="D175" t="s">
        <v>786</v>
      </c>
      <c r="E175" t="s">
        <v>140</v>
      </c>
      <c r="F175" t="s">
        <v>100</v>
      </c>
      <c r="G175">
        <v>2</v>
      </c>
      <c r="H175">
        <v>1</v>
      </c>
      <c r="I175">
        <v>4331</v>
      </c>
      <c r="J175">
        <v>0</v>
      </c>
      <c r="K175">
        <v>1</v>
      </c>
      <c r="L175">
        <v>675.3</v>
      </c>
      <c r="M175">
        <v>916.5</v>
      </c>
      <c r="N175">
        <v>2386.1</v>
      </c>
      <c r="O175">
        <v>315.89999999999998</v>
      </c>
      <c r="P175">
        <v>523.20000000000005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0.82</v>
      </c>
      <c r="W175">
        <v>6</v>
      </c>
      <c r="X175">
        <v>0.82</v>
      </c>
      <c r="Y175">
        <v>0</v>
      </c>
      <c r="Z175">
        <v>0</v>
      </c>
      <c r="AA175">
        <v>0</v>
      </c>
      <c r="AB175">
        <v>0</v>
      </c>
      <c r="AC175">
        <v>0.82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L175">
        <v>1</v>
      </c>
      <c r="AM175">
        <v>0</v>
      </c>
      <c r="AN175">
        <v>1</v>
      </c>
    </row>
    <row r="176" spans="1:40" x14ac:dyDescent="0.25">
      <c r="A176">
        <v>175</v>
      </c>
      <c r="B176" t="s">
        <v>787</v>
      </c>
      <c r="C176" t="s">
        <v>788</v>
      </c>
      <c r="D176" t="s">
        <v>789</v>
      </c>
      <c r="E176" t="s">
        <v>425</v>
      </c>
      <c r="F176" t="s">
        <v>100</v>
      </c>
      <c r="G176">
        <v>1</v>
      </c>
      <c r="H176">
        <v>1</v>
      </c>
      <c r="I176">
        <v>630</v>
      </c>
      <c r="J176">
        <v>0</v>
      </c>
      <c r="K176">
        <v>1</v>
      </c>
      <c r="L176">
        <v>1844.4</v>
      </c>
      <c r="M176">
        <v>1994.5</v>
      </c>
      <c r="N176">
        <v>2203.5</v>
      </c>
      <c r="O176">
        <v>572.6</v>
      </c>
      <c r="P176">
        <v>1699.5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0.21</v>
      </c>
      <c r="W176">
        <v>3.5</v>
      </c>
      <c r="X176">
        <v>0.21</v>
      </c>
      <c r="Y176">
        <v>0</v>
      </c>
      <c r="Z176">
        <v>0</v>
      </c>
      <c r="AA176">
        <v>0</v>
      </c>
      <c r="AB176">
        <v>0</v>
      </c>
      <c r="AC176">
        <v>0.21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L176">
        <v>0</v>
      </c>
      <c r="AM176">
        <v>0</v>
      </c>
      <c r="AN176">
        <v>0</v>
      </c>
    </row>
    <row r="177" spans="1:40" x14ac:dyDescent="0.25">
      <c r="A177">
        <v>176</v>
      </c>
      <c r="B177" t="s">
        <v>790</v>
      </c>
      <c r="C177" t="s">
        <v>791</v>
      </c>
      <c r="D177" t="s">
        <v>792</v>
      </c>
      <c r="E177" t="s">
        <v>793</v>
      </c>
      <c r="F177" t="s">
        <v>363</v>
      </c>
      <c r="G177">
        <v>2</v>
      </c>
      <c r="H177">
        <v>1</v>
      </c>
      <c r="I177">
        <v>1018</v>
      </c>
      <c r="J177">
        <v>0</v>
      </c>
      <c r="K177">
        <v>0</v>
      </c>
      <c r="L177">
        <v>3011.5</v>
      </c>
      <c r="M177">
        <v>2376.1999999999998</v>
      </c>
      <c r="N177">
        <v>4230.3999999999996</v>
      </c>
      <c r="O177">
        <v>719.4</v>
      </c>
      <c r="P177">
        <v>30843.5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0.3</v>
      </c>
      <c r="W177">
        <v>3</v>
      </c>
      <c r="X177">
        <v>0.1</v>
      </c>
      <c r="Y177">
        <v>0</v>
      </c>
      <c r="Z177">
        <v>0</v>
      </c>
      <c r="AA177">
        <v>0.2</v>
      </c>
      <c r="AB177">
        <v>0</v>
      </c>
      <c r="AC177">
        <v>0</v>
      </c>
      <c r="AD177">
        <v>0</v>
      </c>
      <c r="AE177">
        <v>0</v>
      </c>
      <c r="AF177">
        <v>0.3</v>
      </c>
      <c r="AG177">
        <v>0</v>
      </c>
      <c r="AH177">
        <v>0</v>
      </c>
      <c r="AI177">
        <v>0</v>
      </c>
      <c r="AL177">
        <v>0</v>
      </c>
      <c r="AM177">
        <v>0</v>
      </c>
      <c r="AN177">
        <v>0</v>
      </c>
    </row>
    <row r="178" spans="1:40" x14ac:dyDescent="0.25">
      <c r="A178">
        <v>177</v>
      </c>
      <c r="B178" t="s">
        <v>794</v>
      </c>
      <c r="C178" t="s">
        <v>795</v>
      </c>
      <c r="D178" t="s">
        <v>796</v>
      </c>
      <c r="E178" t="s">
        <v>745</v>
      </c>
      <c r="F178" t="s">
        <v>105</v>
      </c>
      <c r="G178">
        <v>2</v>
      </c>
      <c r="H178">
        <v>1</v>
      </c>
      <c r="I178">
        <v>1333</v>
      </c>
      <c r="J178">
        <v>0</v>
      </c>
      <c r="K178">
        <v>0</v>
      </c>
      <c r="L178">
        <v>5003.7</v>
      </c>
      <c r="M178">
        <v>2670.9</v>
      </c>
      <c r="N178">
        <v>6712.7</v>
      </c>
      <c r="O178">
        <v>1226.5</v>
      </c>
      <c r="P178">
        <v>6877.3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1.86</v>
      </c>
      <c r="W178">
        <v>3.5</v>
      </c>
      <c r="X178">
        <v>1.86</v>
      </c>
      <c r="Y178">
        <v>0</v>
      </c>
      <c r="Z178">
        <v>0</v>
      </c>
      <c r="AA178">
        <v>0</v>
      </c>
      <c r="AB178">
        <v>0</v>
      </c>
      <c r="AC178">
        <v>1.86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2022</v>
      </c>
      <c r="AK178">
        <v>2</v>
      </c>
      <c r="AL178">
        <v>0</v>
      </c>
      <c r="AM178">
        <v>0</v>
      </c>
      <c r="AN178">
        <v>0</v>
      </c>
    </row>
    <row r="179" spans="1:40" x14ac:dyDescent="0.25">
      <c r="A179">
        <v>178</v>
      </c>
      <c r="B179" t="s">
        <v>797</v>
      </c>
      <c r="C179" t="s">
        <v>798</v>
      </c>
      <c r="D179" t="s">
        <v>799</v>
      </c>
      <c r="E179" t="s">
        <v>800</v>
      </c>
      <c r="F179" t="s">
        <v>127</v>
      </c>
      <c r="G179">
        <v>1</v>
      </c>
      <c r="H179">
        <v>1</v>
      </c>
      <c r="I179">
        <v>719</v>
      </c>
      <c r="J179">
        <v>0</v>
      </c>
      <c r="K179">
        <v>0</v>
      </c>
      <c r="L179">
        <v>7867.5</v>
      </c>
      <c r="M179">
        <v>3824.8</v>
      </c>
      <c r="N179">
        <v>10077.9</v>
      </c>
      <c r="O179">
        <v>1206.5999999999999</v>
      </c>
      <c r="P179">
        <v>9980.2999999999993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0.06</v>
      </c>
      <c r="W179">
        <v>3.5</v>
      </c>
      <c r="X179">
        <v>0.06</v>
      </c>
      <c r="Y179">
        <v>0</v>
      </c>
      <c r="Z179">
        <v>0</v>
      </c>
      <c r="AA179">
        <v>0</v>
      </c>
      <c r="AB179">
        <v>0</v>
      </c>
      <c r="AC179">
        <v>0.06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L179">
        <v>0</v>
      </c>
      <c r="AM179">
        <v>0</v>
      </c>
      <c r="AN179">
        <v>0</v>
      </c>
    </row>
    <row r="180" spans="1:40" x14ac:dyDescent="0.25">
      <c r="A180">
        <v>179</v>
      </c>
      <c r="B180" t="s">
        <v>801</v>
      </c>
      <c r="C180" t="s">
        <v>802</v>
      </c>
      <c r="D180" t="s">
        <v>803</v>
      </c>
      <c r="E180" t="s">
        <v>804</v>
      </c>
      <c r="F180" t="s">
        <v>213</v>
      </c>
      <c r="G180">
        <v>2</v>
      </c>
      <c r="H180">
        <v>2</v>
      </c>
      <c r="I180">
        <v>3708</v>
      </c>
      <c r="J180">
        <v>0</v>
      </c>
      <c r="K180">
        <v>1</v>
      </c>
      <c r="L180">
        <v>2252.4</v>
      </c>
      <c r="M180">
        <v>1999.5</v>
      </c>
      <c r="N180">
        <v>3967.4</v>
      </c>
      <c r="O180">
        <v>1087.9000000000001</v>
      </c>
      <c r="P180">
        <v>2366.1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1.59</v>
      </c>
      <c r="W180">
        <v>3</v>
      </c>
      <c r="X180">
        <v>1.59</v>
      </c>
      <c r="Y180">
        <v>0</v>
      </c>
      <c r="Z180">
        <v>0</v>
      </c>
      <c r="AA180">
        <v>0</v>
      </c>
      <c r="AB180">
        <v>0</v>
      </c>
      <c r="AC180">
        <v>1.59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L180">
        <v>0</v>
      </c>
      <c r="AM180">
        <v>0</v>
      </c>
      <c r="AN180">
        <v>0</v>
      </c>
    </row>
    <row r="181" spans="1:40" x14ac:dyDescent="0.25">
      <c r="A181">
        <v>180</v>
      </c>
      <c r="B181" t="s">
        <v>805</v>
      </c>
      <c r="C181" t="s">
        <v>806</v>
      </c>
      <c r="D181" t="s">
        <v>807</v>
      </c>
      <c r="E181" t="s">
        <v>808</v>
      </c>
      <c r="F181" t="s">
        <v>809</v>
      </c>
      <c r="G181">
        <v>2</v>
      </c>
      <c r="H181">
        <v>2</v>
      </c>
      <c r="I181">
        <v>1022</v>
      </c>
      <c r="J181">
        <v>0</v>
      </c>
      <c r="K181">
        <v>0</v>
      </c>
      <c r="L181">
        <v>12390.8</v>
      </c>
      <c r="M181">
        <v>8348.1</v>
      </c>
      <c r="N181">
        <v>14601.2</v>
      </c>
      <c r="O181">
        <v>2435.3000000000002</v>
      </c>
      <c r="P181">
        <v>14503.6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1</v>
      </c>
      <c r="X181">
        <v>0</v>
      </c>
      <c r="Y181">
        <v>0</v>
      </c>
      <c r="Z181">
        <v>0.3</v>
      </c>
      <c r="AA181">
        <v>0</v>
      </c>
      <c r="AB181">
        <v>3.7</v>
      </c>
      <c r="AC181">
        <v>0.3</v>
      </c>
      <c r="AD181">
        <v>0</v>
      </c>
      <c r="AE181">
        <v>0</v>
      </c>
      <c r="AF181">
        <v>3.7</v>
      </c>
      <c r="AG181">
        <v>7.4999999999999997E-2</v>
      </c>
      <c r="AH181">
        <v>1</v>
      </c>
      <c r="AI181">
        <v>1</v>
      </c>
      <c r="AJ181">
        <v>2023</v>
      </c>
      <c r="AK181">
        <v>1</v>
      </c>
      <c r="AL181">
        <v>0</v>
      </c>
      <c r="AM181">
        <v>0</v>
      </c>
      <c r="AN181">
        <v>0</v>
      </c>
    </row>
    <row r="182" spans="1:40" x14ac:dyDescent="0.25">
      <c r="A182">
        <v>181</v>
      </c>
      <c r="B182" t="s">
        <v>810</v>
      </c>
      <c r="C182" t="s">
        <v>811</v>
      </c>
      <c r="D182" t="s">
        <v>812</v>
      </c>
      <c r="E182" t="s">
        <v>714</v>
      </c>
      <c r="F182" t="s">
        <v>310</v>
      </c>
      <c r="G182">
        <v>1</v>
      </c>
      <c r="H182">
        <v>1</v>
      </c>
      <c r="I182">
        <v>385</v>
      </c>
      <c r="J182">
        <v>0</v>
      </c>
      <c r="K182">
        <v>1</v>
      </c>
      <c r="L182">
        <v>21696.1</v>
      </c>
      <c r="M182">
        <v>7530</v>
      </c>
      <c r="N182">
        <v>23906.5</v>
      </c>
      <c r="O182">
        <v>558.6</v>
      </c>
      <c r="P182">
        <v>23808.9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0.43</v>
      </c>
      <c r="W182">
        <v>3</v>
      </c>
      <c r="X182">
        <v>0.43</v>
      </c>
      <c r="Y182">
        <v>0</v>
      </c>
      <c r="Z182">
        <v>0</v>
      </c>
      <c r="AA182">
        <v>0</v>
      </c>
      <c r="AB182">
        <v>0</v>
      </c>
      <c r="AC182">
        <v>0.43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2023</v>
      </c>
      <c r="AK182">
        <v>1</v>
      </c>
      <c r="AL182">
        <v>0</v>
      </c>
      <c r="AM182">
        <v>0</v>
      </c>
      <c r="AN182">
        <v>0</v>
      </c>
    </row>
    <row r="183" spans="1:40" x14ac:dyDescent="0.25">
      <c r="A183">
        <v>182</v>
      </c>
      <c r="B183" t="s">
        <v>813</v>
      </c>
      <c r="C183" t="s">
        <v>814</v>
      </c>
      <c r="D183" t="s">
        <v>815</v>
      </c>
      <c r="E183" t="s">
        <v>305</v>
      </c>
      <c r="F183" t="s">
        <v>127</v>
      </c>
      <c r="G183">
        <v>1</v>
      </c>
      <c r="H183">
        <v>1</v>
      </c>
      <c r="I183">
        <v>507</v>
      </c>
      <c r="J183">
        <v>0</v>
      </c>
      <c r="K183">
        <v>0</v>
      </c>
      <c r="L183">
        <v>23282.2</v>
      </c>
      <c r="M183">
        <v>19332.400000000001</v>
      </c>
      <c r="N183">
        <v>25492.6</v>
      </c>
      <c r="O183">
        <v>37.200000000000003</v>
      </c>
      <c r="P183">
        <v>25394.9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4.6500000000000004</v>
      </c>
      <c r="W183">
        <v>3</v>
      </c>
      <c r="X183">
        <v>0.4</v>
      </c>
      <c r="Y183">
        <v>0</v>
      </c>
      <c r="Z183">
        <v>1.1000000000000001</v>
      </c>
      <c r="AA183">
        <v>3.15</v>
      </c>
      <c r="AB183">
        <v>0</v>
      </c>
      <c r="AC183">
        <v>0</v>
      </c>
      <c r="AD183">
        <v>0</v>
      </c>
      <c r="AE183">
        <v>0.2</v>
      </c>
      <c r="AF183">
        <v>4.45</v>
      </c>
      <c r="AG183">
        <v>0</v>
      </c>
      <c r="AH183">
        <v>0</v>
      </c>
      <c r="AI183">
        <v>0</v>
      </c>
      <c r="AL183">
        <v>0</v>
      </c>
      <c r="AM183">
        <v>0</v>
      </c>
      <c r="AN183">
        <v>0</v>
      </c>
    </row>
    <row r="184" spans="1:40" x14ac:dyDescent="0.25">
      <c r="A184">
        <v>183</v>
      </c>
      <c r="B184" t="s">
        <v>816</v>
      </c>
      <c r="C184" t="s">
        <v>817</v>
      </c>
      <c r="D184" t="s">
        <v>818</v>
      </c>
      <c r="E184" t="s">
        <v>819</v>
      </c>
      <c r="F184" t="s">
        <v>176</v>
      </c>
      <c r="G184">
        <v>1</v>
      </c>
      <c r="H184">
        <v>1</v>
      </c>
      <c r="I184">
        <v>216</v>
      </c>
      <c r="J184">
        <v>0</v>
      </c>
      <c r="K184">
        <v>1</v>
      </c>
      <c r="L184">
        <v>2846.7</v>
      </c>
      <c r="M184">
        <v>2090.9</v>
      </c>
      <c r="N184">
        <v>6585.1</v>
      </c>
      <c r="O184">
        <v>910.7</v>
      </c>
      <c r="P184">
        <v>8256.9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</v>
      </c>
      <c r="W184">
        <v>3</v>
      </c>
      <c r="X184">
        <v>0.46</v>
      </c>
      <c r="Y184">
        <v>0</v>
      </c>
      <c r="Z184">
        <v>0</v>
      </c>
      <c r="AA184">
        <v>0</v>
      </c>
      <c r="AB184">
        <v>0</v>
      </c>
      <c r="AC184">
        <v>0.46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L184">
        <v>0</v>
      </c>
      <c r="AM184">
        <v>0</v>
      </c>
      <c r="AN184">
        <v>0</v>
      </c>
    </row>
    <row r="185" spans="1:40" x14ac:dyDescent="0.25">
      <c r="A185">
        <v>184</v>
      </c>
      <c r="B185" t="s">
        <v>820</v>
      </c>
      <c r="C185" t="s">
        <v>821</v>
      </c>
      <c r="D185" t="s">
        <v>822</v>
      </c>
      <c r="E185" t="s">
        <v>354</v>
      </c>
      <c r="F185" t="s">
        <v>176</v>
      </c>
      <c r="G185">
        <v>1</v>
      </c>
      <c r="H185">
        <v>1</v>
      </c>
      <c r="I185">
        <v>259</v>
      </c>
      <c r="J185">
        <v>0</v>
      </c>
      <c r="K185">
        <v>0</v>
      </c>
      <c r="L185">
        <v>5125.6000000000004</v>
      </c>
      <c r="M185">
        <v>5156.3</v>
      </c>
      <c r="N185">
        <v>12297.5</v>
      </c>
      <c r="O185">
        <v>431.3</v>
      </c>
      <c r="P185">
        <v>13969.3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0.71</v>
      </c>
      <c r="W185">
        <v>3</v>
      </c>
      <c r="X185">
        <v>0.71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0.71</v>
      </c>
      <c r="AF185">
        <v>0</v>
      </c>
      <c r="AG185">
        <v>0</v>
      </c>
      <c r="AH185">
        <v>0</v>
      </c>
      <c r="AI185">
        <v>0</v>
      </c>
      <c r="AL185">
        <v>0</v>
      </c>
      <c r="AM185">
        <v>0</v>
      </c>
      <c r="AN185">
        <v>0</v>
      </c>
    </row>
    <row r="186" spans="1:40" x14ac:dyDescent="0.25">
      <c r="A186">
        <v>185</v>
      </c>
      <c r="B186" t="s">
        <v>823</v>
      </c>
      <c r="C186" t="s">
        <v>824</v>
      </c>
      <c r="D186" t="s">
        <v>825</v>
      </c>
      <c r="E186" t="s">
        <v>826</v>
      </c>
      <c r="F186" t="s">
        <v>315</v>
      </c>
      <c r="G186">
        <v>2</v>
      </c>
      <c r="H186">
        <v>1</v>
      </c>
      <c r="I186">
        <v>1509</v>
      </c>
      <c r="J186">
        <v>1</v>
      </c>
      <c r="K186">
        <v>0</v>
      </c>
      <c r="O186">
        <v>2414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5.26</v>
      </c>
      <c r="W186">
        <v>3</v>
      </c>
      <c r="X186">
        <v>0</v>
      </c>
      <c r="Y186">
        <v>0</v>
      </c>
      <c r="Z186">
        <v>0</v>
      </c>
      <c r="AA186">
        <v>0.6</v>
      </c>
      <c r="AB186">
        <v>4.66</v>
      </c>
      <c r="AC186">
        <v>0</v>
      </c>
      <c r="AD186">
        <v>0</v>
      </c>
      <c r="AE186">
        <v>0</v>
      </c>
      <c r="AF186">
        <v>5.26</v>
      </c>
      <c r="AG186">
        <v>0</v>
      </c>
      <c r="AH186">
        <v>1</v>
      </c>
      <c r="AI186">
        <v>1</v>
      </c>
      <c r="AJ186">
        <v>2021</v>
      </c>
      <c r="AK186">
        <v>3</v>
      </c>
      <c r="AL186">
        <v>0</v>
      </c>
      <c r="AM186">
        <v>0</v>
      </c>
      <c r="AN186">
        <v>0</v>
      </c>
    </row>
    <row r="187" spans="1:40" x14ac:dyDescent="0.25">
      <c r="A187">
        <v>186</v>
      </c>
      <c r="B187" t="s">
        <v>827</v>
      </c>
      <c r="C187" t="s">
        <v>828</v>
      </c>
      <c r="D187" t="s">
        <v>829</v>
      </c>
      <c r="E187" t="s">
        <v>830</v>
      </c>
      <c r="F187" t="s">
        <v>315</v>
      </c>
      <c r="G187">
        <v>2</v>
      </c>
      <c r="H187">
        <v>1</v>
      </c>
      <c r="I187">
        <v>702</v>
      </c>
      <c r="J187">
        <v>1</v>
      </c>
      <c r="K187">
        <v>0</v>
      </c>
      <c r="O187">
        <v>8055.3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17.11</v>
      </c>
      <c r="W187">
        <v>2.5</v>
      </c>
      <c r="X187">
        <v>0</v>
      </c>
      <c r="Y187">
        <v>0</v>
      </c>
      <c r="Z187">
        <v>0</v>
      </c>
      <c r="AA187">
        <v>0</v>
      </c>
      <c r="AB187">
        <v>17.11</v>
      </c>
      <c r="AC187">
        <v>0</v>
      </c>
      <c r="AD187">
        <v>0</v>
      </c>
      <c r="AE187">
        <v>0</v>
      </c>
      <c r="AF187">
        <v>17.11</v>
      </c>
      <c r="AG187">
        <v>0</v>
      </c>
      <c r="AH187">
        <v>0</v>
      </c>
      <c r="AI187">
        <v>0</v>
      </c>
      <c r="AL187">
        <v>1</v>
      </c>
      <c r="AM187">
        <v>0</v>
      </c>
      <c r="AN187">
        <v>1</v>
      </c>
    </row>
    <row r="188" spans="1:40" x14ac:dyDescent="0.25">
      <c r="A188">
        <v>187</v>
      </c>
      <c r="B188" t="s">
        <v>831</v>
      </c>
      <c r="C188" t="s">
        <v>832</v>
      </c>
      <c r="D188" t="s">
        <v>833</v>
      </c>
      <c r="E188" t="s">
        <v>834</v>
      </c>
      <c r="F188" t="s">
        <v>100</v>
      </c>
      <c r="G188">
        <v>2</v>
      </c>
      <c r="H188">
        <v>1</v>
      </c>
      <c r="I188">
        <v>5063</v>
      </c>
      <c r="J188">
        <v>0</v>
      </c>
      <c r="K188">
        <v>1</v>
      </c>
      <c r="L188">
        <v>868.8</v>
      </c>
      <c r="M188">
        <v>979.1</v>
      </c>
      <c r="N188">
        <v>2413.4</v>
      </c>
      <c r="O188">
        <v>126.3</v>
      </c>
      <c r="P188">
        <v>28513.599999999999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0.32</v>
      </c>
      <c r="W188">
        <v>6</v>
      </c>
      <c r="X188">
        <v>0.32</v>
      </c>
      <c r="Y188">
        <v>0</v>
      </c>
      <c r="Z188">
        <v>0</v>
      </c>
      <c r="AA188">
        <v>0</v>
      </c>
      <c r="AB188">
        <v>0</v>
      </c>
      <c r="AC188">
        <v>0.32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L188">
        <v>0</v>
      </c>
      <c r="AM188">
        <v>0</v>
      </c>
      <c r="AN188">
        <v>0</v>
      </c>
    </row>
    <row r="189" spans="1:40" x14ac:dyDescent="0.25">
      <c r="A189">
        <v>188</v>
      </c>
      <c r="B189" t="s">
        <v>835</v>
      </c>
      <c r="C189" t="s">
        <v>836</v>
      </c>
      <c r="D189" t="s">
        <v>837</v>
      </c>
      <c r="E189" t="s">
        <v>624</v>
      </c>
      <c r="F189" t="s">
        <v>315</v>
      </c>
      <c r="G189">
        <v>1</v>
      </c>
      <c r="H189">
        <v>1</v>
      </c>
      <c r="I189">
        <v>923</v>
      </c>
      <c r="J189">
        <v>0</v>
      </c>
      <c r="K189">
        <v>0</v>
      </c>
      <c r="L189">
        <v>747.7</v>
      </c>
      <c r="M189">
        <v>826.7</v>
      </c>
      <c r="N189">
        <v>1900.4</v>
      </c>
      <c r="O189">
        <v>218.6</v>
      </c>
      <c r="P189">
        <v>550.5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0.41</v>
      </c>
      <c r="W189">
        <v>3.5</v>
      </c>
      <c r="X189">
        <v>0.41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0.41</v>
      </c>
      <c r="AF189">
        <v>0</v>
      </c>
      <c r="AG189">
        <v>0</v>
      </c>
      <c r="AH189">
        <v>0</v>
      </c>
      <c r="AI189">
        <v>0</v>
      </c>
      <c r="AL189">
        <v>0</v>
      </c>
      <c r="AM189">
        <v>0</v>
      </c>
      <c r="AN189">
        <v>0</v>
      </c>
    </row>
    <row r="190" spans="1:40" x14ac:dyDescent="0.25">
      <c r="A190">
        <v>189</v>
      </c>
      <c r="B190" t="s">
        <v>838</v>
      </c>
      <c r="C190" t="s">
        <v>839</v>
      </c>
      <c r="D190" t="s">
        <v>840</v>
      </c>
      <c r="E190" t="s">
        <v>841</v>
      </c>
      <c r="F190" t="s">
        <v>315</v>
      </c>
      <c r="G190">
        <v>2</v>
      </c>
      <c r="H190">
        <v>1</v>
      </c>
      <c r="I190">
        <v>1550</v>
      </c>
      <c r="J190">
        <v>1</v>
      </c>
      <c r="K190">
        <v>0</v>
      </c>
      <c r="L190">
        <v>0</v>
      </c>
      <c r="M190">
        <v>635.29999999999995</v>
      </c>
      <c r="N190">
        <v>1218.9000000000001</v>
      </c>
      <c r="O190">
        <v>374</v>
      </c>
      <c r="P190">
        <v>27832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0.53</v>
      </c>
      <c r="W190">
        <v>5</v>
      </c>
      <c r="X190">
        <v>0.53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0.53</v>
      </c>
      <c r="AE190">
        <v>0</v>
      </c>
      <c r="AF190">
        <v>0</v>
      </c>
      <c r="AG190">
        <v>1</v>
      </c>
      <c r="AH190">
        <v>0</v>
      </c>
      <c r="AI190">
        <v>0</v>
      </c>
      <c r="AL190">
        <v>0</v>
      </c>
      <c r="AM190">
        <v>0</v>
      </c>
      <c r="AN190">
        <v>0</v>
      </c>
    </row>
    <row r="191" spans="1:40" x14ac:dyDescent="0.25">
      <c r="A191">
        <v>190</v>
      </c>
      <c r="B191" t="s">
        <v>842</v>
      </c>
      <c r="C191" t="s">
        <v>843</v>
      </c>
      <c r="D191" t="s">
        <v>844</v>
      </c>
      <c r="E191" t="s">
        <v>401</v>
      </c>
      <c r="F191" t="s">
        <v>100</v>
      </c>
      <c r="G191">
        <v>1</v>
      </c>
      <c r="H191">
        <v>1</v>
      </c>
      <c r="I191">
        <v>775</v>
      </c>
      <c r="J191">
        <v>0</v>
      </c>
      <c r="K191">
        <v>1</v>
      </c>
      <c r="L191">
        <v>3005.6</v>
      </c>
      <c r="M191">
        <v>1468.3</v>
      </c>
      <c r="N191">
        <v>4799.3</v>
      </c>
      <c r="O191">
        <v>181.9</v>
      </c>
      <c r="P191">
        <v>2936.4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0.28999999999999998</v>
      </c>
      <c r="W191">
        <v>3</v>
      </c>
      <c r="X191">
        <v>0.28999999999999998</v>
      </c>
      <c r="Y191">
        <v>0</v>
      </c>
      <c r="Z191">
        <v>0</v>
      </c>
      <c r="AA191">
        <v>0</v>
      </c>
      <c r="AB191">
        <v>0</v>
      </c>
      <c r="AC191">
        <v>0.28999999999999998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L191">
        <v>0</v>
      </c>
      <c r="AM191">
        <v>0</v>
      </c>
      <c r="AN191">
        <v>0</v>
      </c>
    </row>
    <row r="192" spans="1:40" x14ac:dyDescent="0.25">
      <c r="A192">
        <v>191</v>
      </c>
      <c r="B192" t="s">
        <v>845</v>
      </c>
      <c r="C192" t="s">
        <v>846</v>
      </c>
      <c r="D192" t="s">
        <v>847</v>
      </c>
      <c r="E192" t="s">
        <v>339</v>
      </c>
      <c r="F192" t="s">
        <v>310</v>
      </c>
      <c r="G192">
        <v>1</v>
      </c>
      <c r="H192">
        <v>1</v>
      </c>
      <c r="I192">
        <v>303</v>
      </c>
      <c r="J192">
        <v>0</v>
      </c>
      <c r="K192">
        <v>1</v>
      </c>
      <c r="L192">
        <v>13549.6</v>
      </c>
      <c r="M192">
        <v>9506.7999999999993</v>
      </c>
      <c r="N192">
        <v>15760</v>
      </c>
      <c r="O192">
        <v>3510.6</v>
      </c>
      <c r="P192">
        <v>15662.3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2.06</v>
      </c>
      <c r="W192">
        <v>3.5</v>
      </c>
      <c r="X192">
        <v>1.9</v>
      </c>
      <c r="Y192">
        <v>0</v>
      </c>
      <c r="Z192">
        <v>0</v>
      </c>
      <c r="AA192">
        <v>0.16</v>
      </c>
      <c r="AB192">
        <v>0</v>
      </c>
      <c r="AC192">
        <v>0</v>
      </c>
      <c r="AD192">
        <v>1.1000000000000001</v>
      </c>
      <c r="AE192">
        <v>0.8</v>
      </c>
      <c r="AF192">
        <v>0.16</v>
      </c>
      <c r="AG192">
        <v>0.53398058252427183</v>
      </c>
      <c r="AH192">
        <v>0</v>
      </c>
      <c r="AI192">
        <v>0</v>
      </c>
      <c r="AL192">
        <v>0</v>
      </c>
      <c r="AM192">
        <v>0</v>
      </c>
      <c r="AN192">
        <v>0</v>
      </c>
    </row>
    <row r="193" spans="1:40" x14ac:dyDescent="0.25">
      <c r="A193">
        <v>192</v>
      </c>
      <c r="B193" t="s">
        <v>848</v>
      </c>
      <c r="C193" t="s">
        <v>849</v>
      </c>
      <c r="D193" t="s">
        <v>850</v>
      </c>
      <c r="E193" t="s">
        <v>851</v>
      </c>
      <c r="F193" t="s">
        <v>100</v>
      </c>
      <c r="G193">
        <v>2</v>
      </c>
      <c r="H193">
        <v>1</v>
      </c>
      <c r="I193">
        <v>5039</v>
      </c>
      <c r="J193">
        <v>0</v>
      </c>
      <c r="K193">
        <v>0</v>
      </c>
      <c r="L193">
        <v>1650.5</v>
      </c>
      <c r="M193">
        <v>975.7</v>
      </c>
      <c r="N193">
        <v>2943.6</v>
      </c>
      <c r="O193">
        <v>503.6</v>
      </c>
      <c r="P193">
        <v>1781.7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0.41</v>
      </c>
      <c r="W193">
        <v>3</v>
      </c>
      <c r="X193">
        <v>0.41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0.41</v>
      </c>
      <c r="AE193">
        <v>0</v>
      </c>
      <c r="AF193">
        <v>0</v>
      </c>
      <c r="AG193">
        <v>1</v>
      </c>
      <c r="AH193">
        <v>0</v>
      </c>
      <c r="AI193">
        <v>0</v>
      </c>
      <c r="AL193">
        <v>0</v>
      </c>
      <c r="AM193">
        <v>0</v>
      </c>
      <c r="AN193">
        <v>0</v>
      </c>
    </row>
    <row r="194" spans="1:40" x14ac:dyDescent="0.25">
      <c r="A194">
        <v>193</v>
      </c>
      <c r="B194" t="s">
        <v>852</v>
      </c>
      <c r="C194" t="s">
        <v>853</v>
      </c>
      <c r="D194" t="s">
        <v>854</v>
      </c>
      <c r="E194" t="s">
        <v>367</v>
      </c>
      <c r="F194" t="s">
        <v>100</v>
      </c>
      <c r="G194">
        <v>1</v>
      </c>
      <c r="H194">
        <v>1</v>
      </c>
      <c r="I194">
        <v>1142</v>
      </c>
      <c r="J194">
        <v>0</v>
      </c>
      <c r="K194">
        <v>0</v>
      </c>
      <c r="L194">
        <v>591.1</v>
      </c>
      <c r="M194">
        <v>980.3</v>
      </c>
      <c r="N194">
        <v>2783.1</v>
      </c>
      <c r="O194">
        <v>386.8</v>
      </c>
      <c r="P194">
        <v>920.2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0.38</v>
      </c>
      <c r="W194">
        <v>5</v>
      </c>
      <c r="X194">
        <v>0.38</v>
      </c>
      <c r="Y194">
        <v>0</v>
      </c>
      <c r="Z194">
        <v>0</v>
      </c>
      <c r="AA194">
        <v>0</v>
      </c>
      <c r="AB194">
        <v>0</v>
      </c>
      <c r="AC194">
        <v>0.38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L194">
        <v>0</v>
      </c>
      <c r="AM194">
        <v>0</v>
      </c>
      <c r="AN194">
        <v>0</v>
      </c>
    </row>
    <row r="195" spans="1:40" x14ac:dyDescent="0.25">
      <c r="A195">
        <v>194</v>
      </c>
      <c r="B195" t="s">
        <v>855</v>
      </c>
      <c r="C195" t="s">
        <v>856</v>
      </c>
      <c r="D195" t="s">
        <v>857</v>
      </c>
      <c r="E195" t="s">
        <v>858</v>
      </c>
      <c r="F195" t="s">
        <v>127</v>
      </c>
      <c r="G195">
        <v>5</v>
      </c>
      <c r="H195">
        <v>1</v>
      </c>
      <c r="I195">
        <v>1863</v>
      </c>
      <c r="J195">
        <v>0</v>
      </c>
      <c r="K195">
        <v>1</v>
      </c>
      <c r="L195">
        <v>8440.6</v>
      </c>
      <c r="M195">
        <v>4490.8999999999996</v>
      </c>
      <c r="N195">
        <v>10651</v>
      </c>
      <c r="O195">
        <v>290.7</v>
      </c>
      <c r="P195">
        <v>10553.4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8.8800000000000008</v>
      </c>
      <c r="W195">
        <v>3.5</v>
      </c>
      <c r="X195">
        <v>8.8800000000000008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4.2</v>
      </c>
      <c r="AE195">
        <v>3.08</v>
      </c>
      <c r="AF195">
        <v>1.6</v>
      </c>
      <c r="AG195">
        <v>0.47297297297297303</v>
      </c>
      <c r="AH195">
        <v>1</v>
      </c>
      <c r="AI195">
        <v>1</v>
      </c>
      <c r="AJ195">
        <v>2021</v>
      </c>
      <c r="AK195">
        <v>3</v>
      </c>
      <c r="AL195">
        <v>1</v>
      </c>
      <c r="AM195">
        <v>0</v>
      </c>
      <c r="AN195">
        <v>1</v>
      </c>
    </row>
    <row r="196" spans="1:40" x14ac:dyDescent="0.25">
      <c r="A196">
        <v>195</v>
      </c>
      <c r="B196" t="s">
        <v>859</v>
      </c>
      <c r="C196" t="s">
        <v>860</v>
      </c>
      <c r="D196" t="s">
        <v>861</v>
      </c>
      <c r="E196" t="s">
        <v>862</v>
      </c>
      <c r="F196" t="s">
        <v>105</v>
      </c>
      <c r="G196">
        <v>2</v>
      </c>
      <c r="H196">
        <v>1</v>
      </c>
      <c r="I196">
        <v>1190</v>
      </c>
      <c r="J196">
        <v>0</v>
      </c>
      <c r="K196">
        <v>1</v>
      </c>
      <c r="L196">
        <v>2158.3000000000002</v>
      </c>
      <c r="M196">
        <v>977.1</v>
      </c>
      <c r="N196">
        <v>5204.5</v>
      </c>
      <c r="O196">
        <v>1039.7</v>
      </c>
      <c r="P196">
        <v>5665.1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1.23</v>
      </c>
      <c r="W196">
        <v>3</v>
      </c>
      <c r="X196">
        <v>1.23</v>
      </c>
      <c r="Y196">
        <v>0</v>
      </c>
      <c r="Z196">
        <v>0</v>
      </c>
      <c r="AA196">
        <v>0</v>
      </c>
      <c r="AB196">
        <v>0</v>
      </c>
      <c r="AC196">
        <v>1.23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2023</v>
      </c>
      <c r="AK196">
        <v>1</v>
      </c>
      <c r="AL196">
        <v>0</v>
      </c>
      <c r="AM196">
        <v>0</v>
      </c>
      <c r="AN196">
        <v>0</v>
      </c>
    </row>
    <row r="197" spans="1:40" x14ac:dyDescent="0.25">
      <c r="A197">
        <v>196</v>
      </c>
      <c r="B197" t="s">
        <v>863</v>
      </c>
      <c r="C197" t="s">
        <v>864</v>
      </c>
      <c r="D197" t="s">
        <v>865</v>
      </c>
      <c r="E197" t="s">
        <v>144</v>
      </c>
      <c r="F197" t="s">
        <v>100</v>
      </c>
      <c r="G197">
        <v>1</v>
      </c>
      <c r="H197">
        <v>1</v>
      </c>
      <c r="I197">
        <v>786</v>
      </c>
      <c r="J197">
        <v>0</v>
      </c>
      <c r="K197">
        <v>0</v>
      </c>
      <c r="L197">
        <v>5334</v>
      </c>
      <c r="M197">
        <v>4207.6000000000004</v>
      </c>
      <c r="N197">
        <v>6349.2</v>
      </c>
      <c r="O197">
        <v>481.1</v>
      </c>
      <c r="P197">
        <v>5015.7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0.68</v>
      </c>
      <c r="W197">
        <v>3</v>
      </c>
      <c r="X197">
        <v>0.68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0.68</v>
      </c>
      <c r="AE197">
        <v>0</v>
      </c>
      <c r="AF197">
        <v>0</v>
      </c>
      <c r="AG197">
        <v>1</v>
      </c>
      <c r="AH197">
        <v>0</v>
      </c>
      <c r="AI197">
        <v>0</v>
      </c>
      <c r="AL197">
        <v>0</v>
      </c>
      <c r="AM197">
        <v>0</v>
      </c>
      <c r="AN197">
        <v>0</v>
      </c>
    </row>
    <row r="198" spans="1:40" x14ac:dyDescent="0.25">
      <c r="A198">
        <v>197</v>
      </c>
      <c r="B198" t="s">
        <v>866</v>
      </c>
      <c r="C198" t="s">
        <v>867</v>
      </c>
      <c r="D198" t="s">
        <v>868</v>
      </c>
      <c r="E198" t="s">
        <v>869</v>
      </c>
      <c r="F198" t="s">
        <v>213</v>
      </c>
      <c r="G198">
        <v>2</v>
      </c>
      <c r="H198">
        <v>2</v>
      </c>
      <c r="I198">
        <v>1928</v>
      </c>
      <c r="J198">
        <v>0</v>
      </c>
      <c r="K198">
        <v>0</v>
      </c>
      <c r="L198">
        <v>4307.5</v>
      </c>
      <c r="M198">
        <v>3805.9</v>
      </c>
      <c r="N198">
        <v>4316.5</v>
      </c>
      <c r="O198">
        <v>79.2</v>
      </c>
      <c r="P198">
        <v>4625.8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2.23</v>
      </c>
      <c r="W198">
        <v>3</v>
      </c>
      <c r="X198">
        <v>2.23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2.0299999999999998</v>
      </c>
      <c r="AE198">
        <v>0.2</v>
      </c>
      <c r="AF198">
        <v>0</v>
      </c>
      <c r="AG198">
        <v>0.91031390134529144</v>
      </c>
      <c r="AH198">
        <v>0</v>
      </c>
      <c r="AI198">
        <v>0</v>
      </c>
      <c r="AL198">
        <v>0</v>
      </c>
      <c r="AM198">
        <v>0</v>
      </c>
      <c r="AN198">
        <v>0</v>
      </c>
    </row>
    <row r="199" spans="1:40" x14ac:dyDescent="0.25">
      <c r="A199">
        <v>198</v>
      </c>
      <c r="B199" t="s">
        <v>870</v>
      </c>
      <c r="C199" t="s">
        <v>871</v>
      </c>
      <c r="D199" t="s">
        <v>872</v>
      </c>
      <c r="E199" t="s">
        <v>873</v>
      </c>
      <c r="F199" t="s">
        <v>127</v>
      </c>
      <c r="G199">
        <v>1</v>
      </c>
      <c r="H199">
        <v>1</v>
      </c>
      <c r="I199">
        <v>373</v>
      </c>
      <c r="J199">
        <v>0</v>
      </c>
      <c r="K199">
        <v>0</v>
      </c>
      <c r="L199">
        <v>8716.9</v>
      </c>
      <c r="M199">
        <v>4767.1000000000004</v>
      </c>
      <c r="N199">
        <v>10927.3</v>
      </c>
      <c r="O199">
        <v>566.9</v>
      </c>
      <c r="P199">
        <v>10829.6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0.22</v>
      </c>
      <c r="W199">
        <v>3</v>
      </c>
      <c r="X199">
        <v>0</v>
      </c>
      <c r="Y199">
        <v>0</v>
      </c>
      <c r="Z199">
        <v>0</v>
      </c>
      <c r="AA199">
        <v>0.22</v>
      </c>
      <c r="AB199">
        <v>0</v>
      </c>
      <c r="AC199">
        <v>0</v>
      </c>
      <c r="AD199">
        <v>0</v>
      </c>
      <c r="AE199">
        <v>0</v>
      </c>
      <c r="AF199">
        <v>0.22</v>
      </c>
      <c r="AG199">
        <v>0</v>
      </c>
      <c r="AH199">
        <v>1</v>
      </c>
      <c r="AI199">
        <v>2</v>
      </c>
      <c r="AJ199">
        <v>2023</v>
      </c>
      <c r="AK199">
        <v>1</v>
      </c>
      <c r="AL199">
        <v>0</v>
      </c>
      <c r="AM199">
        <v>0</v>
      </c>
      <c r="AN199">
        <v>0</v>
      </c>
    </row>
    <row r="200" spans="1:40" x14ac:dyDescent="0.25">
      <c r="A200">
        <v>199</v>
      </c>
      <c r="B200" t="s">
        <v>874</v>
      </c>
      <c r="C200" t="s">
        <v>875</v>
      </c>
      <c r="D200" t="s">
        <v>876</v>
      </c>
      <c r="E200" t="s">
        <v>800</v>
      </c>
      <c r="F200" t="s">
        <v>127</v>
      </c>
      <c r="G200">
        <v>1</v>
      </c>
      <c r="H200">
        <v>1</v>
      </c>
      <c r="I200">
        <v>719</v>
      </c>
      <c r="J200">
        <v>0</v>
      </c>
      <c r="K200">
        <v>1</v>
      </c>
      <c r="L200">
        <v>8420.7999999999993</v>
      </c>
      <c r="M200">
        <v>4378.1000000000004</v>
      </c>
      <c r="N200">
        <v>10631.2</v>
      </c>
      <c r="O200">
        <v>1759.9</v>
      </c>
      <c r="P200">
        <v>10533.6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3.27</v>
      </c>
      <c r="W200">
        <v>3.5</v>
      </c>
      <c r="X200">
        <v>2.97</v>
      </c>
      <c r="Y200">
        <v>0</v>
      </c>
      <c r="Z200">
        <v>0</v>
      </c>
      <c r="AA200">
        <v>0.3</v>
      </c>
      <c r="AB200">
        <v>0</v>
      </c>
      <c r="AC200">
        <v>2.97</v>
      </c>
      <c r="AD200">
        <v>0</v>
      </c>
      <c r="AE200">
        <v>0</v>
      </c>
      <c r="AF200">
        <v>0.3</v>
      </c>
      <c r="AG200">
        <v>0.90825688073394506</v>
      </c>
      <c r="AH200">
        <v>1</v>
      </c>
      <c r="AI200">
        <v>1</v>
      </c>
      <c r="AJ200">
        <v>2022</v>
      </c>
      <c r="AK200">
        <v>2</v>
      </c>
      <c r="AL200">
        <v>1</v>
      </c>
      <c r="AM200">
        <v>0</v>
      </c>
      <c r="AN200">
        <v>1</v>
      </c>
    </row>
    <row r="201" spans="1:40" x14ac:dyDescent="0.25">
      <c r="A201">
        <v>200</v>
      </c>
      <c r="B201" t="s">
        <v>877</v>
      </c>
      <c r="C201" t="s">
        <v>878</v>
      </c>
      <c r="D201" t="s">
        <v>879</v>
      </c>
      <c r="E201" t="s">
        <v>880</v>
      </c>
      <c r="F201" t="s">
        <v>176</v>
      </c>
      <c r="G201">
        <v>1</v>
      </c>
      <c r="H201">
        <v>1</v>
      </c>
      <c r="I201">
        <v>588</v>
      </c>
      <c r="J201">
        <v>0</v>
      </c>
      <c r="K201">
        <v>0</v>
      </c>
      <c r="L201">
        <v>4931.7</v>
      </c>
      <c r="M201">
        <v>2122.4</v>
      </c>
      <c r="N201">
        <v>6512</v>
      </c>
      <c r="O201">
        <v>2411.6</v>
      </c>
      <c r="P201">
        <v>8183.9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0.91</v>
      </c>
      <c r="W201">
        <v>3.5</v>
      </c>
      <c r="X201">
        <v>0.2</v>
      </c>
      <c r="Y201">
        <v>0</v>
      </c>
      <c r="Z201">
        <v>0</v>
      </c>
      <c r="AA201">
        <v>0.71</v>
      </c>
      <c r="AB201">
        <v>0</v>
      </c>
      <c r="AC201">
        <v>0.4</v>
      </c>
      <c r="AD201">
        <v>0</v>
      </c>
      <c r="AE201">
        <v>0</v>
      </c>
      <c r="AF201">
        <v>0.51</v>
      </c>
      <c r="AG201">
        <v>0.43956043956043961</v>
      </c>
      <c r="AH201">
        <v>0</v>
      </c>
      <c r="AI201">
        <v>0</v>
      </c>
      <c r="AL201">
        <v>1</v>
      </c>
      <c r="AM201">
        <v>1</v>
      </c>
      <c r="AN201">
        <v>0</v>
      </c>
    </row>
    <row r="202" spans="1:40" x14ac:dyDescent="0.25">
      <c r="A202">
        <v>201</v>
      </c>
      <c r="B202" t="s">
        <v>881</v>
      </c>
      <c r="C202" t="s">
        <v>882</v>
      </c>
      <c r="D202" t="s">
        <v>883</v>
      </c>
      <c r="E202" t="s">
        <v>880</v>
      </c>
      <c r="F202" t="s">
        <v>176</v>
      </c>
      <c r="G202">
        <v>1</v>
      </c>
      <c r="H202">
        <v>1</v>
      </c>
      <c r="I202">
        <v>588</v>
      </c>
      <c r="J202">
        <v>0</v>
      </c>
      <c r="K202">
        <v>0</v>
      </c>
      <c r="L202">
        <v>4610.6000000000004</v>
      </c>
      <c r="M202">
        <v>1457.8</v>
      </c>
      <c r="N202">
        <v>5847.5</v>
      </c>
      <c r="O202">
        <v>2090.4</v>
      </c>
      <c r="P202">
        <v>7519.3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1.96</v>
      </c>
      <c r="W202">
        <v>3.5</v>
      </c>
      <c r="X202">
        <v>1.96</v>
      </c>
      <c r="Y202">
        <v>0</v>
      </c>
      <c r="Z202">
        <v>0</v>
      </c>
      <c r="AA202">
        <v>0</v>
      </c>
      <c r="AB202">
        <v>0</v>
      </c>
      <c r="AC202">
        <v>1.96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2022</v>
      </c>
      <c r="AK202">
        <v>2</v>
      </c>
      <c r="AL202">
        <v>0</v>
      </c>
      <c r="AM202">
        <v>0</v>
      </c>
      <c r="AN202">
        <v>0</v>
      </c>
    </row>
    <row r="203" spans="1:40" x14ac:dyDescent="0.25">
      <c r="A203">
        <v>202</v>
      </c>
      <c r="B203" t="s">
        <v>884</v>
      </c>
      <c r="C203" t="s">
        <v>885</v>
      </c>
      <c r="D203" t="s">
        <v>886</v>
      </c>
      <c r="E203" t="s">
        <v>378</v>
      </c>
      <c r="F203" t="s">
        <v>105</v>
      </c>
      <c r="G203">
        <v>2</v>
      </c>
      <c r="H203">
        <v>1</v>
      </c>
      <c r="I203">
        <v>1247</v>
      </c>
      <c r="J203">
        <v>0</v>
      </c>
      <c r="K203">
        <v>0</v>
      </c>
      <c r="L203">
        <v>3337.8</v>
      </c>
      <c r="M203">
        <v>3247.5</v>
      </c>
      <c r="N203">
        <v>3308.3</v>
      </c>
      <c r="O203">
        <v>833.6</v>
      </c>
      <c r="P203">
        <v>4706.8999999999996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0.34</v>
      </c>
      <c r="W203">
        <v>3</v>
      </c>
      <c r="X203">
        <v>0</v>
      </c>
      <c r="Y203">
        <v>0</v>
      </c>
      <c r="Z203">
        <v>0</v>
      </c>
      <c r="AA203">
        <v>0.34</v>
      </c>
      <c r="AB203">
        <v>0</v>
      </c>
      <c r="AC203">
        <v>0</v>
      </c>
      <c r="AD203">
        <v>0</v>
      </c>
      <c r="AE203">
        <v>0</v>
      </c>
      <c r="AF203">
        <v>0.34</v>
      </c>
      <c r="AG203">
        <v>0</v>
      </c>
      <c r="AH203">
        <v>0</v>
      </c>
      <c r="AI203">
        <v>0</v>
      </c>
      <c r="AL203">
        <v>1</v>
      </c>
      <c r="AM203">
        <v>0</v>
      </c>
      <c r="AN203">
        <v>1</v>
      </c>
    </row>
    <row r="204" spans="1:40" x14ac:dyDescent="0.25">
      <c r="A204">
        <v>203</v>
      </c>
      <c r="B204" t="s">
        <v>887</v>
      </c>
      <c r="C204" t="s">
        <v>888</v>
      </c>
      <c r="D204" t="s">
        <v>889</v>
      </c>
      <c r="E204" t="s">
        <v>890</v>
      </c>
      <c r="F204" t="s">
        <v>891</v>
      </c>
      <c r="G204">
        <v>5</v>
      </c>
      <c r="H204">
        <v>2</v>
      </c>
      <c r="I204">
        <v>4562</v>
      </c>
      <c r="J204">
        <v>0</v>
      </c>
      <c r="K204">
        <v>0</v>
      </c>
      <c r="L204">
        <v>1580.3</v>
      </c>
      <c r="M204">
        <v>945</v>
      </c>
      <c r="N204">
        <v>2799.2</v>
      </c>
      <c r="O204">
        <v>422.7</v>
      </c>
      <c r="P204">
        <v>29412.3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1.82</v>
      </c>
      <c r="W204">
        <v>3</v>
      </c>
      <c r="X204">
        <v>1.4</v>
      </c>
      <c r="Y204">
        <v>0</v>
      </c>
      <c r="Z204">
        <v>0.42</v>
      </c>
      <c r="AA204">
        <v>0</v>
      </c>
      <c r="AB204">
        <v>0</v>
      </c>
      <c r="AC204">
        <v>0</v>
      </c>
      <c r="AD204">
        <v>0.6</v>
      </c>
      <c r="AE204">
        <v>0.6</v>
      </c>
      <c r="AF204">
        <v>0.62</v>
      </c>
      <c r="AG204">
        <v>0.32967032967032972</v>
      </c>
      <c r="AH204">
        <v>0</v>
      </c>
      <c r="AI204">
        <v>0</v>
      </c>
      <c r="AL204">
        <v>0</v>
      </c>
      <c r="AM204">
        <v>0</v>
      </c>
      <c r="AN204">
        <v>0</v>
      </c>
    </row>
    <row r="205" spans="1:40" x14ac:dyDescent="0.25">
      <c r="A205">
        <v>204</v>
      </c>
      <c r="B205" t="s">
        <v>892</v>
      </c>
      <c r="C205" t="s">
        <v>893</v>
      </c>
      <c r="D205" t="s">
        <v>894</v>
      </c>
      <c r="E205" t="s">
        <v>895</v>
      </c>
      <c r="F205" t="s">
        <v>363</v>
      </c>
      <c r="G205">
        <v>1</v>
      </c>
      <c r="H205">
        <v>1</v>
      </c>
      <c r="I205">
        <v>539</v>
      </c>
      <c r="J205">
        <v>0</v>
      </c>
      <c r="K205">
        <v>0</v>
      </c>
      <c r="L205">
        <v>1383.3</v>
      </c>
      <c r="M205">
        <v>748</v>
      </c>
      <c r="N205">
        <v>2602.1999999999998</v>
      </c>
      <c r="O205">
        <v>86.4</v>
      </c>
      <c r="P205">
        <v>29215.3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0.32</v>
      </c>
      <c r="W205">
        <v>3.5</v>
      </c>
      <c r="X205">
        <v>0.32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0.32</v>
      </c>
      <c r="AE205">
        <v>0</v>
      </c>
      <c r="AF205">
        <v>0</v>
      </c>
      <c r="AG205">
        <v>1</v>
      </c>
      <c r="AH205">
        <v>0</v>
      </c>
      <c r="AI205">
        <v>0</v>
      </c>
      <c r="AL205">
        <v>0</v>
      </c>
      <c r="AM205">
        <v>0</v>
      </c>
      <c r="AN205">
        <v>0</v>
      </c>
    </row>
    <row r="206" spans="1:40" x14ac:dyDescent="0.25">
      <c r="A206">
        <v>205</v>
      </c>
      <c r="B206" t="s">
        <v>896</v>
      </c>
      <c r="C206" t="s">
        <v>897</v>
      </c>
      <c r="D206" t="s">
        <v>898</v>
      </c>
      <c r="E206" t="s">
        <v>899</v>
      </c>
      <c r="F206" t="s">
        <v>363</v>
      </c>
      <c r="G206">
        <v>1</v>
      </c>
      <c r="H206">
        <v>1</v>
      </c>
      <c r="I206">
        <v>727</v>
      </c>
      <c r="J206">
        <v>0</v>
      </c>
      <c r="K206">
        <v>0</v>
      </c>
      <c r="L206">
        <v>1686.7</v>
      </c>
      <c r="M206">
        <v>1051.4000000000001</v>
      </c>
      <c r="N206">
        <v>2905.6</v>
      </c>
      <c r="O206">
        <v>177</v>
      </c>
      <c r="P206">
        <v>29518.7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0.28999999999999998</v>
      </c>
      <c r="W206">
        <v>3.5</v>
      </c>
      <c r="X206">
        <v>0.28999999999999998</v>
      </c>
      <c r="Y206">
        <v>0</v>
      </c>
      <c r="Z206">
        <v>0</v>
      </c>
      <c r="AA206">
        <v>0</v>
      </c>
      <c r="AB206">
        <v>0</v>
      </c>
      <c r="AC206">
        <v>0.28999999999999998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L206">
        <v>0</v>
      </c>
      <c r="AM206">
        <v>0</v>
      </c>
      <c r="AN206">
        <v>0</v>
      </c>
    </row>
    <row r="207" spans="1:40" x14ac:dyDescent="0.25">
      <c r="A207">
        <v>206</v>
      </c>
      <c r="B207" t="s">
        <v>900</v>
      </c>
      <c r="C207" t="s">
        <v>901</v>
      </c>
      <c r="D207" t="s">
        <v>902</v>
      </c>
      <c r="E207" t="s">
        <v>899</v>
      </c>
      <c r="F207" t="s">
        <v>363</v>
      </c>
      <c r="G207">
        <v>1</v>
      </c>
      <c r="H207">
        <v>1</v>
      </c>
      <c r="I207">
        <v>727</v>
      </c>
      <c r="J207">
        <v>0</v>
      </c>
      <c r="K207">
        <v>0</v>
      </c>
      <c r="L207">
        <v>1984.4</v>
      </c>
      <c r="M207">
        <v>1349.1</v>
      </c>
      <c r="N207">
        <v>3203.3</v>
      </c>
      <c r="O207">
        <v>201.1</v>
      </c>
      <c r="P207">
        <v>29816.400000000001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0.28000000000000003</v>
      </c>
      <c r="W207">
        <v>3.5</v>
      </c>
      <c r="X207">
        <v>0.28000000000000003</v>
      </c>
      <c r="Y207">
        <v>0</v>
      </c>
      <c r="Z207">
        <v>0</v>
      </c>
      <c r="AA207">
        <v>0</v>
      </c>
      <c r="AB207">
        <v>0</v>
      </c>
      <c r="AC207">
        <v>0.28000000000000003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L207">
        <v>0</v>
      </c>
      <c r="AM207">
        <v>0</v>
      </c>
      <c r="AN207">
        <v>0</v>
      </c>
    </row>
    <row r="208" spans="1:40" x14ac:dyDescent="0.25">
      <c r="A208">
        <v>207</v>
      </c>
      <c r="B208" t="s">
        <v>903</v>
      </c>
      <c r="C208" t="s">
        <v>904</v>
      </c>
      <c r="D208" t="s">
        <v>905</v>
      </c>
      <c r="E208" t="s">
        <v>869</v>
      </c>
      <c r="F208" t="s">
        <v>213</v>
      </c>
      <c r="G208">
        <v>2</v>
      </c>
      <c r="H208">
        <v>2</v>
      </c>
      <c r="I208">
        <v>1928</v>
      </c>
      <c r="J208">
        <v>0</v>
      </c>
      <c r="K208">
        <v>1</v>
      </c>
      <c r="L208">
        <v>2840</v>
      </c>
      <c r="M208">
        <v>2676.3</v>
      </c>
      <c r="N208">
        <v>2849.1</v>
      </c>
      <c r="O208">
        <v>1388.2</v>
      </c>
      <c r="P208">
        <v>3158.4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1.88</v>
      </c>
      <c r="W208">
        <v>3</v>
      </c>
      <c r="X208">
        <v>1.88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0.88</v>
      </c>
      <c r="AE208">
        <v>1</v>
      </c>
      <c r="AF208">
        <v>0</v>
      </c>
      <c r="AG208">
        <v>0.46808510638297868</v>
      </c>
      <c r="AH208">
        <v>1</v>
      </c>
      <c r="AI208">
        <v>1</v>
      </c>
      <c r="AJ208">
        <v>2021</v>
      </c>
      <c r="AK208">
        <v>3</v>
      </c>
      <c r="AL208">
        <v>0</v>
      </c>
      <c r="AM208">
        <v>0</v>
      </c>
      <c r="AN208">
        <v>0</v>
      </c>
    </row>
    <row r="209" spans="1:40" x14ac:dyDescent="0.25">
      <c r="A209">
        <v>208</v>
      </c>
      <c r="B209" t="s">
        <v>906</v>
      </c>
      <c r="C209" t="s">
        <v>907</v>
      </c>
      <c r="D209" t="s">
        <v>908</v>
      </c>
      <c r="E209" t="s">
        <v>909</v>
      </c>
      <c r="F209" t="s">
        <v>494</v>
      </c>
      <c r="G209">
        <v>4</v>
      </c>
      <c r="H209">
        <v>3</v>
      </c>
      <c r="I209">
        <v>2676</v>
      </c>
      <c r="J209">
        <v>0</v>
      </c>
      <c r="K209">
        <v>0</v>
      </c>
      <c r="L209">
        <v>4054.2</v>
      </c>
      <c r="M209">
        <v>4204.3</v>
      </c>
      <c r="N209">
        <v>2890.5</v>
      </c>
      <c r="O209">
        <v>737.7</v>
      </c>
      <c r="P209">
        <v>4372.5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1.28</v>
      </c>
      <c r="W209">
        <v>3</v>
      </c>
      <c r="X209">
        <v>0</v>
      </c>
      <c r="Y209">
        <v>0</v>
      </c>
      <c r="Z209">
        <v>0.2</v>
      </c>
      <c r="AA209">
        <v>0.3</v>
      </c>
      <c r="AB209">
        <v>0.78</v>
      </c>
      <c r="AC209">
        <v>0.2</v>
      </c>
      <c r="AD209">
        <v>0</v>
      </c>
      <c r="AE209">
        <v>0</v>
      </c>
      <c r="AF209">
        <v>1.08</v>
      </c>
      <c r="AG209">
        <v>0.15625</v>
      </c>
      <c r="AH209">
        <v>1</v>
      </c>
      <c r="AI209">
        <v>1</v>
      </c>
      <c r="AJ209">
        <v>2023</v>
      </c>
      <c r="AK209">
        <v>1</v>
      </c>
      <c r="AL209">
        <v>0</v>
      </c>
      <c r="AM209">
        <v>0</v>
      </c>
      <c r="AN209">
        <v>0</v>
      </c>
    </row>
    <row r="210" spans="1:40" x14ac:dyDescent="0.25">
      <c r="A210">
        <v>209</v>
      </c>
      <c r="B210" t="s">
        <v>910</v>
      </c>
      <c r="C210" t="s">
        <v>911</v>
      </c>
      <c r="D210" t="s">
        <v>912</v>
      </c>
      <c r="E210" t="s">
        <v>378</v>
      </c>
      <c r="F210" t="s">
        <v>105</v>
      </c>
      <c r="G210">
        <v>2</v>
      </c>
      <c r="H210">
        <v>1</v>
      </c>
      <c r="I210">
        <v>1247</v>
      </c>
      <c r="J210">
        <v>0</v>
      </c>
      <c r="K210">
        <v>1</v>
      </c>
      <c r="L210">
        <v>1763</v>
      </c>
      <c r="M210">
        <v>1586</v>
      </c>
      <c r="N210">
        <v>4835.5</v>
      </c>
      <c r="O210">
        <v>899.9</v>
      </c>
      <c r="P210">
        <v>6027.3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0.83</v>
      </c>
      <c r="W210">
        <v>3</v>
      </c>
      <c r="X210">
        <v>0.83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0.23</v>
      </c>
      <c r="AF210">
        <v>0.6</v>
      </c>
      <c r="AG210">
        <v>0</v>
      </c>
      <c r="AH210">
        <v>0</v>
      </c>
      <c r="AI210">
        <v>0</v>
      </c>
      <c r="AL210">
        <v>0</v>
      </c>
      <c r="AM210">
        <v>0</v>
      </c>
      <c r="AN210">
        <v>0</v>
      </c>
    </row>
    <row r="211" spans="1:40" x14ac:dyDescent="0.25">
      <c r="A211">
        <v>210</v>
      </c>
      <c r="B211" t="s">
        <v>913</v>
      </c>
      <c r="C211" t="s">
        <v>914</v>
      </c>
      <c r="D211" t="s">
        <v>915</v>
      </c>
      <c r="E211" t="s">
        <v>916</v>
      </c>
      <c r="F211" t="s">
        <v>891</v>
      </c>
      <c r="G211">
        <v>9</v>
      </c>
      <c r="H211">
        <v>2</v>
      </c>
      <c r="I211">
        <v>9090</v>
      </c>
      <c r="J211">
        <v>0</v>
      </c>
      <c r="K211">
        <v>0</v>
      </c>
      <c r="L211">
        <v>758.6</v>
      </c>
      <c r="M211">
        <v>294.89999999999998</v>
      </c>
      <c r="N211">
        <v>1977.5</v>
      </c>
      <c r="O211">
        <v>153.4</v>
      </c>
      <c r="P211">
        <v>28590.6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7.33</v>
      </c>
      <c r="W211">
        <v>3.5</v>
      </c>
      <c r="X211">
        <v>7.33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6.8</v>
      </c>
      <c r="AE211">
        <v>0.53</v>
      </c>
      <c r="AF211">
        <v>0</v>
      </c>
      <c r="AG211">
        <v>0.92769440654843105</v>
      </c>
      <c r="AH211">
        <v>1</v>
      </c>
      <c r="AI211">
        <v>2</v>
      </c>
      <c r="AJ211">
        <v>2023</v>
      </c>
      <c r="AK211">
        <v>1</v>
      </c>
      <c r="AL211">
        <v>0</v>
      </c>
      <c r="AM211">
        <v>0</v>
      </c>
      <c r="AN211">
        <v>0</v>
      </c>
    </row>
    <row r="212" spans="1:40" x14ac:dyDescent="0.25">
      <c r="A212">
        <v>211</v>
      </c>
      <c r="B212" t="s">
        <v>917</v>
      </c>
      <c r="C212" t="s">
        <v>918</v>
      </c>
      <c r="D212" t="s">
        <v>919</v>
      </c>
      <c r="E212" t="s">
        <v>920</v>
      </c>
      <c r="F212" t="s">
        <v>363</v>
      </c>
      <c r="G212">
        <v>3</v>
      </c>
      <c r="H212">
        <v>1</v>
      </c>
      <c r="I212">
        <v>1745</v>
      </c>
      <c r="J212">
        <v>0</v>
      </c>
      <c r="K212">
        <v>0</v>
      </c>
      <c r="L212">
        <v>2988.9</v>
      </c>
      <c r="M212">
        <v>2353.5</v>
      </c>
      <c r="N212">
        <v>4207.7</v>
      </c>
      <c r="O212">
        <v>525.79999999999995</v>
      </c>
      <c r="P212">
        <v>30820.9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1.65</v>
      </c>
      <c r="W212">
        <v>3.5</v>
      </c>
      <c r="X212">
        <v>0</v>
      </c>
      <c r="Y212">
        <v>0</v>
      </c>
      <c r="Z212">
        <v>0</v>
      </c>
      <c r="AA212">
        <v>0.65</v>
      </c>
      <c r="AB212">
        <v>1</v>
      </c>
      <c r="AC212">
        <v>0</v>
      </c>
      <c r="AD212">
        <v>0</v>
      </c>
      <c r="AE212">
        <v>0</v>
      </c>
      <c r="AF212">
        <v>1.65</v>
      </c>
      <c r="AG212">
        <v>0</v>
      </c>
      <c r="AH212">
        <v>0</v>
      </c>
      <c r="AI212">
        <v>0</v>
      </c>
      <c r="AL212">
        <v>0</v>
      </c>
      <c r="AM212">
        <v>0</v>
      </c>
      <c r="AN212">
        <v>0</v>
      </c>
    </row>
    <row r="213" spans="1:40" x14ac:dyDescent="0.25">
      <c r="A213">
        <v>212</v>
      </c>
      <c r="B213" t="s">
        <v>470</v>
      </c>
      <c r="C213" t="s">
        <v>921</v>
      </c>
      <c r="D213" t="s">
        <v>922</v>
      </c>
      <c r="E213" t="s">
        <v>149</v>
      </c>
      <c r="F213" t="s">
        <v>149</v>
      </c>
      <c r="G213">
        <v>1</v>
      </c>
      <c r="H213">
        <v>1</v>
      </c>
      <c r="I213">
        <v>760</v>
      </c>
      <c r="J213">
        <v>0</v>
      </c>
      <c r="K213">
        <v>1</v>
      </c>
      <c r="L213">
        <v>697.1</v>
      </c>
      <c r="M213">
        <v>91.6</v>
      </c>
      <c r="N213">
        <v>10456.299999999999</v>
      </c>
      <c r="O213">
        <v>136.6</v>
      </c>
      <c r="P213">
        <v>8593.4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0.44</v>
      </c>
      <c r="W213">
        <v>3</v>
      </c>
      <c r="X213">
        <v>0.44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0.44</v>
      </c>
      <c r="AE213">
        <v>0</v>
      </c>
      <c r="AF213">
        <v>0</v>
      </c>
      <c r="AG213">
        <v>1</v>
      </c>
      <c r="AH213">
        <v>0</v>
      </c>
      <c r="AI213">
        <v>0</v>
      </c>
      <c r="AL213">
        <v>0</v>
      </c>
      <c r="AM213">
        <v>0</v>
      </c>
      <c r="AN213">
        <v>0</v>
      </c>
    </row>
    <row r="214" spans="1:40" x14ac:dyDescent="0.25">
      <c r="A214">
        <v>213</v>
      </c>
      <c r="B214" t="s">
        <v>923</v>
      </c>
      <c r="C214" t="s">
        <v>924</v>
      </c>
      <c r="D214" t="s">
        <v>925</v>
      </c>
      <c r="E214" t="s">
        <v>926</v>
      </c>
      <c r="F214" t="s">
        <v>208</v>
      </c>
      <c r="G214">
        <v>2</v>
      </c>
      <c r="H214">
        <v>2</v>
      </c>
      <c r="I214">
        <v>1110</v>
      </c>
      <c r="J214">
        <v>0</v>
      </c>
      <c r="K214">
        <v>0</v>
      </c>
      <c r="L214">
        <v>4859.2</v>
      </c>
      <c r="M214">
        <v>4797.5</v>
      </c>
      <c r="N214">
        <v>10089.200000000001</v>
      </c>
      <c r="O214">
        <v>920.4</v>
      </c>
      <c r="P214">
        <v>8226.2999999999993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1.07</v>
      </c>
      <c r="W214">
        <v>3</v>
      </c>
      <c r="X214">
        <v>1.07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0.27</v>
      </c>
      <c r="AE214">
        <v>0.8</v>
      </c>
      <c r="AF214">
        <v>0</v>
      </c>
      <c r="AG214">
        <v>0.25233644859813092</v>
      </c>
      <c r="AH214">
        <v>0</v>
      </c>
      <c r="AI214">
        <v>0</v>
      </c>
      <c r="AL214">
        <v>1</v>
      </c>
      <c r="AM214">
        <v>1</v>
      </c>
      <c r="AN214">
        <v>0</v>
      </c>
    </row>
    <row r="215" spans="1:40" x14ac:dyDescent="0.25">
      <c r="A215">
        <v>214</v>
      </c>
      <c r="B215" t="s">
        <v>927</v>
      </c>
      <c r="C215" t="s">
        <v>928</v>
      </c>
      <c r="D215" t="s">
        <v>929</v>
      </c>
      <c r="E215" t="s">
        <v>930</v>
      </c>
      <c r="F215" t="s">
        <v>100</v>
      </c>
      <c r="G215">
        <v>2</v>
      </c>
      <c r="H215">
        <v>1</v>
      </c>
      <c r="I215">
        <v>4566</v>
      </c>
      <c r="J215">
        <v>0</v>
      </c>
      <c r="K215">
        <v>1</v>
      </c>
      <c r="L215">
        <v>0</v>
      </c>
      <c r="M215">
        <v>674.8</v>
      </c>
      <c r="N215">
        <v>1817.8</v>
      </c>
      <c r="O215">
        <v>490.3</v>
      </c>
      <c r="P215">
        <v>318.3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0.56000000000000005</v>
      </c>
      <c r="W215">
        <v>12</v>
      </c>
      <c r="X215">
        <v>0.56000000000000005</v>
      </c>
      <c r="Y215">
        <v>0</v>
      </c>
      <c r="Z215">
        <v>0</v>
      </c>
      <c r="AA215">
        <v>0</v>
      </c>
      <c r="AB215">
        <v>0</v>
      </c>
      <c r="AC215">
        <v>0.56000000000000005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L215">
        <v>0</v>
      </c>
      <c r="AM215">
        <v>0</v>
      </c>
      <c r="AN215">
        <v>0</v>
      </c>
    </row>
    <row r="216" spans="1:40" x14ac:dyDescent="0.25">
      <c r="A216">
        <v>215</v>
      </c>
      <c r="B216" t="s">
        <v>931</v>
      </c>
      <c r="C216" t="s">
        <v>932</v>
      </c>
      <c r="D216" t="s">
        <v>933</v>
      </c>
      <c r="E216" t="s">
        <v>571</v>
      </c>
      <c r="F216" t="s">
        <v>203</v>
      </c>
      <c r="G216">
        <v>2</v>
      </c>
      <c r="H216">
        <v>2</v>
      </c>
      <c r="I216">
        <v>2100</v>
      </c>
      <c r="J216">
        <v>1</v>
      </c>
      <c r="K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3.67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3.67</v>
      </c>
      <c r="AC216">
        <v>0</v>
      </c>
      <c r="AD216">
        <v>0</v>
      </c>
      <c r="AE216">
        <v>0</v>
      </c>
      <c r="AF216">
        <v>3.67</v>
      </c>
      <c r="AG216">
        <v>0</v>
      </c>
      <c r="AH216">
        <v>1</v>
      </c>
      <c r="AI216">
        <v>2</v>
      </c>
      <c r="AJ216">
        <v>2023</v>
      </c>
      <c r="AK216">
        <v>1</v>
      </c>
      <c r="AL216">
        <v>0</v>
      </c>
      <c r="AM216">
        <v>0</v>
      </c>
      <c r="AN216">
        <v>0</v>
      </c>
    </row>
    <row r="217" spans="1:40" x14ac:dyDescent="0.25">
      <c r="A217">
        <v>216</v>
      </c>
      <c r="B217" t="s">
        <v>934</v>
      </c>
      <c r="C217" t="s">
        <v>935</v>
      </c>
      <c r="D217" t="s">
        <v>936</v>
      </c>
      <c r="E217" t="s">
        <v>113</v>
      </c>
      <c r="F217" t="s">
        <v>100</v>
      </c>
      <c r="G217">
        <v>3</v>
      </c>
      <c r="H217">
        <v>1</v>
      </c>
      <c r="I217">
        <v>6205</v>
      </c>
      <c r="J217">
        <v>0</v>
      </c>
      <c r="K217">
        <v>1</v>
      </c>
      <c r="L217">
        <v>893.2</v>
      </c>
      <c r="M217">
        <v>814.5</v>
      </c>
      <c r="N217">
        <v>2455.1</v>
      </c>
      <c r="O217">
        <v>0</v>
      </c>
      <c r="P217">
        <v>592.20000000000005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1.0900000000000001</v>
      </c>
      <c r="W217">
        <v>5</v>
      </c>
      <c r="X217">
        <v>1.0900000000000001</v>
      </c>
      <c r="Y217">
        <v>0</v>
      </c>
      <c r="Z217">
        <v>0</v>
      </c>
      <c r="AA217">
        <v>0</v>
      </c>
      <c r="AB217">
        <v>0</v>
      </c>
      <c r="AC217">
        <v>1.0900000000000001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L217">
        <v>0</v>
      </c>
      <c r="AM217">
        <v>0</v>
      </c>
      <c r="AN217">
        <v>0</v>
      </c>
    </row>
    <row r="218" spans="1:40" x14ac:dyDescent="0.25">
      <c r="A218">
        <v>217</v>
      </c>
      <c r="B218" t="s">
        <v>937</v>
      </c>
      <c r="C218" t="s">
        <v>938</v>
      </c>
      <c r="D218" t="s">
        <v>939</v>
      </c>
      <c r="E218" t="s">
        <v>940</v>
      </c>
      <c r="F218" t="s">
        <v>105</v>
      </c>
      <c r="G218">
        <v>3</v>
      </c>
      <c r="H218">
        <v>1</v>
      </c>
      <c r="I218">
        <v>1740</v>
      </c>
      <c r="J218">
        <v>0</v>
      </c>
      <c r="K218">
        <v>0</v>
      </c>
      <c r="L218">
        <v>4124.8999999999996</v>
      </c>
      <c r="M218">
        <v>3842.6</v>
      </c>
      <c r="N218">
        <v>7884.4</v>
      </c>
      <c r="O218">
        <v>520.9</v>
      </c>
      <c r="P218">
        <v>8049.1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1.56</v>
      </c>
      <c r="W218">
        <v>3.5</v>
      </c>
      <c r="X218">
        <v>1.56</v>
      </c>
      <c r="Y218">
        <v>0</v>
      </c>
      <c r="Z218">
        <v>0</v>
      </c>
      <c r="AA218">
        <v>0</v>
      </c>
      <c r="AB218">
        <v>0</v>
      </c>
      <c r="AC218">
        <v>1.56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L218">
        <v>0</v>
      </c>
      <c r="AM218">
        <v>0</v>
      </c>
      <c r="AN218">
        <v>0</v>
      </c>
    </row>
    <row r="219" spans="1:40" x14ac:dyDescent="0.25">
      <c r="A219">
        <v>218</v>
      </c>
      <c r="B219" t="s">
        <v>941</v>
      </c>
      <c r="C219" t="s">
        <v>942</v>
      </c>
      <c r="D219" t="s">
        <v>943</v>
      </c>
      <c r="E219" t="s">
        <v>136</v>
      </c>
      <c r="F219" t="s">
        <v>105</v>
      </c>
      <c r="G219">
        <v>2</v>
      </c>
      <c r="H219">
        <v>1</v>
      </c>
      <c r="I219">
        <v>1032</v>
      </c>
      <c r="J219">
        <v>0</v>
      </c>
      <c r="K219">
        <v>0</v>
      </c>
      <c r="L219">
        <v>6310.1</v>
      </c>
      <c r="M219">
        <v>6310.4</v>
      </c>
      <c r="N219">
        <v>10352.200000000001</v>
      </c>
      <c r="O219">
        <v>1321.3</v>
      </c>
      <c r="P219">
        <v>10516.9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4.78</v>
      </c>
      <c r="W219">
        <v>3.5</v>
      </c>
      <c r="X219">
        <v>4</v>
      </c>
      <c r="Y219">
        <v>0</v>
      </c>
      <c r="Z219">
        <v>0</v>
      </c>
      <c r="AA219">
        <v>0</v>
      </c>
      <c r="AB219">
        <v>0.78</v>
      </c>
      <c r="AC219">
        <v>2.9</v>
      </c>
      <c r="AD219">
        <v>0</v>
      </c>
      <c r="AE219">
        <v>0</v>
      </c>
      <c r="AF219">
        <v>1.88</v>
      </c>
      <c r="AG219">
        <v>0.60669456066945615</v>
      </c>
      <c r="AH219">
        <v>1</v>
      </c>
      <c r="AI219">
        <v>2</v>
      </c>
      <c r="AJ219">
        <v>2023</v>
      </c>
      <c r="AK219">
        <v>1</v>
      </c>
      <c r="AL219">
        <v>0</v>
      </c>
      <c r="AM219">
        <v>0</v>
      </c>
      <c r="AN219">
        <v>0</v>
      </c>
    </row>
    <row r="220" spans="1:40" x14ac:dyDescent="0.25">
      <c r="A220">
        <v>219</v>
      </c>
      <c r="B220" t="s">
        <v>944</v>
      </c>
      <c r="C220" t="s">
        <v>945</v>
      </c>
      <c r="D220" t="s">
        <v>946</v>
      </c>
      <c r="E220" t="s">
        <v>947</v>
      </c>
      <c r="F220" t="s">
        <v>469</v>
      </c>
      <c r="G220">
        <v>2</v>
      </c>
      <c r="H220">
        <v>2</v>
      </c>
      <c r="I220">
        <v>845</v>
      </c>
      <c r="J220">
        <v>0</v>
      </c>
      <c r="K220">
        <v>0</v>
      </c>
      <c r="L220">
        <v>28635.1</v>
      </c>
      <c r="M220">
        <v>13269.5</v>
      </c>
      <c r="N220">
        <v>30845.5</v>
      </c>
      <c r="O220">
        <v>2194.1999999999998</v>
      </c>
      <c r="P220">
        <v>30747.8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4.45</v>
      </c>
      <c r="W220">
        <v>2</v>
      </c>
      <c r="X220">
        <v>0</v>
      </c>
      <c r="Y220">
        <v>0</v>
      </c>
      <c r="Z220">
        <v>4.45</v>
      </c>
      <c r="AA220">
        <v>0</v>
      </c>
      <c r="AB220">
        <v>0</v>
      </c>
      <c r="AC220">
        <v>0</v>
      </c>
      <c r="AD220">
        <v>4.45</v>
      </c>
      <c r="AE220">
        <v>0</v>
      </c>
      <c r="AF220">
        <v>0</v>
      </c>
      <c r="AG220">
        <v>1</v>
      </c>
      <c r="AH220">
        <v>0</v>
      </c>
      <c r="AI220">
        <v>0</v>
      </c>
      <c r="AL220">
        <v>0</v>
      </c>
      <c r="AM220">
        <v>0</v>
      </c>
      <c r="AN220">
        <v>0</v>
      </c>
    </row>
    <row r="221" spans="1:40" x14ac:dyDescent="0.25">
      <c r="A221">
        <v>220</v>
      </c>
      <c r="B221" t="s">
        <v>948</v>
      </c>
      <c r="C221" t="s">
        <v>949</v>
      </c>
      <c r="D221" t="s">
        <v>950</v>
      </c>
      <c r="E221" t="s">
        <v>425</v>
      </c>
      <c r="F221" t="s">
        <v>100</v>
      </c>
      <c r="G221">
        <v>1</v>
      </c>
      <c r="H221">
        <v>1</v>
      </c>
      <c r="I221">
        <v>630</v>
      </c>
      <c r="J221">
        <v>0</v>
      </c>
      <c r="K221">
        <v>0</v>
      </c>
      <c r="L221">
        <v>3405.1</v>
      </c>
      <c r="M221">
        <v>2185.5</v>
      </c>
      <c r="N221">
        <v>3038.5</v>
      </c>
      <c r="O221">
        <v>747.9</v>
      </c>
      <c r="P221">
        <v>3260.2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0.54</v>
      </c>
      <c r="W221">
        <v>3.5</v>
      </c>
      <c r="X221">
        <v>0.54</v>
      </c>
      <c r="Y221">
        <v>0</v>
      </c>
      <c r="Z221">
        <v>0</v>
      </c>
      <c r="AA221">
        <v>0</v>
      </c>
      <c r="AB221">
        <v>0</v>
      </c>
      <c r="AC221">
        <v>0.54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2023</v>
      </c>
      <c r="AK221">
        <v>1</v>
      </c>
      <c r="AL221">
        <v>0</v>
      </c>
      <c r="AM221">
        <v>0</v>
      </c>
      <c r="AN221">
        <v>0</v>
      </c>
    </row>
    <row r="222" spans="1:40" x14ac:dyDescent="0.25">
      <c r="A222">
        <v>221</v>
      </c>
      <c r="B222" t="s">
        <v>951</v>
      </c>
      <c r="C222" t="s">
        <v>952</v>
      </c>
      <c r="D222" t="s">
        <v>953</v>
      </c>
      <c r="E222" t="s">
        <v>954</v>
      </c>
      <c r="F222" t="s">
        <v>100</v>
      </c>
      <c r="G222">
        <v>2</v>
      </c>
      <c r="H222">
        <v>1</v>
      </c>
      <c r="I222">
        <v>1206</v>
      </c>
      <c r="J222">
        <v>0</v>
      </c>
      <c r="K222">
        <v>1</v>
      </c>
      <c r="L222">
        <v>3079.3</v>
      </c>
      <c r="M222">
        <v>2176.6999999999998</v>
      </c>
      <c r="N222">
        <v>3029.6</v>
      </c>
      <c r="O222">
        <v>422.1</v>
      </c>
      <c r="P222">
        <v>2934.4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3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L222">
        <v>1</v>
      </c>
      <c r="AM222">
        <v>1</v>
      </c>
      <c r="AN222">
        <v>0</v>
      </c>
    </row>
    <row r="223" spans="1:40" x14ac:dyDescent="0.25">
      <c r="A223">
        <v>222</v>
      </c>
      <c r="B223" t="s">
        <v>955</v>
      </c>
      <c r="C223" t="s">
        <v>956</v>
      </c>
      <c r="D223" t="s">
        <v>957</v>
      </c>
      <c r="E223" t="s">
        <v>958</v>
      </c>
      <c r="F223" t="s">
        <v>539</v>
      </c>
      <c r="G223">
        <v>3</v>
      </c>
      <c r="H223">
        <v>2</v>
      </c>
      <c r="I223">
        <v>1228</v>
      </c>
      <c r="J223">
        <v>0</v>
      </c>
      <c r="K223">
        <v>0</v>
      </c>
      <c r="L223">
        <v>5059.3999999999996</v>
      </c>
      <c r="M223">
        <v>2680.7</v>
      </c>
      <c r="N223">
        <v>3895.7</v>
      </c>
      <c r="O223">
        <v>796.2</v>
      </c>
      <c r="P223">
        <v>5377.7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1.46</v>
      </c>
      <c r="W223">
        <v>3</v>
      </c>
      <c r="X223">
        <v>0</v>
      </c>
      <c r="Y223">
        <v>0</v>
      </c>
      <c r="Z223">
        <v>0</v>
      </c>
      <c r="AA223">
        <v>1.46</v>
      </c>
      <c r="AB223">
        <v>0</v>
      </c>
      <c r="AC223">
        <v>0</v>
      </c>
      <c r="AD223">
        <v>0</v>
      </c>
      <c r="AE223">
        <v>0</v>
      </c>
      <c r="AF223">
        <v>1.46</v>
      </c>
      <c r="AG223">
        <v>0</v>
      </c>
      <c r="AH223">
        <v>0</v>
      </c>
      <c r="AI223">
        <v>0</v>
      </c>
      <c r="AL223">
        <v>1</v>
      </c>
      <c r="AM223">
        <v>0</v>
      </c>
      <c r="AN223">
        <v>1</v>
      </c>
    </row>
    <row r="224" spans="1:40" x14ac:dyDescent="0.25">
      <c r="A224">
        <v>223</v>
      </c>
      <c r="B224" t="s">
        <v>959</v>
      </c>
      <c r="C224" t="s">
        <v>960</v>
      </c>
      <c r="D224" t="s">
        <v>961</v>
      </c>
      <c r="E224" t="s">
        <v>960</v>
      </c>
      <c r="F224" t="s">
        <v>363</v>
      </c>
      <c r="G224">
        <v>1</v>
      </c>
      <c r="H224">
        <v>1</v>
      </c>
      <c r="I224">
        <v>659</v>
      </c>
      <c r="J224">
        <v>0</v>
      </c>
      <c r="K224">
        <v>0</v>
      </c>
      <c r="L224">
        <v>2530.5</v>
      </c>
      <c r="M224">
        <v>1895.1</v>
      </c>
      <c r="N224">
        <v>3749.4</v>
      </c>
      <c r="O224">
        <v>0</v>
      </c>
      <c r="P224">
        <v>30362.5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0.3</v>
      </c>
      <c r="W224">
        <v>3</v>
      </c>
      <c r="X224">
        <v>0.2</v>
      </c>
      <c r="Y224">
        <v>0</v>
      </c>
      <c r="Z224">
        <v>0</v>
      </c>
      <c r="AA224">
        <v>0.1</v>
      </c>
      <c r="AB224">
        <v>0</v>
      </c>
      <c r="AC224">
        <v>0</v>
      </c>
      <c r="AD224">
        <v>0</v>
      </c>
      <c r="AE224">
        <v>0</v>
      </c>
      <c r="AF224">
        <v>0.3</v>
      </c>
      <c r="AG224">
        <v>0</v>
      </c>
      <c r="AH224">
        <v>0</v>
      </c>
      <c r="AI224">
        <v>0</v>
      </c>
      <c r="AL224">
        <v>0</v>
      </c>
      <c r="AM224">
        <v>0</v>
      </c>
      <c r="AN224">
        <v>0</v>
      </c>
    </row>
    <row r="225" spans="1:40" x14ac:dyDescent="0.25">
      <c r="A225">
        <v>224</v>
      </c>
      <c r="B225" t="s">
        <v>962</v>
      </c>
      <c r="C225" t="s">
        <v>963</v>
      </c>
      <c r="D225" t="s">
        <v>964</v>
      </c>
      <c r="E225" t="s">
        <v>194</v>
      </c>
      <c r="F225" t="s">
        <v>100</v>
      </c>
      <c r="G225">
        <v>1</v>
      </c>
      <c r="H225">
        <v>1</v>
      </c>
      <c r="I225">
        <v>1874</v>
      </c>
      <c r="J225">
        <v>0</v>
      </c>
      <c r="K225">
        <v>1</v>
      </c>
      <c r="L225">
        <v>1676.9</v>
      </c>
      <c r="M225">
        <v>1687.3</v>
      </c>
      <c r="N225">
        <v>3221.4</v>
      </c>
      <c r="O225">
        <v>154.5</v>
      </c>
      <c r="P225">
        <v>1358.5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0.66</v>
      </c>
      <c r="W225">
        <v>3.5</v>
      </c>
      <c r="X225">
        <v>0.66</v>
      </c>
      <c r="Y225">
        <v>0</v>
      </c>
      <c r="Z225">
        <v>0</v>
      </c>
      <c r="AA225">
        <v>0</v>
      </c>
      <c r="AB225">
        <v>0</v>
      </c>
      <c r="AC225">
        <v>0.66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2</v>
      </c>
      <c r="AJ225">
        <v>2023</v>
      </c>
      <c r="AK225">
        <v>1</v>
      </c>
      <c r="AL225">
        <v>0</v>
      </c>
      <c r="AM225">
        <v>0</v>
      </c>
      <c r="AN225">
        <v>0</v>
      </c>
    </row>
    <row r="226" spans="1:40" x14ac:dyDescent="0.25">
      <c r="A226">
        <v>225</v>
      </c>
      <c r="B226" t="s">
        <v>965</v>
      </c>
      <c r="C226" t="s">
        <v>966</v>
      </c>
      <c r="D226" t="s">
        <v>967</v>
      </c>
      <c r="E226" t="s">
        <v>140</v>
      </c>
      <c r="F226" t="s">
        <v>100</v>
      </c>
      <c r="G226">
        <v>2</v>
      </c>
      <c r="H226">
        <v>1</v>
      </c>
      <c r="I226">
        <v>4331</v>
      </c>
      <c r="J226">
        <v>0</v>
      </c>
      <c r="K226">
        <v>0</v>
      </c>
      <c r="L226">
        <v>1039.5999999999999</v>
      </c>
      <c r="M226">
        <v>538.9</v>
      </c>
      <c r="N226">
        <v>2730.8</v>
      </c>
      <c r="O226">
        <v>61.8</v>
      </c>
      <c r="P226">
        <v>867.9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0.28000000000000003</v>
      </c>
      <c r="W226">
        <v>6</v>
      </c>
      <c r="X226">
        <v>0.28000000000000003</v>
      </c>
      <c r="Y226">
        <v>0</v>
      </c>
      <c r="Z226">
        <v>0</v>
      </c>
      <c r="AA226">
        <v>0</v>
      </c>
      <c r="AB226">
        <v>0</v>
      </c>
      <c r="AC226">
        <v>0.28000000000000003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L226">
        <v>0</v>
      </c>
      <c r="AM226">
        <v>0</v>
      </c>
      <c r="AN226">
        <v>0</v>
      </c>
    </row>
    <row r="227" spans="1:40" x14ac:dyDescent="0.25">
      <c r="A227">
        <v>226</v>
      </c>
      <c r="B227" t="s">
        <v>968</v>
      </c>
      <c r="C227" t="s">
        <v>969</v>
      </c>
      <c r="D227" t="s">
        <v>970</v>
      </c>
      <c r="E227" t="s">
        <v>705</v>
      </c>
      <c r="F227" t="s">
        <v>100</v>
      </c>
      <c r="G227">
        <v>1</v>
      </c>
      <c r="H227">
        <v>1</v>
      </c>
      <c r="I227">
        <v>3189</v>
      </c>
      <c r="J227">
        <v>0</v>
      </c>
      <c r="K227">
        <v>0</v>
      </c>
      <c r="L227">
        <v>199.3</v>
      </c>
      <c r="M227">
        <v>697.5</v>
      </c>
      <c r="N227">
        <v>1840.5</v>
      </c>
      <c r="O227">
        <v>513</v>
      </c>
      <c r="P227">
        <v>517.6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0.28000000000000003</v>
      </c>
      <c r="W227">
        <v>6</v>
      </c>
      <c r="X227">
        <v>0.28000000000000003</v>
      </c>
      <c r="Y227">
        <v>0</v>
      </c>
      <c r="Z227">
        <v>0</v>
      </c>
      <c r="AA227">
        <v>0</v>
      </c>
      <c r="AB227">
        <v>0</v>
      </c>
      <c r="AC227">
        <v>0.28000000000000003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L227">
        <v>0</v>
      </c>
      <c r="AM227">
        <v>0</v>
      </c>
      <c r="AN227">
        <v>0</v>
      </c>
    </row>
    <row r="228" spans="1:40" x14ac:dyDescent="0.25">
      <c r="A228">
        <v>227</v>
      </c>
      <c r="B228" t="s">
        <v>971</v>
      </c>
      <c r="C228" t="s">
        <v>972</v>
      </c>
      <c r="D228" t="s">
        <v>973</v>
      </c>
      <c r="E228" t="s">
        <v>974</v>
      </c>
      <c r="F228" t="s">
        <v>100</v>
      </c>
      <c r="G228">
        <v>2</v>
      </c>
      <c r="H228">
        <v>1</v>
      </c>
      <c r="I228">
        <v>1993</v>
      </c>
      <c r="J228">
        <v>1</v>
      </c>
      <c r="K228">
        <v>0</v>
      </c>
      <c r="L228">
        <v>4711.6000000000004</v>
      </c>
      <c r="M228">
        <v>4644.3</v>
      </c>
      <c r="N228">
        <v>6120.5</v>
      </c>
      <c r="O228">
        <v>2055.4</v>
      </c>
      <c r="P228">
        <v>4446.8999999999996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1.05</v>
      </c>
      <c r="W228">
        <v>3</v>
      </c>
      <c r="X228">
        <v>1.05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1.05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2023</v>
      </c>
      <c r="AK228">
        <v>1</v>
      </c>
      <c r="AL228">
        <v>0</v>
      </c>
      <c r="AM228">
        <v>0</v>
      </c>
      <c r="AN228">
        <v>0</v>
      </c>
    </row>
    <row r="229" spans="1:40" x14ac:dyDescent="0.25">
      <c r="A229">
        <v>228</v>
      </c>
      <c r="B229" t="s">
        <v>975</v>
      </c>
      <c r="C229" t="s">
        <v>976</v>
      </c>
      <c r="D229" t="s">
        <v>977</v>
      </c>
      <c r="E229" t="s">
        <v>978</v>
      </c>
      <c r="F229" t="s">
        <v>176</v>
      </c>
      <c r="G229">
        <v>2</v>
      </c>
      <c r="H229">
        <v>1</v>
      </c>
      <c r="I229">
        <v>774</v>
      </c>
      <c r="J229">
        <v>0</v>
      </c>
      <c r="K229">
        <v>1</v>
      </c>
      <c r="L229">
        <v>4197.2</v>
      </c>
      <c r="M229">
        <v>1316.8</v>
      </c>
      <c r="N229">
        <v>3994.9</v>
      </c>
      <c r="O229">
        <v>483.7</v>
      </c>
      <c r="P229">
        <v>5666.8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0.95</v>
      </c>
      <c r="W229">
        <v>3</v>
      </c>
      <c r="X229">
        <v>0.95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0.95</v>
      </c>
      <c r="AE229">
        <v>0</v>
      </c>
      <c r="AF229">
        <v>0</v>
      </c>
      <c r="AG229">
        <v>1</v>
      </c>
      <c r="AH229">
        <v>0</v>
      </c>
      <c r="AI229">
        <v>0</v>
      </c>
      <c r="AL229">
        <v>0</v>
      </c>
      <c r="AM229">
        <v>0</v>
      </c>
      <c r="AN229">
        <v>0</v>
      </c>
    </row>
    <row r="230" spans="1:40" x14ac:dyDescent="0.25">
      <c r="A230">
        <v>229</v>
      </c>
      <c r="B230" t="s">
        <v>979</v>
      </c>
      <c r="C230" t="s">
        <v>980</v>
      </c>
      <c r="D230" t="s">
        <v>981</v>
      </c>
      <c r="E230" t="s">
        <v>705</v>
      </c>
      <c r="F230" t="s">
        <v>100</v>
      </c>
      <c r="G230">
        <v>1</v>
      </c>
      <c r="H230">
        <v>1</v>
      </c>
      <c r="I230">
        <v>3189</v>
      </c>
      <c r="J230">
        <v>0</v>
      </c>
      <c r="K230">
        <v>1</v>
      </c>
      <c r="L230">
        <v>575.9</v>
      </c>
      <c r="M230">
        <v>1149.0999999999999</v>
      </c>
      <c r="N230">
        <v>2120.5</v>
      </c>
      <c r="O230">
        <v>0</v>
      </c>
      <c r="P230">
        <v>257.60000000000002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0.26</v>
      </c>
      <c r="W230">
        <v>6</v>
      </c>
      <c r="X230">
        <v>0.26</v>
      </c>
      <c r="Y230">
        <v>0</v>
      </c>
      <c r="Z230">
        <v>0</v>
      </c>
      <c r="AA230">
        <v>0</v>
      </c>
      <c r="AB230">
        <v>0</v>
      </c>
      <c r="AC230">
        <v>0.26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L230">
        <v>0</v>
      </c>
      <c r="AM230">
        <v>0</v>
      </c>
      <c r="AN230">
        <v>0</v>
      </c>
    </row>
    <row r="231" spans="1:40" x14ac:dyDescent="0.25">
      <c r="A231">
        <v>230</v>
      </c>
      <c r="B231" t="s">
        <v>982</v>
      </c>
      <c r="C231" t="s">
        <v>983</v>
      </c>
      <c r="D231" t="s">
        <v>984</v>
      </c>
      <c r="E231" t="s">
        <v>350</v>
      </c>
      <c r="F231" t="s">
        <v>105</v>
      </c>
      <c r="G231">
        <v>1</v>
      </c>
      <c r="H231">
        <v>1</v>
      </c>
      <c r="I231">
        <v>404</v>
      </c>
      <c r="J231">
        <v>0</v>
      </c>
      <c r="K231">
        <v>1</v>
      </c>
      <c r="L231">
        <v>2164.6999999999998</v>
      </c>
      <c r="M231">
        <v>2573.4</v>
      </c>
      <c r="N231">
        <v>9202</v>
      </c>
      <c r="O231">
        <v>792.2</v>
      </c>
      <c r="P231">
        <v>10581.5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0.82</v>
      </c>
      <c r="W231">
        <v>3</v>
      </c>
      <c r="X231">
        <v>0.7</v>
      </c>
      <c r="Y231">
        <v>0</v>
      </c>
      <c r="Z231">
        <v>0</v>
      </c>
      <c r="AA231">
        <v>0.12</v>
      </c>
      <c r="AB231">
        <v>0</v>
      </c>
      <c r="AC231">
        <v>0</v>
      </c>
      <c r="AD231">
        <v>0</v>
      </c>
      <c r="AE231">
        <v>0</v>
      </c>
      <c r="AF231">
        <v>0.82</v>
      </c>
      <c r="AG231">
        <v>0</v>
      </c>
      <c r="AH231">
        <v>0</v>
      </c>
      <c r="AI231">
        <v>0</v>
      </c>
      <c r="AL231">
        <v>1</v>
      </c>
      <c r="AM231">
        <v>0</v>
      </c>
      <c r="AN231">
        <v>1</v>
      </c>
    </row>
    <row r="232" spans="1:40" x14ac:dyDescent="0.25">
      <c r="A232">
        <v>231</v>
      </c>
      <c r="B232" t="s">
        <v>985</v>
      </c>
      <c r="C232" t="s">
        <v>986</v>
      </c>
      <c r="D232" t="s">
        <v>987</v>
      </c>
      <c r="E232" t="s">
        <v>266</v>
      </c>
      <c r="F232" t="s">
        <v>105</v>
      </c>
      <c r="G232">
        <v>2</v>
      </c>
      <c r="H232">
        <v>1</v>
      </c>
      <c r="I232">
        <v>1057</v>
      </c>
      <c r="J232">
        <v>0</v>
      </c>
      <c r="K232">
        <v>1</v>
      </c>
      <c r="L232">
        <v>2275.5</v>
      </c>
      <c r="M232">
        <v>697.9</v>
      </c>
      <c r="N232">
        <v>4925.3999999999996</v>
      </c>
      <c r="O232">
        <v>1137.2</v>
      </c>
      <c r="P232">
        <v>5385.9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0.36</v>
      </c>
      <c r="W232">
        <v>3</v>
      </c>
      <c r="X232">
        <v>0.36</v>
      </c>
      <c r="Y232">
        <v>0</v>
      </c>
      <c r="Z232">
        <v>0</v>
      </c>
      <c r="AA232">
        <v>0</v>
      </c>
      <c r="AB232">
        <v>0</v>
      </c>
      <c r="AC232">
        <v>0.36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L232">
        <v>0</v>
      </c>
      <c r="AM232">
        <v>0</v>
      </c>
      <c r="AN232">
        <v>0</v>
      </c>
    </row>
    <row r="233" spans="1:40" x14ac:dyDescent="0.25">
      <c r="A233">
        <v>232</v>
      </c>
      <c r="B233" t="s">
        <v>988</v>
      </c>
      <c r="C233" t="s">
        <v>989</v>
      </c>
      <c r="D233" t="s">
        <v>990</v>
      </c>
      <c r="E233" t="s">
        <v>444</v>
      </c>
      <c r="F233" t="s">
        <v>363</v>
      </c>
      <c r="G233">
        <v>1</v>
      </c>
      <c r="H233">
        <v>1</v>
      </c>
      <c r="I233">
        <v>870</v>
      </c>
      <c r="J233">
        <v>1</v>
      </c>
      <c r="K233">
        <v>0</v>
      </c>
      <c r="L233">
        <v>1145.7</v>
      </c>
      <c r="M233">
        <v>907</v>
      </c>
      <c r="N233">
        <v>2364.5</v>
      </c>
      <c r="O233">
        <v>167.6</v>
      </c>
      <c r="P233">
        <v>28977.7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0.32</v>
      </c>
      <c r="W233">
        <v>3</v>
      </c>
      <c r="X233">
        <v>0.32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0.12</v>
      </c>
      <c r="AE233">
        <v>0.2</v>
      </c>
      <c r="AF233">
        <v>0</v>
      </c>
      <c r="AG233">
        <v>0.375</v>
      </c>
      <c r="AH233">
        <v>0</v>
      </c>
      <c r="AI233">
        <v>0</v>
      </c>
      <c r="AL233">
        <v>0</v>
      </c>
      <c r="AM233">
        <v>0</v>
      </c>
      <c r="AN233">
        <v>0</v>
      </c>
    </row>
    <row r="234" spans="1:40" x14ac:dyDescent="0.25">
      <c r="A234">
        <v>233</v>
      </c>
      <c r="B234" t="s">
        <v>991</v>
      </c>
      <c r="C234" t="s">
        <v>992</v>
      </c>
      <c r="D234" t="s">
        <v>993</v>
      </c>
      <c r="E234" t="s">
        <v>994</v>
      </c>
      <c r="F234" t="s">
        <v>363</v>
      </c>
      <c r="G234">
        <v>1</v>
      </c>
      <c r="H234">
        <v>1</v>
      </c>
      <c r="I234">
        <v>359</v>
      </c>
      <c r="J234">
        <v>0</v>
      </c>
      <c r="K234">
        <v>0</v>
      </c>
      <c r="L234">
        <v>3497.9</v>
      </c>
      <c r="M234">
        <v>2862.5</v>
      </c>
      <c r="N234">
        <v>4716.7</v>
      </c>
      <c r="O234">
        <v>1205.8</v>
      </c>
      <c r="P234">
        <v>31329.9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0.27</v>
      </c>
      <c r="W234">
        <v>3</v>
      </c>
      <c r="X234">
        <v>0.27</v>
      </c>
      <c r="Y234">
        <v>0</v>
      </c>
      <c r="Z234">
        <v>0</v>
      </c>
      <c r="AA234">
        <v>0</v>
      </c>
      <c r="AB234">
        <v>0</v>
      </c>
      <c r="AC234">
        <v>0.27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L234">
        <v>0</v>
      </c>
      <c r="AM234">
        <v>0</v>
      </c>
      <c r="AN234">
        <v>0</v>
      </c>
    </row>
    <row r="235" spans="1:40" x14ac:dyDescent="0.25">
      <c r="A235">
        <v>234</v>
      </c>
      <c r="B235" t="s">
        <v>995</v>
      </c>
      <c r="C235" t="s">
        <v>996</v>
      </c>
      <c r="D235" t="s">
        <v>997</v>
      </c>
      <c r="E235" t="s">
        <v>998</v>
      </c>
      <c r="F235" t="s">
        <v>105</v>
      </c>
      <c r="G235">
        <v>2</v>
      </c>
      <c r="H235">
        <v>1</v>
      </c>
      <c r="I235">
        <v>1319</v>
      </c>
      <c r="J235">
        <v>0</v>
      </c>
      <c r="K235">
        <v>0</v>
      </c>
      <c r="L235">
        <v>2155.3000000000002</v>
      </c>
      <c r="M235">
        <v>2905.5</v>
      </c>
      <c r="N235">
        <v>7397.2</v>
      </c>
      <c r="O235">
        <v>688</v>
      </c>
      <c r="P235">
        <v>7561.9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0.82</v>
      </c>
      <c r="W235">
        <v>3</v>
      </c>
      <c r="X235">
        <v>0.82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0.82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2023</v>
      </c>
      <c r="AK235">
        <v>1</v>
      </c>
      <c r="AL235">
        <v>1</v>
      </c>
      <c r="AM235">
        <v>0</v>
      </c>
      <c r="AN235">
        <v>1</v>
      </c>
    </row>
    <row r="236" spans="1:40" x14ac:dyDescent="0.25">
      <c r="A236">
        <v>235</v>
      </c>
      <c r="B236" t="s">
        <v>999</v>
      </c>
      <c r="C236" t="s">
        <v>1000</v>
      </c>
      <c r="D236" t="s">
        <v>1001</v>
      </c>
      <c r="E236" t="s">
        <v>834</v>
      </c>
      <c r="F236" t="s">
        <v>100</v>
      </c>
      <c r="G236">
        <v>2</v>
      </c>
      <c r="H236">
        <v>1</v>
      </c>
      <c r="I236">
        <v>5063</v>
      </c>
      <c r="J236">
        <v>0</v>
      </c>
      <c r="K236">
        <v>1</v>
      </c>
      <c r="L236">
        <v>705.7</v>
      </c>
      <c r="M236">
        <v>1202.3</v>
      </c>
      <c r="N236">
        <v>2250.3000000000002</v>
      </c>
      <c r="O236">
        <v>328.4</v>
      </c>
      <c r="P236">
        <v>387.4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0.22</v>
      </c>
      <c r="W236">
        <v>4</v>
      </c>
      <c r="X236">
        <v>0.22</v>
      </c>
      <c r="Y236">
        <v>0</v>
      </c>
      <c r="Z236">
        <v>0</v>
      </c>
      <c r="AA236">
        <v>0</v>
      </c>
      <c r="AB236">
        <v>0</v>
      </c>
      <c r="AC236">
        <v>0.22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L236">
        <v>0</v>
      </c>
      <c r="AM236">
        <v>0</v>
      </c>
      <c r="AN236">
        <v>0</v>
      </c>
    </row>
    <row r="237" spans="1:40" x14ac:dyDescent="0.25">
      <c r="A237">
        <v>236</v>
      </c>
      <c r="B237" t="s">
        <v>1002</v>
      </c>
      <c r="C237" t="s">
        <v>1003</v>
      </c>
      <c r="D237" t="s">
        <v>1004</v>
      </c>
      <c r="E237" t="s">
        <v>1005</v>
      </c>
      <c r="F237" t="s">
        <v>100</v>
      </c>
      <c r="G237">
        <v>2</v>
      </c>
      <c r="H237">
        <v>1</v>
      </c>
      <c r="I237">
        <v>1117</v>
      </c>
      <c r="J237">
        <v>0</v>
      </c>
      <c r="L237">
        <v>2659.6</v>
      </c>
      <c r="M237">
        <v>2809.7</v>
      </c>
      <c r="N237">
        <v>3018.7</v>
      </c>
      <c r="O237">
        <v>1387.7</v>
      </c>
      <c r="P237">
        <v>2514.6999999999998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1.21</v>
      </c>
      <c r="W237">
        <v>3</v>
      </c>
      <c r="X237">
        <v>1</v>
      </c>
      <c r="Y237">
        <v>0</v>
      </c>
      <c r="Z237">
        <v>0</v>
      </c>
      <c r="AA237">
        <v>0.21</v>
      </c>
      <c r="AB237">
        <v>0</v>
      </c>
      <c r="AC237">
        <v>1</v>
      </c>
      <c r="AD237">
        <v>0</v>
      </c>
      <c r="AE237">
        <v>0</v>
      </c>
      <c r="AF237">
        <v>0.21</v>
      </c>
      <c r="AG237">
        <v>0.82644628099173556</v>
      </c>
      <c r="AH237">
        <v>0</v>
      </c>
      <c r="AI237">
        <v>0</v>
      </c>
      <c r="AL237">
        <v>0</v>
      </c>
      <c r="AM237">
        <v>0</v>
      </c>
      <c r="AN237">
        <v>0</v>
      </c>
    </row>
    <row r="238" spans="1:40" x14ac:dyDescent="0.25">
      <c r="A238">
        <v>237</v>
      </c>
      <c r="B238" t="s">
        <v>1006</v>
      </c>
      <c r="C238" t="s">
        <v>1007</v>
      </c>
      <c r="D238" t="s">
        <v>1008</v>
      </c>
      <c r="E238" t="s">
        <v>1009</v>
      </c>
      <c r="F238" t="s">
        <v>203</v>
      </c>
      <c r="G238">
        <v>3</v>
      </c>
      <c r="H238">
        <v>2</v>
      </c>
      <c r="I238">
        <v>1967</v>
      </c>
      <c r="J238">
        <v>0</v>
      </c>
      <c r="L238">
        <v>1539.1</v>
      </c>
      <c r="M238">
        <v>1398.4</v>
      </c>
      <c r="N238">
        <v>6968.4</v>
      </c>
      <c r="O238">
        <v>1114.5</v>
      </c>
      <c r="P238">
        <v>5105.5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1.18</v>
      </c>
      <c r="W238">
        <v>3.5</v>
      </c>
      <c r="X238">
        <v>1.18</v>
      </c>
      <c r="Y238">
        <v>0</v>
      </c>
      <c r="Z238">
        <v>0</v>
      </c>
      <c r="AA238">
        <v>0</v>
      </c>
      <c r="AB238">
        <v>0</v>
      </c>
      <c r="AC238">
        <v>1.18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2</v>
      </c>
      <c r="AJ238">
        <v>2022</v>
      </c>
      <c r="AK238">
        <v>2</v>
      </c>
      <c r="AL238">
        <v>0</v>
      </c>
      <c r="AM238">
        <v>0</v>
      </c>
      <c r="AN238">
        <v>0</v>
      </c>
    </row>
    <row r="239" spans="1:40" x14ac:dyDescent="0.25">
      <c r="A239">
        <v>238</v>
      </c>
      <c r="B239" t="s">
        <v>1010</v>
      </c>
      <c r="C239" t="s">
        <v>1011</v>
      </c>
      <c r="D239" t="s">
        <v>1012</v>
      </c>
      <c r="E239" t="s">
        <v>136</v>
      </c>
      <c r="F239" t="s">
        <v>105</v>
      </c>
      <c r="G239">
        <v>2</v>
      </c>
      <c r="H239">
        <v>1</v>
      </c>
      <c r="I239">
        <v>1032</v>
      </c>
      <c r="J239">
        <v>0</v>
      </c>
      <c r="L239">
        <v>4019.5</v>
      </c>
      <c r="M239">
        <v>4023.5</v>
      </c>
      <c r="N239">
        <v>8065.3</v>
      </c>
      <c r="O239">
        <v>547.5</v>
      </c>
      <c r="P239">
        <v>8229.9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1.21</v>
      </c>
      <c r="W239">
        <v>3.5</v>
      </c>
      <c r="X239">
        <v>1.21</v>
      </c>
      <c r="Y239">
        <v>0</v>
      </c>
      <c r="Z239">
        <v>0</v>
      </c>
      <c r="AA239">
        <v>0</v>
      </c>
      <c r="AB239">
        <v>0</v>
      </c>
      <c r="AC239">
        <v>1.21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L239">
        <v>0</v>
      </c>
      <c r="AM239">
        <v>0</v>
      </c>
      <c r="AN239">
        <v>0</v>
      </c>
    </row>
    <row r="240" spans="1:40" x14ac:dyDescent="0.25">
      <c r="A240">
        <v>239</v>
      </c>
      <c r="B240" t="s">
        <v>1013</v>
      </c>
      <c r="C240" t="s">
        <v>1014</v>
      </c>
      <c r="D240" t="s">
        <v>1015</v>
      </c>
      <c r="E240" t="s">
        <v>1016</v>
      </c>
      <c r="F240" t="s">
        <v>149</v>
      </c>
      <c r="G240">
        <v>3</v>
      </c>
      <c r="H240">
        <v>1</v>
      </c>
      <c r="I240">
        <v>2178</v>
      </c>
      <c r="J240">
        <v>0</v>
      </c>
      <c r="K240">
        <v>1</v>
      </c>
      <c r="L240">
        <v>1350.7</v>
      </c>
      <c r="M240">
        <v>2417.8000000000002</v>
      </c>
      <c r="N240">
        <v>9440.5</v>
      </c>
      <c r="O240">
        <v>1818.7</v>
      </c>
      <c r="P240">
        <v>7577.6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3.63</v>
      </c>
      <c r="W240">
        <v>3</v>
      </c>
      <c r="X240">
        <v>1.3</v>
      </c>
      <c r="Y240">
        <v>0</v>
      </c>
      <c r="Z240">
        <v>0</v>
      </c>
      <c r="AA240">
        <v>2.33</v>
      </c>
      <c r="AB240">
        <v>0</v>
      </c>
      <c r="AC240">
        <v>0</v>
      </c>
      <c r="AD240">
        <v>1.3</v>
      </c>
      <c r="AE240">
        <v>0</v>
      </c>
      <c r="AF240">
        <v>2.33</v>
      </c>
      <c r="AG240">
        <v>0.35812672176308541</v>
      </c>
      <c r="AH240">
        <v>1</v>
      </c>
      <c r="AI240">
        <v>2</v>
      </c>
      <c r="AJ240">
        <v>2023</v>
      </c>
      <c r="AK240">
        <v>1</v>
      </c>
      <c r="AL240">
        <v>0</v>
      </c>
      <c r="AM240">
        <v>0</v>
      </c>
      <c r="AN240">
        <v>0</v>
      </c>
    </row>
    <row r="241" spans="1:40" x14ac:dyDescent="0.25">
      <c r="A241">
        <v>240</v>
      </c>
      <c r="B241" t="s">
        <v>1017</v>
      </c>
      <c r="C241" t="s">
        <v>1018</v>
      </c>
      <c r="D241" t="s">
        <v>1019</v>
      </c>
      <c r="E241" t="s">
        <v>586</v>
      </c>
      <c r="F241" t="s">
        <v>176</v>
      </c>
      <c r="G241">
        <v>1</v>
      </c>
      <c r="H241">
        <v>1</v>
      </c>
      <c r="I241">
        <v>837</v>
      </c>
      <c r="J241">
        <v>0</v>
      </c>
      <c r="L241">
        <v>1776.3</v>
      </c>
      <c r="M241">
        <v>1926.4</v>
      </c>
      <c r="N241">
        <v>41.4</v>
      </c>
      <c r="O241">
        <v>827.3</v>
      </c>
      <c r="P241">
        <v>1821.5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10</v>
      </c>
      <c r="X241">
        <v>0.1</v>
      </c>
      <c r="Y241">
        <v>0</v>
      </c>
      <c r="Z241">
        <v>0</v>
      </c>
      <c r="AA241">
        <v>0</v>
      </c>
      <c r="AB241">
        <v>0</v>
      </c>
      <c r="AC241">
        <v>0.1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L241">
        <v>0</v>
      </c>
      <c r="AM241">
        <v>0</v>
      </c>
      <c r="AN241">
        <v>0</v>
      </c>
    </row>
    <row r="242" spans="1:40" x14ac:dyDescent="0.25">
      <c r="A242">
        <v>241</v>
      </c>
      <c r="B242" t="s">
        <v>1020</v>
      </c>
      <c r="C242" t="s">
        <v>1021</v>
      </c>
      <c r="D242" t="s">
        <v>1022</v>
      </c>
      <c r="E242" t="s">
        <v>456</v>
      </c>
      <c r="F242" t="s">
        <v>363</v>
      </c>
      <c r="G242">
        <v>1</v>
      </c>
      <c r="H242">
        <v>1</v>
      </c>
      <c r="I242">
        <v>670</v>
      </c>
      <c r="J242">
        <v>1</v>
      </c>
      <c r="L242">
        <v>6687</v>
      </c>
      <c r="M242">
        <v>9170.7000000000007</v>
      </c>
      <c r="N242">
        <v>14571.4</v>
      </c>
      <c r="O242">
        <v>2304.8000000000002</v>
      </c>
      <c r="P242">
        <v>41184.5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1.34</v>
      </c>
      <c r="W242">
        <v>2</v>
      </c>
      <c r="X242">
        <v>0</v>
      </c>
      <c r="Y242">
        <v>0</v>
      </c>
      <c r="Z242">
        <v>0.94</v>
      </c>
      <c r="AA242">
        <v>0</v>
      </c>
      <c r="AB242">
        <v>0.4</v>
      </c>
      <c r="AC242">
        <v>1.34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1</v>
      </c>
      <c r="AJ242">
        <v>2023</v>
      </c>
      <c r="AK242">
        <v>1</v>
      </c>
      <c r="AL242">
        <v>0</v>
      </c>
      <c r="AM242">
        <v>0</v>
      </c>
      <c r="AN242">
        <v>0</v>
      </c>
    </row>
    <row r="243" spans="1:40" x14ac:dyDescent="0.25">
      <c r="A243">
        <v>242</v>
      </c>
      <c r="B243" t="s">
        <v>1023</v>
      </c>
      <c r="C243" t="s">
        <v>1024</v>
      </c>
      <c r="D243" t="s">
        <v>1025</v>
      </c>
      <c r="E243" t="s">
        <v>323</v>
      </c>
      <c r="F243" t="s">
        <v>100</v>
      </c>
      <c r="G243">
        <v>1</v>
      </c>
      <c r="H243">
        <v>1</v>
      </c>
      <c r="I243">
        <v>938</v>
      </c>
      <c r="J243">
        <v>0</v>
      </c>
      <c r="L243">
        <v>971.4</v>
      </c>
      <c r="M243">
        <v>1121.5</v>
      </c>
      <c r="N243">
        <v>1273</v>
      </c>
      <c r="O243">
        <v>333</v>
      </c>
      <c r="P243">
        <v>826.4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0.19</v>
      </c>
      <c r="W243">
        <v>3.5</v>
      </c>
      <c r="X243">
        <v>0.19</v>
      </c>
      <c r="Y243">
        <v>0</v>
      </c>
      <c r="Z243">
        <v>0</v>
      </c>
      <c r="AA243">
        <v>0</v>
      </c>
      <c r="AB243">
        <v>0</v>
      </c>
      <c r="AC243">
        <v>0.19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L243">
        <v>0</v>
      </c>
      <c r="AM243">
        <v>0</v>
      </c>
      <c r="AN243">
        <v>0</v>
      </c>
    </row>
    <row r="244" spans="1:40" x14ac:dyDescent="0.25">
      <c r="A244">
        <v>243</v>
      </c>
      <c r="B244" t="s">
        <v>1026</v>
      </c>
      <c r="C244" t="s">
        <v>1027</v>
      </c>
      <c r="D244" t="s">
        <v>1028</v>
      </c>
      <c r="E244" t="s">
        <v>895</v>
      </c>
      <c r="F244" t="s">
        <v>363</v>
      </c>
      <c r="G244">
        <v>1</v>
      </c>
      <c r="H244">
        <v>1</v>
      </c>
      <c r="I244">
        <v>539</v>
      </c>
      <c r="J244">
        <v>0</v>
      </c>
      <c r="L244">
        <v>1229.4000000000001</v>
      </c>
      <c r="M244">
        <v>594</v>
      </c>
      <c r="N244">
        <v>2448.3000000000002</v>
      </c>
      <c r="O244">
        <v>68.099999999999994</v>
      </c>
      <c r="P244">
        <v>29061.4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0.15</v>
      </c>
      <c r="W244">
        <v>3.5</v>
      </c>
      <c r="X244">
        <v>0.15</v>
      </c>
      <c r="Y244">
        <v>0</v>
      </c>
      <c r="Z244">
        <v>0</v>
      </c>
      <c r="AA244">
        <v>0</v>
      </c>
      <c r="AB244">
        <v>0</v>
      </c>
      <c r="AC244">
        <v>0.15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L244">
        <v>0</v>
      </c>
      <c r="AM244">
        <v>0</v>
      </c>
      <c r="AN244">
        <v>0</v>
      </c>
    </row>
    <row r="245" spans="1:40" x14ac:dyDescent="0.25">
      <c r="A245">
        <v>244</v>
      </c>
      <c r="B245" t="s">
        <v>1029</v>
      </c>
      <c r="C245" t="s">
        <v>1030</v>
      </c>
      <c r="D245" t="s">
        <v>1031</v>
      </c>
      <c r="E245" t="s">
        <v>800</v>
      </c>
      <c r="F245" t="s">
        <v>127</v>
      </c>
      <c r="G245">
        <v>1</v>
      </c>
      <c r="H245">
        <v>1</v>
      </c>
      <c r="I245">
        <v>719</v>
      </c>
      <c r="J245">
        <v>0</v>
      </c>
      <c r="K245">
        <v>1</v>
      </c>
      <c r="L245">
        <v>8162.8</v>
      </c>
      <c r="M245">
        <v>4120.1000000000004</v>
      </c>
      <c r="N245">
        <v>10373.200000000001</v>
      </c>
      <c r="O245">
        <v>1501.9</v>
      </c>
      <c r="P245">
        <v>10275.6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0.24</v>
      </c>
      <c r="W245">
        <v>3</v>
      </c>
      <c r="X245">
        <v>0.24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0.24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2021</v>
      </c>
      <c r="AK245">
        <v>3</v>
      </c>
      <c r="AL245">
        <v>0</v>
      </c>
      <c r="AM245">
        <v>0</v>
      </c>
      <c r="AN245">
        <v>0</v>
      </c>
    </row>
    <row r="246" spans="1:40" x14ac:dyDescent="0.25">
      <c r="A246">
        <v>245</v>
      </c>
      <c r="B246" t="s">
        <v>1032</v>
      </c>
      <c r="C246" t="s">
        <v>1033</v>
      </c>
      <c r="D246" t="s">
        <v>1034</v>
      </c>
      <c r="E246" t="s">
        <v>1035</v>
      </c>
      <c r="F246" t="s">
        <v>262</v>
      </c>
      <c r="G246">
        <v>5</v>
      </c>
      <c r="H246">
        <v>2</v>
      </c>
      <c r="I246">
        <v>2647</v>
      </c>
      <c r="J246">
        <v>0</v>
      </c>
      <c r="L246">
        <v>4267</v>
      </c>
      <c r="M246">
        <v>6331.9</v>
      </c>
      <c r="N246">
        <v>9887.5</v>
      </c>
      <c r="O246">
        <v>3256.1</v>
      </c>
      <c r="P246">
        <v>40166.6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8.5</v>
      </c>
      <c r="W246">
        <v>3.5</v>
      </c>
      <c r="X246">
        <v>8.5</v>
      </c>
      <c r="Y246">
        <v>0</v>
      </c>
      <c r="Z246">
        <v>0</v>
      </c>
      <c r="AA246">
        <v>0</v>
      </c>
      <c r="AB246">
        <v>0</v>
      </c>
      <c r="AC246">
        <v>0.9</v>
      </c>
      <c r="AD246">
        <v>1</v>
      </c>
      <c r="AE246">
        <v>1.6</v>
      </c>
      <c r="AF246">
        <v>5</v>
      </c>
      <c r="AG246">
        <v>0.22352941176470589</v>
      </c>
      <c r="AH246">
        <v>1</v>
      </c>
      <c r="AI246">
        <v>2</v>
      </c>
      <c r="AJ246">
        <v>2023</v>
      </c>
      <c r="AK246">
        <v>1</v>
      </c>
      <c r="AL246">
        <v>1</v>
      </c>
      <c r="AM246">
        <v>0</v>
      </c>
      <c r="AN246">
        <v>1</v>
      </c>
    </row>
    <row r="247" spans="1:40" x14ac:dyDescent="0.25">
      <c r="A247">
        <v>246</v>
      </c>
      <c r="B247" t="s">
        <v>1036</v>
      </c>
      <c r="C247" t="s">
        <v>1037</v>
      </c>
      <c r="D247" t="s">
        <v>1038</v>
      </c>
      <c r="E247" t="s">
        <v>1039</v>
      </c>
      <c r="F247" t="s">
        <v>176</v>
      </c>
      <c r="G247">
        <v>2</v>
      </c>
      <c r="H247">
        <v>1</v>
      </c>
      <c r="I247">
        <v>567</v>
      </c>
      <c r="J247">
        <v>0</v>
      </c>
      <c r="L247">
        <v>1667.8</v>
      </c>
      <c r="M247">
        <v>1698.5</v>
      </c>
      <c r="N247">
        <v>6822.7</v>
      </c>
      <c r="O247">
        <v>319</v>
      </c>
      <c r="P247">
        <v>8494.6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2.11</v>
      </c>
      <c r="W247">
        <v>3</v>
      </c>
      <c r="X247">
        <v>2.11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</v>
      </c>
      <c r="AE247">
        <v>0.51</v>
      </c>
      <c r="AF247">
        <v>0.4</v>
      </c>
      <c r="AG247">
        <v>0.56872037914691942</v>
      </c>
      <c r="AH247">
        <v>1</v>
      </c>
      <c r="AI247">
        <v>2</v>
      </c>
      <c r="AJ247">
        <v>2023</v>
      </c>
      <c r="AK247">
        <v>1</v>
      </c>
      <c r="AL247">
        <v>0</v>
      </c>
      <c r="AM247">
        <v>0</v>
      </c>
      <c r="AN247">
        <v>0</v>
      </c>
    </row>
    <row r="248" spans="1:40" x14ac:dyDescent="0.25">
      <c r="A248">
        <v>247</v>
      </c>
      <c r="B248" t="s">
        <v>1040</v>
      </c>
      <c r="C248" t="s">
        <v>1041</v>
      </c>
      <c r="D248" t="s">
        <v>1042</v>
      </c>
      <c r="E248" t="s">
        <v>624</v>
      </c>
      <c r="F248" t="s">
        <v>315</v>
      </c>
      <c r="G248">
        <v>1</v>
      </c>
      <c r="H248">
        <v>1</v>
      </c>
      <c r="I248">
        <v>923</v>
      </c>
      <c r="J248">
        <v>0</v>
      </c>
      <c r="L248">
        <v>330.2</v>
      </c>
      <c r="M248">
        <v>687.1</v>
      </c>
      <c r="N248">
        <v>1549.1</v>
      </c>
      <c r="O248">
        <v>293.3</v>
      </c>
      <c r="P248">
        <v>28162.2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0.37</v>
      </c>
      <c r="W248">
        <v>3</v>
      </c>
      <c r="X248">
        <v>0.37</v>
      </c>
      <c r="Y248">
        <v>0</v>
      </c>
      <c r="Z248">
        <v>0</v>
      </c>
      <c r="AA248">
        <v>0</v>
      </c>
      <c r="AB248">
        <v>0</v>
      </c>
      <c r="AC248">
        <v>0.37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L248">
        <v>0</v>
      </c>
      <c r="AM248">
        <v>0</v>
      </c>
      <c r="AN248">
        <v>0</v>
      </c>
    </row>
    <row r="249" spans="1:40" x14ac:dyDescent="0.25">
      <c r="A249">
        <v>248</v>
      </c>
      <c r="B249" t="s">
        <v>1043</v>
      </c>
      <c r="C249" t="s">
        <v>1044</v>
      </c>
      <c r="D249" t="s">
        <v>1045</v>
      </c>
      <c r="E249" t="s">
        <v>332</v>
      </c>
      <c r="F249" t="s">
        <v>100</v>
      </c>
      <c r="G249">
        <v>2</v>
      </c>
      <c r="H249">
        <v>1</v>
      </c>
      <c r="I249">
        <v>1848</v>
      </c>
      <c r="J249">
        <v>1</v>
      </c>
      <c r="L249">
        <v>8527.2999999999993</v>
      </c>
      <c r="M249">
        <v>7774.8</v>
      </c>
      <c r="N249">
        <v>9936.2999999999993</v>
      </c>
      <c r="O249">
        <v>646</v>
      </c>
      <c r="P249">
        <v>8262.6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2.36</v>
      </c>
      <c r="W249">
        <v>3.5</v>
      </c>
      <c r="X249">
        <v>2.36</v>
      </c>
      <c r="Y249">
        <v>0</v>
      </c>
      <c r="Z249">
        <v>0</v>
      </c>
      <c r="AA249">
        <v>0</v>
      </c>
      <c r="AB249">
        <v>0</v>
      </c>
      <c r="AC249">
        <v>2.36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L249">
        <v>0</v>
      </c>
      <c r="AM249">
        <v>0</v>
      </c>
      <c r="AN249">
        <v>0</v>
      </c>
    </row>
    <row r="250" spans="1:40" x14ac:dyDescent="0.25">
      <c r="A250">
        <v>249</v>
      </c>
      <c r="B250" t="s">
        <v>1046</v>
      </c>
      <c r="C250" t="s">
        <v>1047</v>
      </c>
      <c r="D250" t="s">
        <v>1048</v>
      </c>
      <c r="E250" t="s">
        <v>1049</v>
      </c>
      <c r="F250" t="s">
        <v>363</v>
      </c>
      <c r="G250">
        <v>4</v>
      </c>
      <c r="H250">
        <v>1</v>
      </c>
      <c r="I250">
        <v>1766</v>
      </c>
      <c r="J250">
        <v>1</v>
      </c>
      <c r="L250">
        <v>1237.4000000000001</v>
      </c>
      <c r="M250">
        <v>1128.8</v>
      </c>
      <c r="N250">
        <v>806.8</v>
      </c>
      <c r="O250">
        <v>247.1</v>
      </c>
      <c r="P250">
        <v>28042.799999999999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2.1</v>
      </c>
      <c r="W250">
        <v>3.5</v>
      </c>
      <c r="X250">
        <v>2.1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0.7</v>
      </c>
      <c r="AE250">
        <v>1.2</v>
      </c>
      <c r="AF250">
        <v>0.2</v>
      </c>
      <c r="AG250">
        <v>0.33333333333333331</v>
      </c>
      <c r="AH250">
        <v>0</v>
      </c>
      <c r="AI250">
        <v>0</v>
      </c>
      <c r="AL250">
        <v>0</v>
      </c>
      <c r="AM250">
        <v>0</v>
      </c>
      <c r="AN250">
        <v>0</v>
      </c>
    </row>
    <row r="251" spans="1:40" x14ac:dyDescent="0.25">
      <c r="A251">
        <v>250</v>
      </c>
      <c r="B251" t="s">
        <v>1050</v>
      </c>
      <c r="C251" t="s">
        <v>1051</v>
      </c>
      <c r="D251" t="s">
        <v>1052</v>
      </c>
      <c r="E251" t="s">
        <v>194</v>
      </c>
      <c r="F251" t="s">
        <v>100</v>
      </c>
      <c r="G251">
        <v>1</v>
      </c>
      <c r="H251">
        <v>1</v>
      </c>
      <c r="I251">
        <v>1874</v>
      </c>
      <c r="J251">
        <v>0</v>
      </c>
      <c r="K251">
        <v>1</v>
      </c>
      <c r="L251">
        <v>978.5</v>
      </c>
      <c r="M251">
        <v>1471.4</v>
      </c>
      <c r="N251">
        <v>2523.1</v>
      </c>
      <c r="O251">
        <v>597.5</v>
      </c>
      <c r="P251">
        <v>660.2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</v>
      </c>
      <c r="W251">
        <v>6</v>
      </c>
      <c r="X251">
        <v>0.2</v>
      </c>
      <c r="Y251">
        <v>0</v>
      </c>
      <c r="Z251">
        <v>0</v>
      </c>
      <c r="AA251">
        <v>0</v>
      </c>
      <c r="AB251">
        <v>0</v>
      </c>
      <c r="AC251">
        <v>0.2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L251">
        <v>1</v>
      </c>
      <c r="AM251">
        <v>0</v>
      </c>
      <c r="AN251">
        <v>1</v>
      </c>
    </row>
    <row r="252" spans="1:40" x14ac:dyDescent="0.25">
      <c r="A252">
        <v>251</v>
      </c>
      <c r="B252" t="s">
        <v>1053</v>
      </c>
      <c r="C252" t="s">
        <v>1054</v>
      </c>
      <c r="D252" t="s">
        <v>1055</v>
      </c>
      <c r="E252" t="s">
        <v>448</v>
      </c>
      <c r="F252" t="s">
        <v>315</v>
      </c>
      <c r="G252">
        <v>1</v>
      </c>
      <c r="H252">
        <v>1</v>
      </c>
      <c r="I252">
        <v>706</v>
      </c>
      <c r="J252">
        <v>0</v>
      </c>
      <c r="L252">
        <v>1189.4000000000001</v>
      </c>
      <c r="M252">
        <v>691.1</v>
      </c>
      <c r="N252">
        <v>2147.9</v>
      </c>
      <c r="O252">
        <v>452.2</v>
      </c>
      <c r="P252">
        <v>28761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0.4</v>
      </c>
      <c r="W252">
        <v>3.5</v>
      </c>
      <c r="X252">
        <v>0.4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0.4</v>
      </c>
      <c r="AF252">
        <v>0</v>
      </c>
      <c r="AG252">
        <v>0</v>
      </c>
      <c r="AH252">
        <v>0</v>
      </c>
      <c r="AI252">
        <v>0</v>
      </c>
      <c r="AL252">
        <v>0</v>
      </c>
      <c r="AM252">
        <v>0</v>
      </c>
      <c r="AN252">
        <v>0</v>
      </c>
    </row>
    <row r="253" spans="1:40" x14ac:dyDescent="0.25">
      <c r="A253">
        <v>252</v>
      </c>
      <c r="B253" t="s">
        <v>1056</v>
      </c>
      <c r="C253" t="s">
        <v>1057</v>
      </c>
      <c r="D253" t="s">
        <v>1058</v>
      </c>
      <c r="E253" t="s">
        <v>1059</v>
      </c>
      <c r="F253" t="s">
        <v>185</v>
      </c>
      <c r="G253">
        <v>2</v>
      </c>
      <c r="H253">
        <v>1</v>
      </c>
      <c r="I253">
        <v>661</v>
      </c>
      <c r="J253">
        <v>0</v>
      </c>
      <c r="L253">
        <v>5869.6</v>
      </c>
      <c r="M253">
        <v>7934.5</v>
      </c>
      <c r="N253">
        <v>956069302</v>
      </c>
      <c r="O253">
        <v>2013.1</v>
      </c>
      <c r="P253">
        <v>47122.1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6.93</v>
      </c>
      <c r="W253">
        <v>3.5</v>
      </c>
      <c r="X253">
        <v>3.6</v>
      </c>
      <c r="Y253">
        <v>0</v>
      </c>
      <c r="Z253">
        <v>1.5</v>
      </c>
      <c r="AA253">
        <v>0</v>
      </c>
      <c r="AB253">
        <v>1.83</v>
      </c>
      <c r="AC253">
        <v>2</v>
      </c>
      <c r="AD253">
        <v>3.1</v>
      </c>
      <c r="AE253">
        <v>0</v>
      </c>
      <c r="AF253">
        <v>1.83</v>
      </c>
      <c r="AG253">
        <v>0.73593073593073588</v>
      </c>
      <c r="AH253">
        <v>1</v>
      </c>
      <c r="AI253">
        <v>2</v>
      </c>
      <c r="AJ253">
        <v>2022</v>
      </c>
      <c r="AK253">
        <v>2</v>
      </c>
      <c r="AL253">
        <v>0</v>
      </c>
      <c r="AM253">
        <v>0</v>
      </c>
      <c r="AN253">
        <v>0</v>
      </c>
    </row>
    <row r="254" spans="1:40" x14ac:dyDescent="0.25">
      <c r="A254">
        <v>253</v>
      </c>
      <c r="B254" t="s">
        <v>1060</v>
      </c>
      <c r="C254" t="s">
        <v>1061</v>
      </c>
      <c r="D254" t="s">
        <v>1062</v>
      </c>
      <c r="E254" t="s">
        <v>1063</v>
      </c>
      <c r="F254" t="s">
        <v>363</v>
      </c>
      <c r="G254">
        <v>1</v>
      </c>
      <c r="H254">
        <v>1</v>
      </c>
      <c r="I254">
        <v>406</v>
      </c>
      <c r="J254">
        <v>1</v>
      </c>
      <c r="L254">
        <v>847.4</v>
      </c>
      <c r="M254">
        <v>608.70000000000005</v>
      </c>
      <c r="N254">
        <v>2066.3000000000002</v>
      </c>
      <c r="O254">
        <v>365.6</v>
      </c>
      <c r="P254">
        <v>28679.4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0.28000000000000003</v>
      </c>
      <c r="W254">
        <v>3</v>
      </c>
      <c r="X254">
        <v>0.28000000000000003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0.28000000000000003</v>
      </c>
      <c r="AF254">
        <v>0</v>
      </c>
      <c r="AG254">
        <v>0</v>
      </c>
      <c r="AH254">
        <v>0</v>
      </c>
      <c r="AI254">
        <v>0</v>
      </c>
      <c r="AL254">
        <v>0</v>
      </c>
      <c r="AM254">
        <v>0</v>
      </c>
      <c r="AN254">
        <v>0</v>
      </c>
    </row>
    <row r="255" spans="1:40" x14ac:dyDescent="0.25">
      <c r="A255">
        <v>254</v>
      </c>
      <c r="B255" t="s">
        <v>1064</v>
      </c>
      <c r="C255" t="s">
        <v>1065</v>
      </c>
      <c r="D255" t="s">
        <v>1066</v>
      </c>
      <c r="E255" t="s">
        <v>498</v>
      </c>
      <c r="F255" t="s">
        <v>176</v>
      </c>
      <c r="G255">
        <v>2</v>
      </c>
      <c r="H255">
        <v>1</v>
      </c>
      <c r="I255">
        <v>1245</v>
      </c>
      <c r="J255">
        <v>0</v>
      </c>
      <c r="L255">
        <v>3149.3</v>
      </c>
      <c r="M255">
        <v>3299.4</v>
      </c>
      <c r="N255">
        <v>1522.6</v>
      </c>
      <c r="O255">
        <v>800.7</v>
      </c>
      <c r="P255">
        <v>3194.5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0.68</v>
      </c>
      <c r="W255">
        <v>3.5</v>
      </c>
      <c r="X255">
        <v>0.68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0.68</v>
      </c>
      <c r="AE255">
        <v>0</v>
      </c>
      <c r="AF255">
        <v>0</v>
      </c>
      <c r="AG255">
        <v>1</v>
      </c>
      <c r="AH255">
        <v>0</v>
      </c>
      <c r="AI255">
        <v>0</v>
      </c>
      <c r="AL255">
        <v>0</v>
      </c>
      <c r="AM255">
        <v>0</v>
      </c>
      <c r="AN255">
        <v>0</v>
      </c>
    </row>
    <row r="256" spans="1:40" x14ac:dyDescent="0.25">
      <c r="A256">
        <v>255</v>
      </c>
      <c r="B256" t="s">
        <v>1067</v>
      </c>
      <c r="C256" t="s">
        <v>1068</v>
      </c>
      <c r="D256" t="s">
        <v>1069</v>
      </c>
      <c r="E256" t="s">
        <v>1070</v>
      </c>
      <c r="F256" t="s">
        <v>315</v>
      </c>
      <c r="G256">
        <v>1</v>
      </c>
      <c r="H256">
        <v>1</v>
      </c>
      <c r="I256">
        <v>1352</v>
      </c>
      <c r="J256">
        <v>0</v>
      </c>
      <c r="L256">
        <v>8023.3</v>
      </c>
      <c r="M256">
        <v>10088.200000000001</v>
      </c>
      <c r="N256">
        <v>6771.5</v>
      </c>
      <c r="O256">
        <v>500.2</v>
      </c>
      <c r="P256">
        <v>40497.1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0.66</v>
      </c>
      <c r="W256">
        <v>3</v>
      </c>
      <c r="X256">
        <v>0</v>
      </c>
      <c r="Y256">
        <v>0</v>
      </c>
      <c r="Z256">
        <v>0.66</v>
      </c>
      <c r="AA256">
        <v>0</v>
      </c>
      <c r="AB256">
        <v>0</v>
      </c>
      <c r="AC256">
        <v>0</v>
      </c>
      <c r="AD256">
        <v>0.66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2023</v>
      </c>
      <c r="AK256">
        <v>1</v>
      </c>
      <c r="AL256">
        <v>0</v>
      </c>
      <c r="AM256">
        <v>0</v>
      </c>
      <c r="AN256">
        <v>0</v>
      </c>
    </row>
    <row r="257" spans="1:40" x14ac:dyDescent="0.25">
      <c r="A257">
        <v>256</v>
      </c>
      <c r="B257" t="s">
        <v>1071</v>
      </c>
      <c r="C257" t="s">
        <v>1072</v>
      </c>
      <c r="D257" t="s">
        <v>1073</v>
      </c>
      <c r="E257" t="s">
        <v>1074</v>
      </c>
      <c r="F257" t="s">
        <v>539</v>
      </c>
      <c r="G257">
        <v>4</v>
      </c>
      <c r="H257">
        <v>2</v>
      </c>
      <c r="I257">
        <v>1988</v>
      </c>
      <c r="J257">
        <v>0</v>
      </c>
      <c r="L257">
        <v>8950.1</v>
      </c>
      <c r="M257">
        <v>6258.4</v>
      </c>
      <c r="N257">
        <v>8924.7000000000007</v>
      </c>
      <c r="O257">
        <v>2875.1</v>
      </c>
      <c r="P257">
        <v>9268.4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4.51</v>
      </c>
      <c r="W257">
        <v>3</v>
      </c>
      <c r="X257">
        <v>0</v>
      </c>
      <c r="Y257">
        <v>0</v>
      </c>
      <c r="Z257">
        <v>0</v>
      </c>
      <c r="AA257">
        <v>1.8</v>
      </c>
      <c r="AB257">
        <v>2.71</v>
      </c>
      <c r="AC257">
        <v>0</v>
      </c>
      <c r="AD257">
        <v>0</v>
      </c>
      <c r="AE257">
        <v>0</v>
      </c>
      <c r="AF257">
        <v>4.51</v>
      </c>
      <c r="AG257">
        <v>0</v>
      </c>
      <c r="AH257">
        <v>0</v>
      </c>
      <c r="AI257">
        <v>0</v>
      </c>
      <c r="AL257">
        <v>0</v>
      </c>
      <c r="AM257">
        <v>0</v>
      </c>
      <c r="AN257">
        <v>0</v>
      </c>
    </row>
    <row r="258" spans="1:40" x14ac:dyDescent="0.25">
      <c r="A258">
        <v>257</v>
      </c>
      <c r="B258" t="s">
        <v>1075</v>
      </c>
      <c r="C258" t="s">
        <v>1076</v>
      </c>
      <c r="D258" t="s">
        <v>1077</v>
      </c>
      <c r="E258" t="s">
        <v>1078</v>
      </c>
      <c r="F258" t="s">
        <v>127</v>
      </c>
      <c r="G258">
        <v>2</v>
      </c>
      <c r="H258">
        <v>1</v>
      </c>
      <c r="I258">
        <v>938</v>
      </c>
      <c r="J258">
        <v>0</v>
      </c>
      <c r="L258">
        <v>8550.7999999999993</v>
      </c>
      <c r="M258">
        <v>4601.1000000000004</v>
      </c>
      <c r="N258">
        <v>10761.2</v>
      </c>
      <c r="O258">
        <v>2190.3000000000002</v>
      </c>
      <c r="P258">
        <v>10663.6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2.87</v>
      </c>
      <c r="W258">
        <v>3.5</v>
      </c>
      <c r="X258">
        <v>2.87</v>
      </c>
      <c r="Y258">
        <v>0</v>
      </c>
      <c r="Z258">
        <v>0</v>
      </c>
      <c r="AA258">
        <v>0</v>
      </c>
      <c r="AB258">
        <v>0</v>
      </c>
      <c r="AC258">
        <v>0.87</v>
      </c>
      <c r="AD258">
        <v>0.6</v>
      </c>
      <c r="AE258">
        <v>1.4</v>
      </c>
      <c r="AF258">
        <v>0</v>
      </c>
      <c r="AG258">
        <v>0.51219512195121952</v>
      </c>
      <c r="AH258">
        <v>1</v>
      </c>
      <c r="AI258">
        <v>1</v>
      </c>
      <c r="AJ258">
        <v>2021</v>
      </c>
      <c r="AK258">
        <v>3</v>
      </c>
      <c r="AL258">
        <v>0</v>
      </c>
      <c r="AM258">
        <v>0</v>
      </c>
      <c r="AN258">
        <v>0</v>
      </c>
    </row>
    <row r="259" spans="1:40" x14ac:dyDescent="0.25">
      <c r="A259">
        <v>258</v>
      </c>
      <c r="B259" t="s">
        <v>1079</v>
      </c>
      <c r="C259" t="s">
        <v>1080</v>
      </c>
      <c r="D259" t="s">
        <v>1081</v>
      </c>
      <c r="E259" t="s">
        <v>105</v>
      </c>
      <c r="F259" t="s">
        <v>105</v>
      </c>
      <c r="G259">
        <v>1</v>
      </c>
      <c r="H259">
        <v>1</v>
      </c>
      <c r="I259">
        <v>423</v>
      </c>
      <c r="J259">
        <v>0</v>
      </c>
      <c r="K259">
        <v>1</v>
      </c>
      <c r="L259">
        <v>1326.5</v>
      </c>
      <c r="M259">
        <v>974.6</v>
      </c>
      <c r="N259">
        <v>7130</v>
      </c>
      <c r="O259">
        <v>997.9</v>
      </c>
      <c r="P259">
        <v>8509.5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1.03</v>
      </c>
      <c r="W259">
        <v>3</v>
      </c>
      <c r="X259">
        <v>1.03</v>
      </c>
      <c r="Y259">
        <v>0</v>
      </c>
      <c r="Z259">
        <v>0</v>
      </c>
      <c r="AA259">
        <v>0</v>
      </c>
      <c r="AB259">
        <v>0</v>
      </c>
      <c r="AC259">
        <v>1.03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L259">
        <v>0</v>
      </c>
      <c r="AM259">
        <v>0</v>
      </c>
      <c r="AN259">
        <v>0</v>
      </c>
    </row>
    <row r="260" spans="1:40" x14ac:dyDescent="0.25">
      <c r="A260">
        <v>259</v>
      </c>
      <c r="B260" t="s">
        <v>1082</v>
      </c>
      <c r="C260" t="s">
        <v>1083</v>
      </c>
      <c r="D260" t="s">
        <v>1084</v>
      </c>
      <c r="E260" t="s">
        <v>1085</v>
      </c>
      <c r="F260" t="s">
        <v>503</v>
      </c>
      <c r="G260">
        <v>4</v>
      </c>
      <c r="H260">
        <v>2</v>
      </c>
      <c r="I260">
        <v>1341</v>
      </c>
      <c r="J260">
        <v>0</v>
      </c>
      <c r="K260">
        <v>1</v>
      </c>
      <c r="L260">
        <v>2386.8000000000002</v>
      </c>
      <c r="M260">
        <v>1123.5</v>
      </c>
      <c r="N260">
        <v>8060.7</v>
      </c>
      <c r="O260">
        <v>90.4</v>
      </c>
      <c r="P260">
        <v>9459.2999999999993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2.73</v>
      </c>
      <c r="W260">
        <v>3.5</v>
      </c>
      <c r="X260">
        <v>2.73</v>
      </c>
      <c r="Y260">
        <v>0</v>
      </c>
      <c r="Z260">
        <v>0</v>
      </c>
      <c r="AA260">
        <v>0</v>
      </c>
      <c r="AB260">
        <v>0</v>
      </c>
      <c r="AC260">
        <v>0.2</v>
      </c>
      <c r="AD260">
        <v>0.2</v>
      </c>
      <c r="AE260">
        <v>1.8</v>
      </c>
      <c r="AF260">
        <v>0.53</v>
      </c>
      <c r="AG260">
        <v>0.1465201465201465</v>
      </c>
      <c r="AH260">
        <v>1</v>
      </c>
      <c r="AI260">
        <v>1</v>
      </c>
      <c r="AJ260">
        <v>2023</v>
      </c>
      <c r="AK260">
        <v>1</v>
      </c>
      <c r="AL260">
        <v>1</v>
      </c>
      <c r="AM260">
        <v>0</v>
      </c>
      <c r="AN260">
        <v>1</v>
      </c>
    </row>
    <row r="261" spans="1:40" x14ac:dyDescent="0.25">
      <c r="A261">
        <v>260</v>
      </c>
      <c r="B261" t="s">
        <v>1086</v>
      </c>
      <c r="C261" t="s">
        <v>1087</v>
      </c>
      <c r="D261" t="s">
        <v>1088</v>
      </c>
      <c r="E261" t="s">
        <v>1089</v>
      </c>
      <c r="F261" t="s">
        <v>100</v>
      </c>
      <c r="G261">
        <v>2</v>
      </c>
      <c r="H261">
        <v>1</v>
      </c>
      <c r="I261">
        <v>2613</v>
      </c>
      <c r="J261">
        <v>0</v>
      </c>
      <c r="L261">
        <v>2905.9</v>
      </c>
      <c r="M261">
        <v>3449</v>
      </c>
      <c r="N261">
        <v>4261.3</v>
      </c>
      <c r="O261">
        <v>143.1</v>
      </c>
      <c r="P261">
        <v>2587.6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</v>
      </c>
      <c r="W261">
        <v>3</v>
      </c>
      <c r="X261">
        <v>0</v>
      </c>
      <c r="Y261">
        <v>0</v>
      </c>
      <c r="Z261">
        <v>0.2</v>
      </c>
      <c r="AA261">
        <v>0</v>
      </c>
      <c r="AB261">
        <v>0</v>
      </c>
      <c r="AC261">
        <v>0</v>
      </c>
      <c r="AD261">
        <v>0</v>
      </c>
      <c r="AE261">
        <v>0.2</v>
      </c>
      <c r="AF261">
        <v>0</v>
      </c>
      <c r="AG261">
        <v>0</v>
      </c>
      <c r="AH261">
        <v>0</v>
      </c>
      <c r="AI261">
        <v>0</v>
      </c>
      <c r="AL261">
        <v>0</v>
      </c>
      <c r="AM261">
        <v>0</v>
      </c>
      <c r="AN261">
        <v>0</v>
      </c>
    </row>
    <row r="262" spans="1:40" x14ac:dyDescent="0.25">
      <c r="A262">
        <v>261</v>
      </c>
      <c r="B262" t="s">
        <v>1090</v>
      </c>
      <c r="C262" t="s">
        <v>1091</v>
      </c>
      <c r="D262" t="s">
        <v>1092</v>
      </c>
      <c r="E262" t="s">
        <v>1093</v>
      </c>
      <c r="F262" t="s">
        <v>100</v>
      </c>
      <c r="G262">
        <v>6</v>
      </c>
      <c r="H262">
        <v>1</v>
      </c>
      <c r="I262">
        <v>8588</v>
      </c>
      <c r="J262">
        <v>1</v>
      </c>
      <c r="K262">
        <v>1</v>
      </c>
      <c r="L262">
        <v>3075.6</v>
      </c>
      <c r="M262">
        <v>3618.6</v>
      </c>
      <c r="N262">
        <v>4430.8999999999996</v>
      </c>
      <c r="O262">
        <v>365.8</v>
      </c>
      <c r="P262">
        <v>2757.2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5.32</v>
      </c>
      <c r="W262">
        <v>4</v>
      </c>
      <c r="X262">
        <v>5.32</v>
      </c>
      <c r="Y262">
        <v>0</v>
      </c>
      <c r="Z262">
        <v>0</v>
      </c>
      <c r="AA262">
        <v>0</v>
      </c>
      <c r="AB262">
        <v>0</v>
      </c>
      <c r="AC262">
        <v>5.32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2023</v>
      </c>
      <c r="AK262">
        <v>1</v>
      </c>
      <c r="AL262">
        <v>1</v>
      </c>
      <c r="AM262">
        <v>1</v>
      </c>
      <c r="AN262">
        <v>0</v>
      </c>
    </row>
    <row r="263" spans="1:40" x14ac:dyDescent="0.25">
      <c r="A263">
        <v>262</v>
      </c>
      <c r="B263" t="s">
        <v>1094</v>
      </c>
      <c r="C263" t="s">
        <v>1095</v>
      </c>
      <c r="D263" t="s">
        <v>1096</v>
      </c>
      <c r="E263" t="s">
        <v>1097</v>
      </c>
      <c r="F263" t="s">
        <v>190</v>
      </c>
      <c r="G263">
        <v>1</v>
      </c>
      <c r="H263">
        <v>1</v>
      </c>
      <c r="I263">
        <v>371</v>
      </c>
      <c r="J263">
        <v>0</v>
      </c>
      <c r="K263">
        <v>1</v>
      </c>
      <c r="L263">
        <v>608.29999999999995</v>
      </c>
      <c r="M263">
        <v>2430.4</v>
      </c>
      <c r="N263">
        <v>11122</v>
      </c>
      <c r="O263">
        <v>277.2</v>
      </c>
      <c r="P263">
        <v>12501.5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0.64</v>
      </c>
      <c r="W263">
        <v>3</v>
      </c>
      <c r="X263">
        <v>0.5</v>
      </c>
      <c r="Y263">
        <v>0</v>
      </c>
      <c r="Z263">
        <v>0</v>
      </c>
      <c r="AA263">
        <v>0.14000000000000001</v>
      </c>
      <c r="AB263">
        <v>0</v>
      </c>
      <c r="AC263">
        <v>0</v>
      </c>
      <c r="AD263">
        <v>0.5</v>
      </c>
      <c r="AE263">
        <v>0</v>
      </c>
      <c r="AF263">
        <v>0.14000000000000001</v>
      </c>
      <c r="AG263">
        <v>0.78125</v>
      </c>
      <c r="AH263">
        <v>0</v>
      </c>
      <c r="AI263">
        <v>0</v>
      </c>
      <c r="AL263">
        <v>0</v>
      </c>
      <c r="AM263">
        <v>0</v>
      </c>
      <c r="AN263">
        <v>0</v>
      </c>
    </row>
    <row r="264" spans="1:40" x14ac:dyDescent="0.25">
      <c r="A264">
        <v>263</v>
      </c>
      <c r="B264" t="s">
        <v>1098</v>
      </c>
      <c r="C264" t="s">
        <v>1099</v>
      </c>
      <c r="D264" t="s">
        <v>1100</v>
      </c>
      <c r="E264" t="s">
        <v>1097</v>
      </c>
      <c r="F264" t="s">
        <v>190</v>
      </c>
      <c r="G264">
        <v>1</v>
      </c>
      <c r="H264">
        <v>1</v>
      </c>
      <c r="I264">
        <v>371</v>
      </c>
      <c r="J264">
        <v>0</v>
      </c>
      <c r="K264">
        <v>1</v>
      </c>
      <c r="L264">
        <v>744.7</v>
      </c>
      <c r="M264">
        <v>3138.6</v>
      </c>
      <c r="N264">
        <v>11056.8</v>
      </c>
      <c r="O264">
        <v>1075.9000000000001</v>
      </c>
      <c r="P264">
        <v>12436.3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1.26</v>
      </c>
      <c r="W264">
        <v>3.5</v>
      </c>
      <c r="X264">
        <v>1.26</v>
      </c>
      <c r="Y264">
        <v>0</v>
      </c>
      <c r="Z264">
        <v>0</v>
      </c>
      <c r="AA264">
        <v>0</v>
      </c>
      <c r="AB264">
        <v>0</v>
      </c>
      <c r="AC264">
        <v>1.26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2</v>
      </c>
      <c r="AJ264">
        <v>2023</v>
      </c>
      <c r="AK264">
        <v>1</v>
      </c>
      <c r="AL264">
        <v>0</v>
      </c>
      <c r="AM264">
        <v>0</v>
      </c>
      <c r="AN264">
        <v>0</v>
      </c>
    </row>
    <row r="265" spans="1:40" x14ac:dyDescent="0.25">
      <c r="A265">
        <v>264</v>
      </c>
      <c r="B265" t="s">
        <v>1101</v>
      </c>
      <c r="C265" t="s">
        <v>1102</v>
      </c>
      <c r="D265" t="s">
        <v>1103</v>
      </c>
      <c r="E265" t="s">
        <v>1104</v>
      </c>
      <c r="F265" t="s">
        <v>503</v>
      </c>
      <c r="G265">
        <v>2</v>
      </c>
      <c r="H265">
        <v>2</v>
      </c>
      <c r="I265">
        <v>1350</v>
      </c>
      <c r="J265">
        <v>0</v>
      </c>
      <c r="K265">
        <v>0</v>
      </c>
      <c r="L265">
        <v>3564.5</v>
      </c>
      <c r="M265">
        <v>3474.2</v>
      </c>
      <c r="N265">
        <v>3534.9</v>
      </c>
      <c r="O265">
        <v>1060.3</v>
      </c>
      <c r="P265">
        <v>4933.5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3</v>
      </c>
      <c r="X265">
        <v>0.5</v>
      </c>
      <c r="Y265">
        <v>0</v>
      </c>
      <c r="Z265">
        <v>0</v>
      </c>
      <c r="AA265">
        <v>0</v>
      </c>
      <c r="AB265">
        <v>0</v>
      </c>
      <c r="AC265">
        <v>0.5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L265">
        <v>0</v>
      </c>
      <c r="AM265">
        <v>0</v>
      </c>
      <c r="AN265">
        <v>0</v>
      </c>
    </row>
    <row r="266" spans="1:40" x14ac:dyDescent="0.25">
      <c r="A266">
        <v>265</v>
      </c>
      <c r="B266" t="s">
        <v>1105</v>
      </c>
      <c r="C266" t="s">
        <v>1106</v>
      </c>
      <c r="D266" t="s">
        <v>1107</v>
      </c>
      <c r="E266" t="s">
        <v>444</v>
      </c>
      <c r="F266" t="s">
        <v>363</v>
      </c>
      <c r="G266">
        <v>1</v>
      </c>
      <c r="H266">
        <v>1</v>
      </c>
      <c r="I266">
        <v>870</v>
      </c>
      <c r="J266">
        <v>1</v>
      </c>
      <c r="K266">
        <v>0</v>
      </c>
      <c r="L266">
        <v>1337.2</v>
      </c>
      <c r="M266">
        <v>1098.5999999999999</v>
      </c>
      <c r="N266">
        <v>2556.1</v>
      </c>
      <c r="O266">
        <v>657.2</v>
      </c>
      <c r="P266">
        <v>29169.200000000001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0.34</v>
      </c>
      <c r="W266">
        <v>3.5</v>
      </c>
      <c r="X266">
        <v>0.2</v>
      </c>
      <c r="Y266">
        <v>0</v>
      </c>
      <c r="Z266">
        <v>0</v>
      </c>
      <c r="AA266">
        <v>0</v>
      </c>
      <c r="AB266">
        <v>0.14000000000000001</v>
      </c>
      <c r="AC266">
        <v>0</v>
      </c>
      <c r="AD266">
        <v>0</v>
      </c>
      <c r="AE266">
        <v>0.2</v>
      </c>
      <c r="AF266">
        <v>0.14000000000000001</v>
      </c>
      <c r="AG266">
        <v>0</v>
      </c>
      <c r="AH266">
        <v>1</v>
      </c>
      <c r="AI266">
        <v>1</v>
      </c>
      <c r="AJ266">
        <v>2023</v>
      </c>
      <c r="AK266">
        <v>1</v>
      </c>
      <c r="AL266">
        <v>1</v>
      </c>
      <c r="AM266">
        <v>0</v>
      </c>
      <c r="AN266">
        <v>1</v>
      </c>
    </row>
    <row r="267" spans="1:40" x14ac:dyDescent="0.25">
      <c r="A267">
        <v>266</v>
      </c>
      <c r="B267" t="s">
        <v>1108</v>
      </c>
      <c r="C267" t="s">
        <v>1109</v>
      </c>
      <c r="D267" t="s">
        <v>1110</v>
      </c>
      <c r="E267" t="s">
        <v>705</v>
      </c>
      <c r="F267" t="s">
        <v>100</v>
      </c>
      <c r="G267">
        <v>1</v>
      </c>
      <c r="H267">
        <v>1</v>
      </c>
      <c r="I267">
        <v>3189</v>
      </c>
      <c r="J267">
        <v>0</v>
      </c>
      <c r="K267">
        <v>0</v>
      </c>
      <c r="L267">
        <v>419.6</v>
      </c>
      <c r="M267">
        <v>1094.4000000000001</v>
      </c>
      <c r="N267">
        <v>2197.3000000000002</v>
      </c>
      <c r="O267">
        <v>383.2</v>
      </c>
      <c r="P267">
        <v>334.4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0.52</v>
      </c>
      <c r="W267">
        <v>6</v>
      </c>
      <c r="X267">
        <v>0.52</v>
      </c>
      <c r="Y267">
        <v>0</v>
      </c>
      <c r="Z267">
        <v>0</v>
      </c>
      <c r="AA267">
        <v>0</v>
      </c>
      <c r="AB267">
        <v>0</v>
      </c>
      <c r="AC267">
        <v>0.52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L267">
        <v>0</v>
      </c>
      <c r="AM267">
        <v>0</v>
      </c>
      <c r="AN267">
        <v>0</v>
      </c>
    </row>
    <row r="268" spans="1:40" x14ac:dyDescent="0.25">
      <c r="A268">
        <v>267</v>
      </c>
      <c r="B268" t="s">
        <v>1111</v>
      </c>
      <c r="C268" t="s">
        <v>1112</v>
      </c>
      <c r="D268" t="s">
        <v>1113</v>
      </c>
      <c r="E268" t="s">
        <v>705</v>
      </c>
      <c r="F268" t="s">
        <v>100</v>
      </c>
      <c r="G268">
        <v>1</v>
      </c>
      <c r="H268">
        <v>1</v>
      </c>
      <c r="I268">
        <v>3189</v>
      </c>
      <c r="J268">
        <v>0</v>
      </c>
      <c r="K268">
        <v>0</v>
      </c>
      <c r="L268">
        <v>164.9</v>
      </c>
      <c r="M268">
        <v>839.6</v>
      </c>
      <c r="N268">
        <v>1982.7</v>
      </c>
      <c r="O268">
        <v>618.4</v>
      </c>
      <c r="P268">
        <v>360.8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0.26</v>
      </c>
      <c r="W268">
        <v>5</v>
      </c>
      <c r="X268">
        <v>0.26</v>
      </c>
      <c r="Y268">
        <v>0</v>
      </c>
      <c r="Z268">
        <v>0</v>
      </c>
      <c r="AA268">
        <v>0</v>
      </c>
      <c r="AB268">
        <v>0</v>
      </c>
      <c r="AC268">
        <v>0.26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L268">
        <v>0</v>
      </c>
      <c r="AM268">
        <v>0</v>
      </c>
      <c r="AN268">
        <v>0</v>
      </c>
    </row>
    <row r="269" spans="1:40" x14ac:dyDescent="0.25">
      <c r="A269">
        <v>268</v>
      </c>
      <c r="B269" t="s">
        <v>1114</v>
      </c>
      <c r="C269" t="s">
        <v>1115</v>
      </c>
      <c r="D269" t="s">
        <v>1116</v>
      </c>
      <c r="E269" t="s">
        <v>1117</v>
      </c>
      <c r="F269" t="s">
        <v>100</v>
      </c>
      <c r="G269">
        <v>2</v>
      </c>
      <c r="H269">
        <v>1</v>
      </c>
      <c r="I269">
        <v>1568</v>
      </c>
      <c r="J269">
        <v>0</v>
      </c>
      <c r="K269">
        <v>0</v>
      </c>
      <c r="L269">
        <v>1340.4</v>
      </c>
      <c r="M269">
        <v>1490.5</v>
      </c>
      <c r="N269">
        <v>942.9</v>
      </c>
      <c r="O269">
        <v>32.6</v>
      </c>
      <c r="P269">
        <v>3162.2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1.57</v>
      </c>
      <c r="W269">
        <v>3</v>
      </c>
      <c r="X269">
        <v>1.57</v>
      </c>
      <c r="Y269">
        <v>0</v>
      </c>
      <c r="Z269">
        <v>0</v>
      </c>
      <c r="AA269">
        <v>0</v>
      </c>
      <c r="AB269">
        <v>0</v>
      </c>
      <c r="AC269">
        <v>1.57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1</v>
      </c>
      <c r="AJ269">
        <v>2023</v>
      </c>
      <c r="AK269">
        <v>1</v>
      </c>
      <c r="AL269">
        <v>1</v>
      </c>
      <c r="AM269">
        <v>0</v>
      </c>
      <c r="AN269">
        <v>1</v>
      </c>
    </row>
    <row r="270" spans="1:40" x14ac:dyDescent="0.25">
      <c r="A270">
        <v>269</v>
      </c>
      <c r="B270" t="s">
        <v>1118</v>
      </c>
      <c r="C270" t="s">
        <v>1119</v>
      </c>
      <c r="D270" t="s">
        <v>1120</v>
      </c>
      <c r="E270" t="s">
        <v>1121</v>
      </c>
      <c r="F270" t="s">
        <v>503</v>
      </c>
      <c r="G270">
        <v>7</v>
      </c>
      <c r="H270">
        <v>2</v>
      </c>
      <c r="I270">
        <v>2253</v>
      </c>
      <c r="J270">
        <v>0</v>
      </c>
      <c r="K270">
        <v>0</v>
      </c>
      <c r="L270">
        <v>3775.4</v>
      </c>
      <c r="M270">
        <v>3580.5</v>
      </c>
      <c r="N270">
        <v>10517.7</v>
      </c>
      <c r="O270">
        <v>349.1</v>
      </c>
      <c r="P270">
        <v>8013.7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3.77</v>
      </c>
      <c r="W270">
        <v>3</v>
      </c>
      <c r="X270">
        <v>3.77</v>
      </c>
      <c r="Y270">
        <v>0</v>
      </c>
      <c r="Z270">
        <v>0</v>
      </c>
      <c r="AA270">
        <v>0</v>
      </c>
      <c r="AB270">
        <v>0</v>
      </c>
      <c r="AC270">
        <v>1.4</v>
      </c>
      <c r="AD270">
        <v>1.97</v>
      </c>
      <c r="AE270">
        <v>0.4</v>
      </c>
      <c r="AF270">
        <v>0</v>
      </c>
      <c r="AG270">
        <v>0.89389920424403191</v>
      </c>
      <c r="AH270">
        <v>0</v>
      </c>
      <c r="AI270">
        <v>0</v>
      </c>
      <c r="AL270">
        <v>0</v>
      </c>
      <c r="AM270">
        <v>0</v>
      </c>
      <c r="AN270">
        <v>0</v>
      </c>
    </row>
    <row r="271" spans="1:40" x14ac:dyDescent="0.25">
      <c r="A271">
        <v>270</v>
      </c>
      <c r="B271" t="s">
        <v>1122</v>
      </c>
      <c r="C271" t="s">
        <v>1123</v>
      </c>
      <c r="D271" t="s">
        <v>1124</v>
      </c>
      <c r="E271" t="s">
        <v>1125</v>
      </c>
      <c r="F271" t="s">
        <v>213</v>
      </c>
      <c r="G271">
        <v>2</v>
      </c>
      <c r="H271">
        <v>2</v>
      </c>
      <c r="I271">
        <v>1446</v>
      </c>
      <c r="J271">
        <v>0</v>
      </c>
      <c r="K271">
        <v>1</v>
      </c>
      <c r="L271">
        <v>1963.7</v>
      </c>
      <c r="M271">
        <v>1063.7</v>
      </c>
      <c r="N271">
        <v>5025.1000000000004</v>
      </c>
      <c r="O271">
        <v>295.8</v>
      </c>
      <c r="P271">
        <v>8261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0.55000000000000004</v>
      </c>
      <c r="W271">
        <v>3</v>
      </c>
      <c r="X271">
        <v>0.4</v>
      </c>
      <c r="Y271">
        <v>0</v>
      </c>
      <c r="Z271">
        <v>0</v>
      </c>
      <c r="AA271">
        <v>0.15</v>
      </c>
      <c r="AB271">
        <v>0</v>
      </c>
      <c r="AC271">
        <v>0</v>
      </c>
      <c r="AD271">
        <v>0.2</v>
      </c>
      <c r="AE271">
        <v>0.2</v>
      </c>
      <c r="AF271">
        <v>0.15</v>
      </c>
      <c r="AG271">
        <v>0.36363636363636359</v>
      </c>
      <c r="AH271">
        <v>0</v>
      </c>
      <c r="AI271">
        <v>0</v>
      </c>
      <c r="AL271">
        <v>1</v>
      </c>
      <c r="AM271">
        <v>1</v>
      </c>
      <c r="AN271">
        <v>0</v>
      </c>
    </row>
    <row r="272" spans="1:40" x14ac:dyDescent="0.25">
      <c r="A272">
        <v>271</v>
      </c>
      <c r="B272" t="s">
        <v>1126</v>
      </c>
      <c r="C272" t="s">
        <v>1127</v>
      </c>
      <c r="D272" t="s">
        <v>1128</v>
      </c>
      <c r="E272" t="s">
        <v>289</v>
      </c>
      <c r="F272" t="s">
        <v>176</v>
      </c>
      <c r="G272">
        <v>2</v>
      </c>
      <c r="H272">
        <v>1</v>
      </c>
      <c r="I272">
        <v>459</v>
      </c>
      <c r="J272">
        <v>0</v>
      </c>
      <c r="K272">
        <v>0</v>
      </c>
      <c r="L272">
        <v>13352.3</v>
      </c>
      <c r="M272">
        <v>12599.8</v>
      </c>
      <c r="N272">
        <v>14761.3</v>
      </c>
      <c r="O272">
        <v>4179</v>
      </c>
      <c r="P272">
        <v>1385.5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2.37</v>
      </c>
      <c r="W272">
        <v>3</v>
      </c>
      <c r="X272">
        <v>2.37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2.37</v>
      </c>
      <c r="AE272">
        <v>0</v>
      </c>
      <c r="AF272">
        <v>0</v>
      </c>
      <c r="AG272">
        <v>1</v>
      </c>
      <c r="AH272">
        <v>1</v>
      </c>
      <c r="AI272">
        <v>1</v>
      </c>
      <c r="AJ272">
        <v>2021</v>
      </c>
      <c r="AK272">
        <v>3</v>
      </c>
      <c r="AL272">
        <v>1</v>
      </c>
      <c r="AM272">
        <v>1</v>
      </c>
      <c r="AN272">
        <v>0</v>
      </c>
    </row>
    <row r="273" spans="1:40" x14ac:dyDescent="0.25">
      <c r="A273">
        <v>272</v>
      </c>
      <c r="B273" t="s">
        <v>1129</v>
      </c>
      <c r="C273" t="s">
        <v>1130</v>
      </c>
      <c r="D273" t="s">
        <v>1131</v>
      </c>
      <c r="E273" t="s">
        <v>1132</v>
      </c>
      <c r="F273" t="s">
        <v>100</v>
      </c>
      <c r="G273">
        <v>2</v>
      </c>
      <c r="H273">
        <v>1</v>
      </c>
      <c r="I273">
        <v>1355</v>
      </c>
      <c r="J273">
        <v>1</v>
      </c>
      <c r="K273">
        <v>0</v>
      </c>
      <c r="L273">
        <v>13680.7</v>
      </c>
      <c r="M273">
        <v>12928.1</v>
      </c>
      <c r="N273">
        <v>15089.6</v>
      </c>
      <c r="O273">
        <v>4507.3</v>
      </c>
      <c r="P273">
        <v>17300.3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8.1</v>
      </c>
      <c r="W273">
        <v>3</v>
      </c>
      <c r="X273">
        <v>2</v>
      </c>
      <c r="Y273">
        <v>0</v>
      </c>
      <c r="Z273">
        <v>0</v>
      </c>
      <c r="AA273">
        <v>0</v>
      </c>
      <c r="AB273">
        <v>6.1</v>
      </c>
      <c r="AC273">
        <v>2.2000000000000002</v>
      </c>
      <c r="AD273">
        <v>0</v>
      </c>
      <c r="AE273">
        <v>0</v>
      </c>
      <c r="AF273">
        <v>5.9</v>
      </c>
      <c r="AG273">
        <v>0.27160493827160492</v>
      </c>
      <c r="AH273">
        <v>1</v>
      </c>
      <c r="AI273">
        <v>3</v>
      </c>
      <c r="AJ273">
        <v>2023</v>
      </c>
      <c r="AK273">
        <v>1</v>
      </c>
      <c r="AL273">
        <v>0</v>
      </c>
      <c r="AM273">
        <v>0</v>
      </c>
      <c r="AN273">
        <v>0</v>
      </c>
    </row>
    <row r="274" spans="1:40" x14ac:dyDescent="0.25">
      <c r="A274">
        <v>273</v>
      </c>
      <c r="B274" t="s">
        <v>1133</v>
      </c>
      <c r="C274" t="s">
        <v>1134</v>
      </c>
      <c r="D274" t="s">
        <v>1135</v>
      </c>
      <c r="E274" t="s">
        <v>1132</v>
      </c>
      <c r="F274" t="s">
        <v>100</v>
      </c>
      <c r="G274">
        <v>2</v>
      </c>
      <c r="H274">
        <v>1</v>
      </c>
      <c r="I274">
        <v>1355</v>
      </c>
      <c r="J274">
        <v>1</v>
      </c>
      <c r="K274">
        <v>0</v>
      </c>
      <c r="L274">
        <v>1469.3</v>
      </c>
      <c r="M274">
        <v>1438.6</v>
      </c>
      <c r="N274">
        <v>6341.9</v>
      </c>
      <c r="O274">
        <v>1137.4000000000001</v>
      </c>
      <c r="P274">
        <v>10988.7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8.19</v>
      </c>
      <c r="W274">
        <v>3</v>
      </c>
      <c r="X274">
        <v>1.6</v>
      </c>
      <c r="Y274">
        <v>0</v>
      </c>
      <c r="Z274">
        <v>0</v>
      </c>
      <c r="AA274">
        <v>1.4</v>
      </c>
      <c r="AB274">
        <v>5.19</v>
      </c>
      <c r="AC274">
        <v>1.6</v>
      </c>
      <c r="AD274">
        <v>0</v>
      </c>
      <c r="AE274">
        <v>0</v>
      </c>
      <c r="AF274">
        <v>6.59</v>
      </c>
      <c r="AG274">
        <v>0.19536019536019539</v>
      </c>
      <c r="AH274">
        <v>1</v>
      </c>
      <c r="AI274">
        <v>1</v>
      </c>
      <c r="AJ274">
        <v>2023</v>
      </c>
      <c r="AK274">
        <v>1</v>
      </c>
      <c r="AL274">
        <v>1</v>
      </c>
      <c r="AM274">
        <v>0</v>
      </c>
      <c r="AN274">
        <v>1</v>
      </c>
    </row>
    <row r="275" spans="1:40" x14ac:dyDescent="0.25">
      <c r="A275">
        <v>274</v>
      </c>
      <c r="B275" t="s">
        <v>1136</v>
      </c>
      <c r="C275" t="s">
        <v>1137</v>
      </c>
      <c r="D275" t="s">
        <v>1138</v>
      </c>
      <c r="E275" t="s">
        <v>1139</v>
      </c>
      <c r="F275" t="s">
        <v>208</v>
      </c>
      <c r="G275">
        <v>3</v>
      </c>
      <c r="H275">
        <v>2</v>
      </c>
      <c r="I275">
        <v>1870</v>
      </c>
      <c r="J275">
        <v>0</v>
      </c>
      <c r="K275">
        <v>0</v>
      </c>
      <c r="L275">
        <v>3740.6</v>
      </c>
      <c r="M275">
        <v>4346.1000000000004</v>
      </c>
      <c r="N275">
        <v>10123.9</v>
      </c>
      <c r="O275">
        <v>198.2</v>
      </c>
      <c r="P275">
        <v>27315.5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4.9000000000000004</v>
      </c>
      <c r="W275">
        <v>3.5</v>
      </c>
      <c r="X275">
        <v>4.9000000000000004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4.9000000000000004</v>
      </c>
      <c r="AE275">
        <v>0</v>
      </c>
      <c r="AF275">
        <v>0</v>
      </c>
      <c r="AG275">
        <v>1</v>
      </c>
      <c r="AH275">
        <v>0</v>
      </c>
      <c r="AI275">
        <v>0</v>
      </c>
      <c r="AL275">
        <v>0</v>
      </c>
      <c r="AM275">
        <v>0</v>
      </c>
      <c r="AN275">
        <v>0</v>
      </c>
    </row>
    <row r="276" spans="1:40" x14ac:dyDescent="0.25">
      <c r="A276">
        <v>275</v>
      </c>
      <c r="B276" t="s">
        <v>1140</v>
      </c>
      <c r="C276" t="s">
        <v>1141</v>
      </c>
      <c r="D276" t="s">
        <v>1142</v>
      </c>
      <c r="E276" t="s">
        <v>1143</v>
      </c>
      <c r="F276" t="s">
        <v>809</v>
      </c>
      <c r="G276">
        <v>2</v>
      </c>
      <c r="H276">
        <v>2</v>
      </c>
      <c r="I276">
        <v>721</v>
      </c>
      <c r="J276">
        <v>0</v>
      </c>
      <c r="K276">
        <v>0</v>
      </c>
      <c r="L276">
        <v>15187.5</v>
      </c>
      <c r="M276">
        <v>11144.8</v>
      </c>
      <c r="N276">
        <v>17397.900000000001</v>
      </c>
      <c r="O276">
        <v>1940.4</v>
      </c>
      <c r="P276">
        <v>11916.4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3.12</v>
      </c>
      <c r="W276">
        <v>3</v>
      </c>
      <c r="X276">
        <v>2.72</v>
      </c>
      <c r="Y276">
        <v>0</v>
      </c>
      <c r="Z276">
        <v>0</v>
      </c>
      <c r="AA276">
        <v>0.4</v>
      </c>
      <c r="AB276">
        <v>0</v>
      </c>
      <c r="AC276">
        <v>0</v>
      </c>
      <c r="AD276">
        <v>0.52</v>
      </c>
      <c r="AE276">
        <v>2.2000000000000002</v>
      </c>
      <c r="AF276">
        <v>0.4</v>
      </c>
      <c r="AG276">
        <v>0.16666666666666671</v>
      </c>
      <c r="AH276">
        <v>1</v>
      </c>
      <c r="AI276">
        <v>1</v>
      </c>
      <c r="AJ276">
        <v>2023</v>
      </c>
      <c r="AK276">
        <v>1</v>
      </c>
      <c r="AL276">
        <v>0</v>
      </c>
      <c r="AM276">
        <v>0</v>
      </c>
      <c r="AN276">
        <v>0</v>
      </c>
    </row>
    <row r="277" spans="1:40" x14ac:dyDescent="0.25">
      <c r="A277">
        <v>276</v>
      </c>
      <c r="B277" t="s">
        <v>1144</v>
      </c>
      <c r="C277" t="s">
        <v>1145</v>
      </c>
      <c r="D277" t="s">
        <v>1146</v>
      </c>
      <c r="E277" t="s">
        <v>1147</v>
      </c>
      <c r="F277" t="s">
        <v>127</v>
      </c>
      <c r="G277">
        <v>2</v>
      </c>
      <c r="H277">
        <v>1</v>
      </c>
      <c r="I277">
        <v>866</v>
      </c>
      <c r="J277">
        <v>0</v>
      </c>
      <c r="K277">
        <v>0</v>
      </c>
      <c r="L277">
        <v>16936152.300000001</v>
      </c>
      <c r="M277">
        <v>16936491.699999999</v>
      </c>
      <c r="N277">
        <v>169310897</v>
      </c>
      <c r="O277">
        <v>1749</v>
      </c>
      <c r="P277">
        <v>13087.6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3.39</v>
      </c>
      <c r="W277">
        <v>3.5</v>
      </c>
      <c r="X277">
        <v>1.59</v>
      </c>
      <c r="Y277">
        <v>0</v>
      </c>
      <c r="Z277">
        <v>0</v>
      </c>
      <c r="AA277">
        <v>0.2</v>
      </c>
      <c r="AB277">
        <v>1.6</v>
      </c>
      <c r="AC277">
        <v>0.2</v>
      </c>
      <c r="AD277">
        <v>0.4</v>
      </c>
      <c r="AE277">
        <v>0</v>
      </c>
      <c r="AF277">
        <v>2.79</v>
      </c>
      <c r="AG277">
        <v>0.1769911504424779</v>
      </c>
      <c r="AH277">
        <v>0</v>
      </c>
      <c r="AI277">
        <v>0</v>
      </c>
      <c r="AL277">
        <v>0</v>
      </c>
      <c r="AM277">
        <v>0</v>
      </c>
      <c r="AN277">
        <v>0</v>
      </c>
    </row>
    <row r="278" spans="1:40" x14ac:dyDescent="0.25">
      <c r="A278">
        <v>277</v>
      </c>
      <c r="B278" t="s">
        <v>1148</v>
      </c>
      <c r="C278" t="s">
        <v>1149</v>
      </c>
      <c r="D278" t="s">
        <v>1150</v>
      </c>
      <c r="E278" t="s">
        <v>1151</v>
      </c>
      <c r="F278" t="s">
        <v>315</v>
      </c>
      <c r="G278">
        <v>2</v>
      </c>
      <c r="H278">
        <v>1</v>
      </c>
      <c r="I278">
        <v>1539</v>
      </c>
      <c r="J278">
        <v>1</v>
      </c>
      <c r="K278">
        <v>0</v>
      </c>
      <c r="L278">
        <v>516.5</v>
      </c>
      <c r="M278">
        <v>401.5</v>
      </c>
      <c r="N278">
        <v>702.4</v>
      </c>
      <c r="O278">
        <v>408.5</v>
      </c>
      <c r="P278">
        <v>13415.9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0.66</v>
      </c>
      <c r="W278">
        <v>3.5</v>
      </c>
      <c r="X278">
        <v>0.66</v>
      </c>
      <c r="Y278">
        <v>0</v>
      </c>
      <c r="Z278">
        <v>0</v>
      </c>
      <c r="AA278">
        <v>0</v>
      </c>
      <c r="AB278">
        <v>0</v>
      </c>
      <c r="AC278">
        <v>0.66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L278">
        <v>0</v>
      </c>
      <c r="AM278">
        <v>0</v>
      </c>
      <c r="AN278">
        <v>0</v>
      </c>
    </row>
    <row r="279" spans="1:40" x14ac:dyDescent="0.25">
      <c r="A279">
        <v>278</v>
      </c>
      <c r="B279" t="s">
        <v>1152</v>
      </c>
      <c r="C279" t="s">
        <v>1153</v>
      </c>
      <c r="D279" t="s">
        <v>1154</v>
      </c>
      <c r="E279" t="s">
        <v>1155</v>
      </c>
      <c r="F279" t="s">
        <v>328</v>
      </c>
      <c r="G279">
        <v>4</v>
      </c>
      <c r="H279">
        <v>2</v>
      </c>
      <c r="I279">
        <v>1457</v>
      </c>
      <c r="J279">
        <v>0</v>
      </c>
      <c r="K279">
        <v>1</v>
      </c>
      <c r="L279">
        <v>3147.4</v>
      </c>
      <c r="M279">
        <v>4256.3999999999996</v>
      </c>
      <c r="N279">
        <v>13088.9</v>
      </c>
      <c r="O279">
        <v>631.79999999999995</v>
      </c>
      <c r="P279">
        <v>14760.8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6.1</v>
      </c>
      <c r="W279">
        <v>3</v>
      </c>
      <c r="X279">
        <v>6</v>
      </c>
      <c r="Y279">
        <v>0</v>
      </c>
      <c r="Z279">
        <v>0</v>
      </c>
      <c r="AA279">
        <v>0.1</v>
      </c>
      <c r="AB279">
        <v>0</v>
      </c>
      <c r="AC279">
        <v>1.4</v>
      </c>
      <c r="AD279">
        <v>2.9</v>
      </c>
      <c r="AE279">
        <v>1.7</v>
      </c>
      <c r="AF279">
        <v>0.1</v>
      </c>
      <c r="AG279">
        <v>0.70491803278688525</v>
      </c>
      <c r="AH279">
        <v>1</v>
      </c>
      <c r="AI279">
        <v>1</v>
      </c>
      <c r="AJ279">
        <v>2023</v>
      </c>
      <c r="AK279">
        <v>1</v>
      </c>
      <c r="AL279">
        <v>0</v>
      </c>
      <c r="AM279">
        <v>0</v>
      </c>
      <c r="AN279">
        <v>0</v>
      </c>
    </row>
    <row r="280" spans="1:40" x14ac:dyDescent="0.25">
      <c r="A280">
        <v>279</v>
      </c>
      <c r="B280" t="s">
        <v>1156</v>
      </c>
      <c r="C280" t="s">
        <v>1157</v>
      </c>
      <c r="D280" t="s">
        <v>1158</v>
      </c>
      <c r="E280" t="s">
        <v>1159</v>
      </c>
      <c r="F280" t="s">
        <v>891</v>
      </c>
      <c r="G280">
        <v>3</v>
      </c>
      <c r="H280">
        <v>2</v>
      </c>
      <c r="I280">
        <v>2335</v>
      </c>
      <c r="J280">
        <v>1</v>
      </c>
      <c r="K280">
        <v>0</v>
      </c>
      <c r="L280">
        <v>1373.2</v>
      </c>
      <c r="M280">
        <v>527.79999999999995</v>
      </c>
      <c r="N280">
        <v>205.8</v>
      </c>
      <c r="O280">
        <v>442.7</v>
      </c>
      <c r="P280">
        <v>27441.8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1.04</v>
      </c>
      <c r="W280">
        <v>4</v>
      </c>
      <c r="X280">
        <v>1.04</v>
      </c>
      <c r="Y280">
        <v>0</v>
      </c>
      <c r="Z280">
        <v>0</v>
      </c>
      <c r="AA280">
        <v>0</v>
      </c>
      <c r="AB280">
        <v>0</v>
      </c>
      <c r="AC280">
        <v>1.04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2023</v>
      </c>
      <c r="AK280">
        <v>1</v>
      </c>
      <c r="AL280">
        <v>0</v>
      </c>
      <c r="AM280">
        <v>0</v>
      </c>
      <c r="AN280">
        <v>0</v>
      </c>
    </row>
    <row r="281" spans="1:40" x14ac:dyDescent="0.25">
      <c r="A281">
        <v>280</v>
      </c>
      <c r="B281" t="s">
        <v>1160</v>
      </c>
      <c r="C281" t="s">
        <v>1161</v>
      </c>
      <c r="D281" t="s">
        <v>1162</v>
      </c>
      <c r="E281" t="s">
        <v>1163</v>
      </c>
      <c r="F281" t="s">
        <v>363</v>
      </c>
      <c r="G281">
        <v>3</v>
      </c>
      <c r="H281">
        <v>1</v>
      </c>
      <c r="I281">
        <v>1765</v>
      </c>
      <c r="J281">
        <v>0</v>
      </c>
      <c r="K281">
        <v>0</v>
      </c>
      <c r="L281">
        <v>828.6</v>
      </c>
      <c r="M281">
        <v>673.7</v>
      </c>
      <c r="N281">
        <v>2047.5</v>
      </c>
      <c r="O281">
        <v>228.2</v>
      </c>
      <c r="P281">
        <v>28660.6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0.73</v>
      </c>
      <c r="W281">
        <v>3</v>
      </c>
      <c r="X281">
        <v>0.73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0.4</v>
      </c>
      <c r="AF281">
        <v>0.33</v>
      </c>
      <c r="AG281">
        <v>0</v>
      </c>
      <c r="AH281">
        <v>0</v>
      </c>
      <c r="AI281">
        <v>0</v>
      </c>
      <c r="AL281">
        <v>0</v>
      </c>
      <c r="AM281">
        <v>0</v>
      </c>
      <c r="AN281">
        <v>0</v>
      </c>
    </row>
    <row r="282" spans="1:40" x14ac:dyDescent="0.25">
      <c r="A282">
        <v>281</v>
      </c>
      <c r="B282" t="s">
        <v>1164</v>
      </c>
      <c r="C282" t="s">
        <v>1165</v>
      </c>
      <c r="D282" t="s">
        <v>1166</v>
      </c>
      <c r="E282" t="s">
        <v>1167</v>
      </c>
      <c r="F282" t="s">
        <v>315</v>
      </c>
      <c r="G282">
        <v>1</v>
      </c>
      <c r="H282">
        <v>1</v>
      </c>
      <c r="I282">
        <v>2158</v>
      </c>
      <c r="J282">
        <v>0</v>
      </c>
      <c r="K282">
        <v>0</v>
      </c>
      <c r="L282">
        <v>3836.4</v>
      </c>
      <c r="M282">
        <v>948.9</v>
      </c>
      <c r="N282">
        <v>5055.3</v>
      </c>
      <c r="O282">
        <v>386.9</v>
      </c>
      <c r="P282">
        <v>31668.400000000001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0.31</v>
      </c>
      <c r="W282">
        <v>3</v>
      </c>
      <c r="X282">
        <v>0</v>
      </c>
      <c r="Y282">
        <v>0</v>
      </c>
      <c r="Z282">
        <v>0.31</v>
      </c>
      <c r="AA282">
        <v>0</v>
      </c>
      <c r="AB282">
        <v>0</v>
      </c>
      <c r="AC282">
        <v>0</v>
      </c>
      <c r="AD282">
        <v>0</v>
      </c>
      <c r="AE282">
        <v>0.31</v>
      </c>
      <c r="AF282">
        <v>0</v>
      </c>
      <c r="AG282">
        <v>0</v>
      </c>
      <c r="AH282">
        <v>0</v>
      </c>
      <c r="AI282">
        <v>0</v>
      </c>
      <c r="AL282">
        <v>0</v>
      </c>
      <c r="AM282">
        <v>0</v>
      </c>
      <c r="AN282">
        <v>0</v>
      </c>
    </row>
    <row r="283" spans="1:40" x14ac:dyDescent="0.25">
      <c r="A283">
        <v>282</v>
      </c>
      <c r="B283" t="s">
        <v>1168</v>
      </c>
      <c r="C283" t="s">
        <v>1169</v>
      </c>
      <c r="D283" t="s">
        <v>1170</v>
      </c>
      <c r="E283" t="s">
        <v>1171</v>
      </c>
      <c r="F283" t="s">
        <v>100</v>
      </c>
      <c r="G283">
        <v>2</v>
      </c>
      <c r="H283">
        <v>1</v>
      </c>
      <c r="I283">
        <v>954</v>
      </c>
      <c r="J283">
        <v>0</v>
      </c>
      <c r="K283">
        <v>1</v>
      </c>
      <c r="L283">
        <v>3489.3</v>
      </c>
      <c r="M283">
        <v>2635.6</v>
      </c>
      <c r="N283">
        <v>3848.4</v>
      </c>
      <c r="O283">
        <v>0</v>
      </c>
      <c r="P283">
        <v>3344.3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2.5099999999999998</v>
      </c>
      <c r="W283">
        <v>3.5</v>
      </c>
      <c r="X283">
        <v>2.5099999999999998</v>
      </c>
      <c r="Y283">
        <v>0</v>
      </c>
      <c r="Z283">
        <v>0</v>
      </c>
      <c r="AA283">
        <v>0</v>
      </c>
      <c r="AB283">
        <v>0</v>
      </c>
      <c r="AC283">
        <v>2.5099999999999998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2</v>
      </c>
      <c r="AJ283">
        <v>2022</v>
      </c>
      <c r="AK283">
        <v>2</v>
      </c>
      <c r="AL283">
        <v>0</v>
      </c>
      <c r="AM283">
        <v>0</v>
      </c>
      <c r="AN283">
        <v>0</v>
      </c>
    </row>
    <row r="284" spans="1:40" x14ac:dyDescent="0.25">
      <c r="A284">
        <v>283</v>
      </c>
      <c r="B284" t="s">
        <v>1172</v>
      </c>
      <c r="C284" t="s">
        <v>1173</v>
      </c>
      <c r="D284" t="s">
        <v>1174</v>
      </c>
      <c r="E284" t="s">
        <v>1175</v>
      </c>
      <c r="F284" t="s">
        <v>132</v>
      </c>
      <c r="G284">
        <v>1</v>
      </c>
      <c r="H284">
        <v>1</v>
      </c>
      <c r="I284">
        <v>574</v>
      </c>
      <c r="J284">
        <v>0</v>
      </c>
      <c r="K284">
        <v>0</v>
      </c>
      <c r="L284">
        <v>8528.7000000000007</v>
      </c>
      <c r="M284">
        <v>3060.9</v>
      </c>
      <c r="N284">
        <v>16607.400000000001</v>
      </c>
      <c r="O284">
        <v>590.6</v>
      </c>
      <c r="P284">
        <v>15006.1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0.95</v>
      </c>
      <c r="W284">
        <v>3.5</v>
      </c>
      <c r="X284">
        <v>0</v>
      </c>
      <c r="Y284">
        <v>0</v>
      </c>
      <c r="Z284">
        <v>0</v>
      </c>
      <c r="AA284">
        <v>0.95</v>
      </c>
      <c r="AB284">
        <v>0</v>
      </c>
      <c r="AC284">
        <v>0</v>
      </c>
      <c r="AD284">
        <v>0</v>
      </c>
      <c r="AE284">
        <v>0</v>
      </c>
      <c r="AF284">
        <v>0.95</v>
      </c>
      <c r="AG284">
        <v>0</v>
      </c>
      <c r="AH284">
        <v>0</v>
      </c>
      <c r="AI284">
        <v>0</v>
      </c>
      <c r="AL284">
        <v>0</v>
      </c>
      <c r="AM284">
        <v>0</v>
      </c>
      <c r="AN284">
        <v>0</v>
      </c>
    </row>
    <row r="285" spans="1:40" x14ac:dyDescent="0.25">
      <c r="A285">
        <v>284</v>
      </c>
      <c r="B285" t="s">
        <v>1176</v>
      </c>
      <c r="C285" t="s">
        <v>1177</v>
      </c>
      <c r="D285" t="s">
        <v>1178</v>
      </c>
      <c r="E285" t="s">
        <v>1179</v>
      </c>
      <c r="F285" t="s">
        <v>105</v>
      </c>
      <c r="G285">
        <v>2</v>
      </c>
      <c r="H285">
        <v>1</v>
      </c>
      <c r="I285">
        <v>1411</v>
      </c>
      <c r="J285">
        <v>0</v>
      </c>
      <c r="K285">
        <v>0</v>
      </c>
      <c r="L285">
        <v>1392.3</v>
      </c>
      <c r="M285">
        <v>2513.8000000000002</v>
      </c>
      <c r="N285">
        <v>5096.1000000000004</v>
      </c>
      <c r="O285">
        <v>1073.2</v>
      </c>
      <c r="P285">
        <v>6494.7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1.32</v>
      </c>
      <c r="W285">
        <v>3.5</v>
      </c>
      <c r="X285">
        <v>1.32</v>
      </c>
      <c r="Y285">
        <v>0</v>
      </c>
      <c r="Z285">
        <v>0</v>
      </c>
      <c r="AA285">
        <v>0</v>
      </c>
      <c r="AB285">
        <v>0</v>
      </c>
      <c r="AC285">
        <v>1.32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L285">
        <v>0</v>
      </c>
      <c r="AM285">
        <v>0</v>
      </c>
      <c r="AN285">
        <v>0</v>
      </c>
    </row>
    <row r="286" spans="1:40" x14ac:dyDescent="0.25">
      <c r="A286">
        <v>285</v>
      </c>
      <c r="B286" t="s">
        <v>1180</v>
      </c>
      <c r="C286" t="s">
        <v>1181</v>
      </c>
      <c r="D286" t="s">
        <v>1182</v>
      </c>
      <c r="E286" t="s">
        <v>555</v>
      </c>
      <c r="F286" t="s">
        <v>105</v>
      </c>
      <c r="G286">
        <v>1</v>
      </c>
      <c r="H286">
        <v>1</v>
      </c>
      <c r="I286">
        <v>729</v>
      </c>
      <c r="J286">
        <v>0</v>
      </c>
      <c r="K286">
        <v>0</v>
      </c>
      <c r="L286">
        <v>957.5</v>
      </c>
      <c r="M286">
        <v>2079</v>
      </c>
      <c r="N286">
        <v>5530.9</v>
      </c>
      <c r="O286">
        <v>638.4</v>
      </c>
      <c r="P286">
        <v>6929.5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0.39</v>
      </c>
      <c r="W286">
        <v>3</v>
      </c>
      <c r="X286">
        <v>0.39</v>
      </c>
      <c r="Y286">
        <v>0</v>
      </c>
      <c r="Z286">
        <v>0</v>
      </c>
      <c r="AA286">
        <v>0</v>
      </c>
      <c r="AB286">
        <v>0</v>
      </c>
      <c r="AC286">
        <v>0.39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L286">
        <v>0</v>
      </c>
      <c r="AM286">
        <v>0</v>
      </c>
      <c r="AN286">
        <v>0</v>
      </c>
    </row>
    <row r="287" spans="1:40" x14ac:dyDescent="0.25">
      <c r="A287">
        <v>286</v>
      </c>
      <c r="B287" t="s">
        <v>1183</v>
      </c>
      <c r="C287" t="s">
        <v>1184</v>
      </c>
      <c r="D287" t="s">
        <v>1185</v>
      </c>
      <c r="E287" t="s">
        <v>405</v>
      </c>
      <c r="F287" t="s">
        <v>100</v>
      </c>
      <c r="G287">
        <v>2</v>
      </c>
      <c r="H287">
        <v>1</v>
      </c>
      <c r="I287">
        <v>1503</v>
      </c>
      <c r="J287">
        <v>0</v>
      </c>
      <c r="K287">
        <v>0</v>
      </c>
      <c r="L287">
        <v>5226.3999999999996</v>
      </c>
      <c r="M287">
        <v>4588.2</v>
      </c>
      <c r="N287">
        <v>6241.6</v>
      </c>
      <c r="O287">
        <v>1052.7</v>
      </c>
      <c r="P287">
        <v>4908.1000000000004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1.96</v>
      </c>
      <c r="W287">
        <v>3</v>
      </c>
      <c r="X287">
        <v>1.96</v>
      </c>
      <c r="Y287">
        <v>0</v>
      </c>
      <c r="Z287">
        <v>0</v>
      </c>
      <c r="AA287">
        <v>0</v>
      </c>
      <c r="AB287">
        <v>0</v>
      </c>
      <c r="AC287">
        <v>1.96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3</v>
      </c>
      <c r="AJ287">
        <v>2023</v>
      </c>
      <c r="AK287">
        <v>1</v>
      </c>
      <c r="AL287">
        <v>0</v>
      </c>
      <c r="AM287">
        <v>0</v>
      </c>
      <c r="AN287">
        <v>0</v>
      </c>
    </row>
    <row r="288" spans="1:40" x14ac:dyDescent="0.25">
      <c r="A288">
        <v>287</v>
      </c>
      <c r="B288" t="s">
        <v>1186</v>
      </c>
      <c r="C288" t="s">
        <v>1187</v>
      </c>
      <c r="D288" t="s">
        <v>1188</v>
      </c>
      <c r="E288" t="s">
        <v>1189</v>
      </c>
      <c r="F288" t="s">
        <v>149</v>
      </c>
      <c r="G288">
        <v>2</v>
      </c>
      <c r="H288">
        <v>1</v>
      </c>
      <c r="I288">
        <v>1359</v>
      </c>
      <c r="J288">
        <v>0</v>
      </c>
      <c r="K288">
        <v>0</v>
      </c>
      <c r="L288">
        <v>3360.1</v>
      </c>
      <c r="M288">
        <v>2769.1</v>
      </c>
      <c r="N288">
        <v>8060.7</v>
      </c>
      <c r="O288">
        <v>1772.2</v>
      </c>
      <c r="P288">
        <v>6197.8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2.95</v>
      </c>
      <c r="W288">
        <v>3.5</v>
      </c>
      <c r="X288">
        <v>2.95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1.1499999999999999</v>
      </c>
      <c r="AE288">
        <v>1.6</v>
      </c>
      <c r="AF288">
        <v>0.2</v>
      </c>
      <c r="AG288">
        <v>0.38983050847457618</v>
      </c>
      <c r="AH288">
        <v>0</v>
      </c>
      <c r="AI288">
        <v>0</v>
      </c>
      <c r="AL288">
        <v>0</v>
      </c>
      <c r="AM288">
        <v>0</v>
      </c>
      <c r="AN288">
        <v>0</v>
      </c>
    </row>
    <row r="289" spans="1:40" x14ac:dyDescent="0.25">
      <c r="A289">
        <v>288</v>
      </c>
      <c r="B289" t="s">
        <v>1190</v>
      </c>
      <c r="C289" t="s">
        <v>1191</v>
      </c>
      <c r="D289" t="s">
        <v>1192</v>
      </c>
      <c r="E289" t="s">
        <v>1193</v>
      </c>
      <c r="F289" t="s">
        <v>127</v>
      </c>
      <c r="G289">
        <v>1</v>
      </c>
      <c r="H289">
        <v>1</v>
      </c>
      <c r="I289">
        <v>565</v>
      </c>
      <c r="J289">
        <v>0</v>
      </c>
      <c r="K289">
        <v>0</v>
      </c>
      <c r="L289">
        <v>8386.2999999999993</v>
      </c>
      <c r="M289">
        <v>6269.2</v>
      </c>
      <c r="N289">
        <v>10658.9</v>
      </c>
      <c r="O289">
        <v>335.2</v>
      </c>
      <c r="P289">
        <v>12330.7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0.47</v>
      </c>
      <c r="W289">
        <v>3</v>
      </c>
      <c r="X289">
        <v>0.47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0.47</v>
      </c>
      <c r="AE289">
        <v>0</v>
      </c>
      <c r="AF289">
        <v>0</v>
      </c>
      <c r="AG289">
        <v>1</v>
      </c>
      <c r="AH289">
        <v>0</v>
      </c>
      <c r="AI289">
        <v>0</v>
      </c>
      <c r="AL289">
        <v>0</v>
      </c>
      <c r="AM289">
        <v>0</v>
      </c>
      <c r="AN289">
        <v>0</v>
      </c>
    </row>
    <row r="290" spans="1:40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1197</v>
      </c>
      <c r="F290" t="s">
        <v>176</v>
      </c>
      <c r="G290">
        <v>1</v>
      </c>
      <c r="H290">
        <v>1</v>
      </c>
      <c r="I290">
        <v>495</v>
      </c>
      <c r="J290">
        <v>0</v>
      </c>
      <c r="K290">
        <v>0</v>
      </c>
      <c r="L290">
        <v>5634</v>
      </c>
      <c r="M290">
        <v>2753.5</v>
      </c>
      <c r="N290">
        <v>5419.8</v>
      </c>
      <c r="O290">
        <v>727.9</v>
      </c>
      <c r="P290">
        <v>6901.8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0.73</v>
      </c>
      <c r="W290">
        <v>3</v>
      </c>
      <c r="X290">
        <v>0</v>
      </c>
      <c r="Y290">
        <v>0</v>
      </c>
      <c r="Z290">
        <v>0</v>
      </c>
      <c r="AA290">
        <v>0.73</v>
      </c>
      <c r="AB290">
        <v>0</v>
      </c>
      <c r="AC290">
        <v>0</v>
      </c>
      <c r="AD290">
        <v>0</v>
      </c>
      <c r="AE290">
        <v>0</v>
      </c>
      <c r="AF290">
        <v>0.73</v>
      </c>
      <c r="AG290">
        <v>0</v>
      </c>
      <c r="AH290">
        <v>1</v>
      </c>
      <c r="AI290">
        <v>2</v>
      </c>
      <c r="AJ290">
        <v>2023</v>
      </c>
      <c r="AK290">
        <v>1</v>
      </c>
      <c r="AL290">
        <v>0</v>
      </c>
      <c r="AM290">
        <v>0</v>
      </c>
      <c r="AN290">
        <v>0</v>
      </c>
    </row>
    <row r="291" spans="1:40" x14ac:dyDescent="0.25">
      <c r="A291">
        <v>290</v>
      </c>
      <c r="B291" t="s">
        <v>1198</v>
      </c>
      <c r="C291" t="s">
        <v>1199</v>
      </c>
      <c r="D291" t="s">
        <v>1200</v>
      </c>
      <c r="E291" t="s">
        <v>1201</v>
      </c>
      <c r="F291" t="s">
        <v>118</v>
      </c>
      <c r="G291">
        <v>4</v>
      </c>
      <c r="H291">
        <v>2</v>
      </c>
      <c r="I291">
        <v>2401</v>
      </c>
      <c r="J291">
        <v>0</v>
      </c>
      <c r="K291">
        <v>1</v>
      </c>
      <c r="L291">
        <v>6314.2</v>
      </c>
      <c r="M291">
        <v>3852.2</v>
      </c>
      <c r="N291">
        <v>7167.9</v>
      </c>
      <c r="O291">
        <v>121</v>
      </c>
      <c r="P291">
        <v>6663.9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5.85</v>
      </c>
      <c r="W291">
        <v>3</v>
      </c>
      <c r="X291">
        <v>5.35</v>
      </c>
      <c r="Y291">
        <v>0</v>
      </c>
      <c r="Z291">
        <v>0</v>
      </c>
      <c r="AA291">
        <v>0.5</v>
      </c>
      <c r="AB291">
        <v>0</v>
      </c>
      <c r="AC291">
        <v>3.8</v>
      </c>
      <c r="AD291">
        <v>0.7</v>
      </c>
      <c r="AE291">
        <v>0.85</v>
      </c>
      <c r="AF291">
        <v>0.5</v>
      </c>
      <c r="AG291">
        <v>0.76923076923076927</v>
      </c>
      <c r="AH291">
        <v>1</v>
      </c>
      <c r="AI291">
        <v>1</v>
      </c>
      <c r="AJ291">
        <v>2021</v>
      </c>
      <c r="AK291">
        <v>3</v>
      </c>
      <c r="AL291">
        <v>0</v>
      </c>
      <c r="AM291">
        <v>0</v>
      </c>
      <c r="AN291">
        <v>0</v>
      </c>
    </row>
    <row r="292" spans="1:40" x14ac:dyDescent="0.25">
      <c r="A292">
        <v>291</v>
      </c>
      <c r="B292" t="s">
        <v>1202</v>
      </c>
      <c r="C292" t="s">
        <v>1203</v>
      </c>
      <c r="D292" t="s">
        <v>1204</v>
      </c>
      <c r="E292" t="s">
        <v>1205</v>
      </c>
      <c r="F292" t="s">
        <v>105</v>
      </c>
      <c r="G292">
        <v>1</v>
      </c>
      <c r="H292">
        <v>1</v>
      </c>
      <c r="I292">
        <v>492</v>
      </c>
      <c r="J292">
        <v>0</v>
      </c>
      <c r="K292">
        <v>1</v>
      </c>
      <c r="L292">
        <v>3865.4</v>
      </c>
      <c r="M292">
        <v>1123.7</v>
      </c>
      <c r="N292">
        <v>3945.7</v>
      </c>
      <c r="O292">
        <v>891.5</v>
      </c>
      <c r="P292">
        <v>4159.1000000000004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0.84</v>
      </c>
      <c r="W292">
        <v>3</v>
      </c>
      <c r="X292">
        <v>0.84</v>
      </c>
      <c r="Y292">
        <v>0</v>
      </c>
      <c r="Z292">
        <v>0</v>
      </c>
      <c r="AA292">
        <v>0</v>
      </c>
      <c r="AB292">
        <v>0</v>
      </c>
      <c r="AC292">
        <v>0.4</v>
      </c>
      <c r="AD292">
        <v>0.44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2023</v>
      </c>
      <c r="AK292">
        <v>1</v>
      </c>
      <c r="AL292">
        <v>0</v>
      </c>
      <c r="AM292">
        <v>0</v>
      </c>
      <c r="AN292">
        <v>0</v>
      </c>
    </row>
    <row r="293" spans="1:40" x14ac:dyDescent="0.25">
      <c r="A293">
        <v>292</v>
      </c>
      <c r="B293" t="s">
        <v>1206</v>
      </c>
      <c r="C293" t="s">
        <v>1207</v>
      </c>
      <c r="D293" t="s">
        <v>1208</v>
      </c>
      <c r="E293" t="s">
        <v>1209</v>
      </c>
      <c r="F293" t="s">
        <v>539</v>
      </c>
      <c r="G293">
        <v>4</v>
      </c>
      <c r="H293">
        <v>2</v>
      </c>
      <c r="I293">
        <v>1779</v>
      </c>
      <c r="J293">
        <v>0</v>
      </c>
      <c r="K293">
        <v>1</v>
      </c>
      <c r="L293">
        <v>5776.8</v>
      </c>
      <c r="M293">
        <v>3264.6</v>
      </c>
      <c r="N293">
        <v>5785.9</v>
      </c>
      <c r="O293">
        <v>481.5</v>
      </c>
      <c r="P293">
        <v>6095.2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5.17</v>
      </c>
      <c r="W293">
        <v>3.5</v>
      </c>
      <c r="X293">
        <v>5.17</v>
      </c>
      <c r="Y293">
        <v>0</v>
      </c>
      <c r="Z293">
        <v>0</v>
      </c>
      <c r="AA293">
        <v>0</v>
      </c>
      <c r="AB293">
        <v>0</v>
      </c>
      <c r="AC293">
        <v>1.77</v>
      </c>
      <c r="AD293">
        <v>0.4</v>
      </c>
      <c r="AE293">
        <v>3</v>
      </c>
      <c r="AF293">
        <v>0</v>
      </c>
      <c r="AG293">
        <v>0.4197292069632495</v>
      </c>
      <c r="AH293">
        <v>1</v>
      </c>
      <c r="AI293">
        <v>1</v>
      </c>
      <c r="AJ293">
        <v>2023</v>
      </c>
      <c r="AK293">
        <v>1</v>
      </c>
      <c r="AL293">
        <v>1</v>
      </c>
      <c r="AM293">
        <v>1</v>
      </c>
      <c r="AN293">
        <v>0</v>
      </c>
    </row>
    <row r="294" spans="1:40" x14ac:dyDescent="0.25">
      <c r="A294">
        <v>293</v>
      </c>
      <c r="B294" t="s">
        <v>1210</v>
      </c>
      <c r="C294" t="s">
        <v>1211</v>
      </c>
      <c r="D294" t="s">
        <v>1212</v>
      </c>
      <c r="E294" t="s">
        <v>1213</v>
      </c>
      <c r="F294" t="s">
        <v>539</v>
      </c>
      <c r="G294">
        <v>2</v>
      </c>
      <c r="H294">
        <v>2</v>
      </c>
      <c r="I294">
        <v>1153</v>
      </c>
      <c r="J294">
        <v>0</v>
      </c>
      <c r="K294">
        <v>1</v>
      </c>
      <c r="L294">
        <v>6316.2</v>
      </c>
      <c r="M294">
        <v>4199.1000000000004</v>
      </c>
      <c r="N294">
        <v>8588.7000000000007</v>
      </c>
      <c r="O294">
        <v>1937.1</v>
      </c>
      <c r="P294">
        <v>10260.6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6.35</v>
      </c>
      <c r="W294">
        <v>3.5</v>
      </c>
      <c r="X294">
        <v>5.9</v>
      </c>
      <c r="Y294">
        <v>0</v>
      </c>
      <c r="Z294">
        <v>0</v>
      </c>
      <c r="AA294">
        <v>0</v>
      </c>
      <c r="AB294">
        <v>0.45</v>
      </c>
      <c r="AC294">
        <v>2.7</v>
      </c>
      <c r="AD294">
        <v>1.1000000000000001</v>
      </c>
      <c r="AE294">
        <v>1.3</v>
      </c>
      <c r="AF294">
        <v>1.25</v>
      </c>
      <c r="AG294">
        <v>0.59842519685039375</v>
      </c>
      <c r="AH294">
        <v>1</v>
      </c>
      <c r="AI294">
        <v>1</v>
      </c>
      <c r="AJ294">
        <v>2023</v>
      </c>
      <c r="AK294">
        <v>1</v>
      </c>
      <c r="AL294">
        <v>0</v>
      </c>
      <c r="AM294">
        <v>0</v>
      </c>
      <c r="AN294">
        <v>0</v>
      </c>
    </row>
    <row r="295" spans="1:40" x14ac:dyDescent="0.25">
      <c r="A295">
        <v>294</v>
      </c>
      <c r="B295" t="s">
        <v>1214</v>
      </c>
      <c r="C295" t="s">
        <v>1215</v>
      </c>
      <c r="D295" t="s">
        <v>1216</v>
      </c>
      <c r="E295" t="s">
        <v>1217</v>
      </c>
      <c r="F295" t="s">
        <v>176</v>
      </c>
      <c r="G295">
        <v>2</v>
      </c>
      <c r="H295">
        <v>1</v>
      </c>
      <c r="I295">
        <v>980</v>
      </c>
      <c r="J295">
        <v>0</v>
      </c>
      <c r="K295">
        <v>1</v>
      </c>
      <c r="L295">
        <v>2816.5</v>
      </c>
      <c r="M295">
        <v>1392.3</v>
      </c>
      <c r="N295">
        <v>5358.1</v>
      </c>
      <c r="O295">
        <v>646.4</v>
      </c>
      <c r="P295">
        <v>7030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2.62</v>
      </c>
      <c r="W295">
        <v>3</v>
      </c>
      <c r="X295">
        <v>2.62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2.62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2023</v>
      </c>
      <c r="AK295">
        <v>1</v>
      </c>
      <c r="AL295">
        <v>0</v>
      </c>
      <c r="AM295">
        <v>0</v>
      </c>
      <c r="AN295">
        <v>0</v>
      </c>
    </row>
    <row r="296" spans="1:40" x14ac:dyDescent="0.25">
      <c r="A296">
        <v>295</v>
      </c>
      <c r="B296" t="s">
        <v>1218</v>
      </c>
      <c r="C296" t="s">
        <v>1219</v>
      </c>
      <c r="D296" t="s">
        <v>1220</v>
      </c>
      <c r="E296" t="s">
        <v>1221</v>
      </c>
      <c r="F296" t="s">
        <v>176</v>
      </c>
      <c r="G296">
        <v>2</v>
      </c>
      <c r="H296">
        <v>1</v>
      </c>
      <c r="I296">
        <v>801</v>
      </c>
      <c r="J296">
        <v>0</v>
      </c>
      <c r="K296">
        <v>1</v>
      </c>
      <c r="L296">
        <v>4323.5</v>
      </c>
      <c r="M296">
        <v>2673.6</v>
      </c>
      <c r="N296">
        <v>3159.8</v>
      </c>
      <c r="O296">
        <v>836.5</v>
      </c>
      <c r="P296">
        <v>4641.8999999999996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1.7</v>
      </c>
      <c r="W296">
        <v>3</v>
      </c>
      <c r="X296">
        <v>1.7</v>
      </c>
      <c r="Y296">
        <v>0</v>
      </c>
      <c r="Z296">
        <v>0</v>
      </c>
      <c r="AA296">
        <v>0</v>
      </c>
      <c r="AB296">
        <v>0</v>
      </c>
      <c r="AC296">
        <v>1.4</v>
      </c>
      <c r="AD296">
        <v>0.3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2023</v>
      </c>
      <c r="AK296">
        <v>1</v>
      </c>
      <c r="AL296">
        <v>0</v>
      </c>
      <c r="AM296">
        <v>0</v>
      </c>
      <c r="AN296">
        <v>0</v>
      </c>
    </row>
    <row r="297" spans="1:40" x14ac:dyDescent="0.25">
      <c r="A297">
        <v>296</v>
      </c>
      <c r="B297" t="s">
        <v>1222</v>
      </c>
      <c r="C297" t="s">
        <v>1223</v>
      </c>
      <c r="D297" t="s">
        <v>1224</v>
      </c>
      <c r="E297" t="s">
        <v>1225</v>
      </c>
      <c r="F297" t="s">
        <v>100</v>
      </c>
      <c r="G297">
        <v>2</v>
      </c>
      <c r="H297">
        <v>1</v>
      </c>
      <c r="I297">
        <v>1670</v>
      </c>
      <c r="J297">
        <v>1</v>
      </c>
      <c r="K297">
        <v>0</v>
      </c>
      <c r="L297">
        <v>6466.2</v>
      </c>
      <c r="M297">
        <v>5400.3</v>
      </c>
      <c r="N297">
        <v>8820.6</v>
      </c>
      <c r="O297">
        <v>1498.6</v>
      </c>
      <c r="P297">
        <v>6957.7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2.82</v>
      </c>
      <c r="W297">
        <v>3</v>
      </c>
      <c r="X297">
        <v>0.8</v>
      </c>
      <c r="Y297">
        <v>0</v>
      </c>
      <c r="Z297">
        <v>0</v>
      </c>
      <c r="AA297">
        <v>0</v>
      </c>
      <c r="AB297">
        <v>2.02</v>
      </c>
      <c r="AC297">
        <v>0</v>
      </c>
      <c r="AD297">
        <v>0.8</v>
      </c>
      <c r="AE297">
        <v>0</v>
      </c>
      <c r="AF297">
        <v>2.02</v>
      </c>
      <c r="AG297">
        <v>0.28368794326241131</v>
      </c>
      <c r="AH297">
        <v>0</v>
      </c>
      <c r="AI297">
        <v>0</v>
      </c>
      <c r="AL297">
        <v>0</v>
      </c>
      <c r="AM297">
        <v>0</v>
      </c>
      <c r="AN297">
        <v>0</v>
      </c>
    </row>
    <row r="298" spans="1:40" x14ac:dyDescent="0.25">
      <c r="A298">
        <v>297</v>
      </c>
      <c r="B298" t="s">
        <v>1226</v>
      </c>
      <c r="C298" t="s">
        <v>1227</v>
      </c>
      <c r="D298" t="s">
        <v>1228</v>
      </c>
      <c r="E298" t="s">
        <v>1229</v>
      </c>
      <c r="F298" t="s">
        <v>176</v>
      </c>
      <c r="G298">
        <v>3</v>
      </c>
      <c r="H298">
        <v>1</v>
      </c>
      <c r="I298">
        <v>599</v>
      </c>
      <c r="J298">
        <v>0</v>
      </c>
      <c r="K298">
        <v>1</v>
      </c>
      <c r="L298">
        <v>173.2</v>
      </c>
      <c r="M298">
        <v>203.9</v>
      </c>
      <c r="N298">
        <v>7345.1</v>
      </c>
      <c r="O298">
        <v>507.9</v>
      </c>
      <c r="P298">
        <v>9017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4.12</v>
      </c>
      <c r="W298">
        <v>3.5</v>
      </c>
      <c r="X298">
        <v>4.12</v>
      </c>
      <c r="Y298">
        <v>0</v>
      </c>
      <c r="Z298">
        <v>0</v>
      </c>
      <c r="AA298">
        <v>0</v>
      </c>
      <c r="AB298">
        <v>0</v>
      </c>
      <c r="AC298">
        <v>3</v>
      </c>
      <c r="AD298">
        <v>0.82</v>
      </c>
      <c r="AE298">
        <v>0.3</v>
      </c>
      <c r="AF298">
        <v>0</v>
      </c>
      <c r="AG298">
        <v>0.9271844660194174</v>
      </c>
      <c r="AH298">
        <v>1</v>
      </c>
      <c r="AI298">
        <v>1</v>
      </c>
      <c r="AJ298">
        <v>2023</v>
      </c>
      <c r="AK298">
        <v>1</v>
      </c>
      <c r="AL298">
        <v>0</v>
      </c>
      <c r="AM298">
        <v>0</v>
      </c>
      <c r="AN298">
        <v>0</v>
      </c>
    </row>
    <row r="299" spans="1:40" x14ac:dyDescent="0.25">
      <c r="A299">
        <v>298</v>
      </c>
      <c r="B299" t="s">
        <v>1230</v>
      </c>
      <c r="C299" t="s">
        <v>1231</v>
      </c>
      <c r="D299" t="s">
        <v>1232</v>
      </c>
      <c r="E299" t="s">
        <v>1233</v>
      </c>
      <c r="F299" t="s">
        <v>176</v>
      </c>
      <c r="G299">
        <v>3</v>
      </c>
      <c r="H299">
        <v>1</v>
      </c>
      <c r="I299">
        <v>1010</v>
      </c>
      <c r="J299">
        <v>0</v>
      </c>
      <c r="K299">
        <v>1</v>
      </c>
      <c r="L299">
        <v>3309.5</v>
      </c>
      <c r="M299">
        <v>3340.2</v>
      </c>
      <c r="N299">
        <v>10477.5</v>
      </c>
      <c r="O299">
        <v>802</v>
      </c>
      <c r="P299">
        <v>12149.4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5.65</v>
      </c>
      <c r="W299">
        <v>3</v>
      </c>
      <c r="X299">
        <v>5.65</v>
      </c>
      <c r="Y299">
        <v>0</v>
      </c>
      <c r="Z299">
        <v>0</v>
      </c>
      <c r="AA299">
        <v>0</v>
      </c>
      <c r="AB299">
        <v>0</v>
      </c>
      <c r="AC299">
        <v>5.4</v>
      </c>
      <c r="AD299">
        <v>0.25</v>
      </c>
      <c r="AE299">
        <v>0</v>
      </c>
      <c r="AF299">
        <v>0</v>
      </c>
      <c r="AG299">
        <v>1</v>
      </c>
      <c r="AH299">
        <v>1</v>
      </c>
      <c r="AI299">
        <v>3</v>
      </c>
      <c r="AJ299">
        <v>2023</v>
      </c>
      <c r="AK299">
        <v>1</v>
      </c>
      <c r="AL299">
        <v>1</v>
      </c>
      <c r="AM299">
        <v>0</v>
      </c>
      <c r="AN299">
        <v>1</v>
      </c>
    </row>
    <row r="300" spans="1:40" x14ac:dyDescent="0.25">
      <c r="A300">
        <v>299</v>
      </c>
      <c r="B300" t="s">
        <v>1234</v>
      </c>
      <c r="C300" t="s">
        <v>1235</v>
      </c>
      <c r="D300" t="s">
        <v>1236</v>
      </c>
      <c r="E300" t="s">
        <v>1237</v>
      </c>
      <c r="F300" t="s">
        <v>710</v>
      </c>
      <c r="G300">
        <v>4</v>
      </c>
      <c r="H300">
        <v>2</v>
      </c>
      <c r="I300">
        <v>2146</v>
      </c>
      <c r="J300">
        <v>0</v>
      </c>
      <c r="K300">
        <v>0</v>
      </c>
      <c r="L300">
        <v>4480.1000000000004</v>
      </c>
      <c r="M300">
        <v>4321.7</v>
      </c>
      <c r="N300">
        <v>9224.7000000000007</v>
      </c>
      <c r="O300">
        <v>739.7</v>
      </c>
      <c r="P300">
        <v>7623.4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8.65</v>
      </c>
      <c r="W300">
        <v>4</v>
      </c>
      <c r="X300">
        <v>8.65</v>
      </c>
      <c r="Y300">
        <v>0</v>
      </c>
      <c r="Z300">
        <v>0</v>
      </c>
      <c r="AA300">
        <v>0</v>
      </c>
      <c r="AB300">
        <v>0</v>
      </c>
      <c r="AC300">
        <v>8.65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2022</v>
      </c>
      <c r="AK300">
        <v>2</v>
      </c>
      <c r="AL300">
        <v>1</v>
      </c>
      <c r="AM300">
        <v>1</v>
      </c>
      <c r="AN300">
        <v>0</v>
      </c>
    </row>
    <row r="301" spans="1:40" x14ac:dyDescent="0.25">
      <c r="A301">
        <v>300</v>
      </c>
      <c r="B301" t="s">
        <v>1238</v>
      </c>
      <c r="C301" t="s">
        <v>1239</v>
      </c>
      <c r="D301" t="s">
        <v>1240</v>
      </c>
      <c r="E301" t="s">
        <v>1241</v>
      </c>
      <c r="F301" t="s">
        <v>176</v>
      </c>
      <c r="G301">
        <v>4</v>
      </c>
      <c r="H301">
        <v>1</v>
      </c>
      <c r="I301">
        <v>1341</v>
      </c>
      <c r="J301">
        <v>0</v>
      </c>
      <c r="K301">
        <v>1</v>
      </c>
      <c r="L301">
        <v>3454.7</v>
      </c>
      <c r="M301">
        <v>3630</v>
      </c>
      <c r="N301">
        <v>4533.5</v>
      </c>
      <c r="O301">
        <v>596.29999999999995</v>
      </c>
      <c r="P301">
        <v>6205.3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4.97</v>
      </c>
      <c r="W301">
        <v>3.5</v>
      </c>
      <c r="X301">
        <v>4.97</v>
      </c>
      <c r="Y301">
        <v>0</v>
      </c>
      <c r="Z301">
        <v>0</v>
      </c>
      <c r="AA301">
        <v>0</v>
      </c>
      <c r="AB301">
        <v>0</v>
      </c>
      <c r="AC301">
        <v>4.97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3</v>
      </c>
      <c r="AJ301">
        <v>2023</v>
      </c>
      <c r="AK301">
        <v>1</v>
      </c>
      <c r="AL301">
        <v>1</v>
      </c>
      <c r="AM301">
        <v>1</v>
      </c>
      <c r="AN301">
        <v>0</v>
      </c>
    </row>
    <row r="302" spans="1:40" x14ac:dyDescent="0.25">
      <c r="A302">
        <v>301</v>
      </c>
      <c r="B302" t="s">
        <v>1242</v>
      </c>
      <c r="C302" t="s">
        <v>1243</v>
      </c>
      <c r="D302" t="s">
        <v>1244</v>
      </c>
      <c r="E302" t="s">
        <v>1245</v>
      </c>
      <c r="F302" t="s">
        <v>105</v>
      </c>
      <c r="G302">
        <v>2</v>
      </c>
      <c r="H302">
        <v>1</v>
      </c>
      <c r="I302">
        <v>1174</v>
      </c>
      <c r="J302">
        <v>0</v>
      </c>
      <c r="K302">
        <v>0</v>
      </c>
      <c r="L302">
        <v>3864.4</v>
      </c>
      <c r="M302">
        <v>3774.1</v>
      </c>
      <c r="N302">
        <v>3834.9</v>
      </c>
      <c r="O302">
        <v>1360.2</v>
      </c>
      <c r="P302">
        <v>27289.5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0.76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0.76</v>
      </c>
      <c r="AC302">
        <v>0</v>
      </c>
      <c r="AD302">
        <v>0</v>
      </c>
      <c r="AE302">
        <v>0</v>
      </c>
      <c r="AF302">
        <v>0.76</v>
      </c>
      <c r="AG302">
        <v>0</v>
      </c>
      <c r="AH302">
        <v>0</v>
      </c>
      <c r="AI302">
        <v>0</v>
      </c>
      <c r="AL302">
        <v>0</v>
      </c>
      <c r="AM302">
        <v>0</v>
      </c>
      <c r="AN302">
        <v>0</v>
      </c>
    </row>
    <row r="303" spans="1:40" x14ac:dyDescent="0.25">
      <c r="A303">
        <v>302</v>
      </c>
      <c r="B303" t="s">
        <v>1246</v>
      </c>
      <c r="C303" t="s">
        <v>1247</v>
      </c>
      <c r="D303" t="s">
        <v>1248</v>
      </c>
      <c r="E303" t="s">
        <v>305</v>
      </c>
      <c r="F303" t="s">
        <v>127</v>
      </c>
      <c r="G303">
        <v>1</v>
      </c>
      <c r="H303">
        <v>1</v>
      </c>
      <c r="I303">
        <v>507</v>
      </c>
      <c r="J303">
        <v>0</v>
      </c>
      <c r="K303">
        <v>0</v>
      </c>
      <c r="L303">
        <v>25176.7</v>
      </c>
      <c r="M303">
        <v>21227</v>
      </c>
      <c r="N303">
        <v>27387.1</v>
      </c>
      <c r="O303">
        <v>1857.4</v>
      </c>
      <c r="P303">
        <v>20527.7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1.98</v>
      </c>
      <c r="W303">
        <v>1.5</v>
      </c>
      <c r="X303">
        <v>0</v>
      </c>
      <c r="Y303">
        <v>0</v>
      </c>
      <c r="Z303">
        <v>1.98</v>
      </c>
      <c r="AA303">
        <v>0</v>
      </c>
      <c r="AB303">
        <v>0</v>
      </c>
      <c r="AC303">
        <v>0</v>
      </c>
      <c r="AD303">
        <v>0</v>
      </c>
      <c r="AE303">
        <v>1.98</v>
      </c>
      <c r="AF303">
        <v>0</v>
      </c>
      <c r="AG303">
        <v>0</v>
      </c>
      <c r="AH303">
        <v>0</v>
      </c>
      <c r="AI303">
        <v>0</v>
      </c>
      <c r="AL303">
        <v>0</v>
      </c>
      <c r="AM303">
        <v>0</v>
      </c>
      <c r="AN303">
        <v>0</v>
      </c>
    </row>
    <row r="304" spans="1:40" x14ac:dyDescent="0.25">
      <c r="A304">
        <v>303</v>
      </c>
      <c r="B304" t="s">
        <v>1249</v>
      </c>
      <c r="C304" t="s">
        <v>1250</v>
      </c>
      <c r="D304" t="s">
        <v>1251</v>
      </c>
      <c r="E304" t="s">
        <v>1252</v>
      </c>
      <c r="F304" t="s">
        <v>127</v>
      </c>
      <c r="G304">
        <v>2</v>
      </c>
      <c r="H304">
        <v>1</v>
      </c>
      <c r="I304">
        <v>878</v>
      </c>
      <c r="J304">
        <v>0</v>
      </c>
      <c r="K304">
        <v>0</v>
      </c>
      <c r="L304">
        <v>18414.900000000001</v>
      </c>
      <c r="M304">
        <v>14465.2</v>
      </c>
      <c r="N304">
        <v>20625.3</v>
      </c>
      <c r="O304">
        <v>3828.7</v>
      </c>
      <c r="P304">
        <v>31142.7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4.88</v>
      </c>
      <c r="W304">
        <v>3.5</v>
      </c>
      <c r="X304">
        <v>0</v>
      </c>
      <c r="Y304">
        <v>0</v>
      </c>
      <c r="Z304">
        <v>0</v>
      </c>
      <c r="AA304">
        <v>0</v>
      </c>
      <c r="AB304">
        <v>4.88</v>
      </c>
      <c r="AC304">
        <v>0</v>
      </c>
      <c r="AD304">
        <v>0</v>
      </c>
      <c r="AE304">
        <v>0</v>
      </c>
      <c r="AF304">
        <v>4.88</v>
      </c>
      <c r="AG304">
        <v>0</v>
      </c>
      <c r="AH304">
        <v>0</v>
      </c>
      <c r="AI304">
        <v>0</v>
      </c>
      <c r="AL304">
        <v>0</v>
      </c>
      <c r="AM304">
        <v>0</v>
      </c>
      <c r="AN304">
        <v>0</v>
      </c>
    </row>
    <row r="305" spans="1:40" x14ac:dyDescent="0.25">
      <c r="A305">
        <v>304</v>
      </c>
      <c r="B305" t="s">
        <v>1253</v>
      </c>
      <c r="C305" t="s">
        <v>1254</v>
      </c>
      <c r="D305" t="s">
        <v>1255</v>
      </c>
      <c r="E305" t="s">
        <v>1256</v>
      </c>
      <c r="F305" t="s">
        <v>315</v>
      </c>
      <c r="G305">
        <v>2</v>
      </c>
      <c r="H305">
        <v>1</v>
      </c>
      <c r="I305">
        <v>3896</v>
      </c>
      <c r="J305">
        <v>0</v>
      </c>
      <c r="K305">
        <v>0</v>
      </c>
      <c r="L305">
        <v>3310.7</v>
      </c>
      <c r="M305">
        <v>613.79999999999995</v>
      </c>
      <c r="N305">
        <v>4529.6000000000004</v>
      </c>
      <c r="O305">
        <v>201.4</v>
      </c>
      <c r="P305">
        <v>4114.8999999999996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2.23</v>
      </c>
      <c r="W305">
        <v>3</v>
      </c>
      <c r="X305">
        <v>0.2</v>
      </c>
      <c r="Y305">
        <v>0</v>
      </c>
      <c r="Z305">
        <v>1.03</v>
      </c>
      <c r="AA305">
        <v>0.2</v>
      </c>
      <c r="AB305">
        <v>0.8</v>
      </c>
      <c r="AC305">
        <v>0</v>
      </c>
      <c r="AD305">
        <v>0</v>
      </c>
      <c r="AE305">
        <v>1.23</v>
      </c>
      <c r="AF305">
        <v>1</v>
      </c>
      <c r="AG305">
        <v>0</v>
      </c>
      <c r="AH305">
        <v>0</v>
      </c>
      <c r="AI305">
        <v>0</v>
      </c>
      <c r="AL305">
        <v>1</v>
      </c>
      <c r="AM305">
        <v>0</v>
      </c>
      <c r="AN305">
        <v>1</v>
      </c>
    </row>
    <row r="306" spans="1:40" x14ac:dyDescent="0.25">
      <c r="A306">
        <v>305</v>
      </c>
      <c r="B306" t="s">
        <v>1257</v>
      </c>
      <c r="C306" t="s">
        <v>1258</v>
      </c>
      <c r="D306" t="s">
        <v>1259</v>
      </c>
      <c r="E306" t="s">
        <v>1260</v>
      </c>
      <c r="F306" t="s">
        <v>176</v>
      </c>
      <c r="G306">
        <v>2</v>
      </c>
      <c r="H306">
        <v>1</v>
      </c>
      <c r="I306">
        <v>1049</v>
      </c>
      <c r="J306">
        <v>0</v>
      </c>
      <c r="K306">
        <v>0</v>
      </c>
      <c r="L306">
        <v>4069.8</v>
      </c>
      <c r="M306">
        <v>4190.8999999999996</v>
      </c>
      <c r="N306">
        <v>2443.1</v>
      </c>
      <c r="O306">
        <v>1566.7</v>
      </c>
      <c r="P306">
        <v>13203.1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2.02</v>
      </c>
      <c r="W306">
        <v>3.5</v>
      </c>
      <c r="X306">
        <v>2.02</v>
      </c>
      <c r="Y306">
        <v>0</v>
      </c>
      <c r="Z306">
        <v>0</v>
      </c>
      <c r="AA306">
        <v>0</v>
      </c>
      <c r="AB306">
        <v>0</v>
      </c>
      <c r="AC306">
        <v>2.02</v>
      </c>
      <c r="AD306">
        <v>0</v>
      </c>
      <c r="AE306">
        <v>0</v>
      </c>
      <c r="AF306">
        <v>0</v>
      </c>
      <c r="AG306">
        <v>1</v>
      </c>
      <c r="AH306">
        <v>1</v>
      </c>
      <c r="AI306">
        <v>2</v>
      </c>
      <c r="AJ306">
        <v>2023</v>
      </c>
      <c r="AK306">
        <v>1</v>
      </c>
      <c r="AL306">
        <v>0</v>
      </c>
      <c r="AM306">
        <v>0</v>
      </c>
      <c r="AN306">
        <v>0</v>
      </c>
    </row>
    <row r="307" spans="1:40" x14ac:dyDescent="0.25">
      <c r="A307">
        <v>306</v>
      </c>
      <c r="B307" t="s">
        <v>1261</v>
      </c>
      <c r="C307" t="s">
        <v>1262</v>
      </c>
      <c r="D307" t="s">
        <v>1263</v>
      </c>
      <c r="E307" t="s">
        <v>1264</v>
      </c>
      <c r="F307" t="s">
        <v>176</v>
      </c>
      <c r="G307">
        <v>2</v>
      </c>
      <c r="H307">
        <v>1</v>
      </c>
      <c r="I307">
        <v>644</v>
      </c>
      <c r="J307">
        <v>0</v>
      </c>
      <c r="K307">
        <v>0</v>
      </c>
      <c r="L307">
        <v>4359.3999999999996</v>
      </c>
      <c r="M307">
        <v>4390.1000000000004</v>
      </c>
      <c r="N307">
        <v>11531.3</v>
      </c>
      <c r="O307">
        <v>1786.9</v>
      </c>
      <c r="P307">
        <v>6516.8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2.04</v>
      </c>
      <c r="W307">
        <v>3</v>
      </c>
      <c r="X307">
        <v>0</v>
      </c>
      <c r="Y307">
        <v>0</v>
      </c>
      <c r="Z307">
        <v>0</v>
      </c>
      <c r="AA307">
        <v>2.04</v>
      </c>
      <c r="AB307">
        <v>0</v>
      </c>
      <c r="AC307">
        <v>0</v>
      </c>
      <c r="AD307">
        <v>0</v>
      </c>
      <c r="AE307">
        <v>0</v>
      </c>
      <c r="AF307">
        <v>2.04</v>
      </c>
      <c r="AG307">
        <v>0</v>
      </c>
      <c r="AH307">
        <v>0</v>
      </c>
      <c r="AI307">
        <v>0</v>
      </c>
      <c r="AL307">
        <v>0</v>
      </c>
      <c r="AM307">
        <v>0</v>
      </c>
      <c r="AN307">
        <v>0</v>
      </c>
    </row>
    <row r="308" spans="1:40" x14ac:dyDescent="0.25">
      <c r="A308">
        <v>307</v>
      </c>
      <c r="B308" t="s">
        <v>1265</v>
      </c>
      <c r="C308" t="s">
        <v>1266</v>
      </c>
      <c r="D308" t="s">
        <v>1267</v>
      </c>
      <c r="E308" t="s">
        <v>1268</v>
      </c>
      <c r="F308" t="s">
        <v>127</v>
      </c>
      <c r="G308">
        <v>1</v>
      </c>
      <c r="H308">
        <v>1</v>
      </c>
      <c r="I308">
        <v>340</v>
      </c>
      <c r="J308">
        <v>0</v>
      </c>
      <c r="K308">
        <v>0</v>
      </c>
      <c r="L308">
        <v>6198.5</v>
      </c>
      <c r="M308">
        <v>3506.8</v>
      </c>
      <c r="N308">
        <v>6173.1</v>
      </c>
      <c r="O308">
        <v>314.39999999999998</v>
      </c>
      <c r="P308">
        <v>7923.7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0.66</v>
      </c>
      <c r="W308">
        <v>3</v>
      </c>
      <c r="X308">
        <v>0.66</v>
      </c>
      <c r="Y308">
        <v>0</v>
      </c>
      <c r="Z308">
        <v>0</v>
      </c>
      <c r="AA308">
        <v>0</v>
      </c>
      <c r="AB308">
        <v>0</v>
      </c>
      <c r="AC308">
        <v>0.66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L308">
        <v>0</v>
      </c>
      <c r="AM308">
        <v>0</v>
      </c>
      <c r="AN308">
        <v>0</v>
      </c>
    </row>
    <row r="309" spans="1:40" x14ac:dyDescent="0.25">
      <c r="A309">
        <v>308</v>
      </c>
      <c r="B309" t="s">
        <v>1269</v>
      </c>
      <c r="C309" t="s">
        <v>1270</v>
      </c>
      <c r="D309" t="s">
        <v>1271</v>
      </c>
      <c r="E309" t="s">
        <v>1272</v>
      </c>
      <c r="F309" t="s">
        <v>105</v>
      </c>
      <c r="G309">
        <v>2</v>
      </c>
      <c r="H309">
        <v>1</v>
      </c>
      <c r="I309">
        <v>1152</v>
      </c>
      <c r="J309">
        <v>0</v>
      </c>
      <c r="K309">
        <v>0</v>
      </c>
      <c r="L309">
        <v>1719.7</v>
      </c>
      <c r="M309">
        <v>1507.5</v>
      </c>
      <c r="N309">
        <v>6525</v>
      </c>
      <c r="O309">
        <v>1400.5</v>
      </c>
      <c r="P309">
        <v>5074.2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1.05</v>
      </c>
      <c r="W309">
        <v>3.5</v>
      </c>
      <c r="X309">
        <v>0</v>
      </c>
      <c r="Y309">
        <v>0</v>
      </c>
      <c r="Z309">
        <v>0</v>
      </c>
      <c r="AA309">
        <v>1.05</v>
      </c>
      <c r="AB309">
        <v>0</v>
      </c>
      <c r="AC309">
        <v>0</v>
      </c>
      <c r="AD309">
        <v>0</v>
      </c>
      <c r="AE309">
        <v>0</v>
      </c>
      <c r="AF309">
        <v>1.05</v>
      </c>
      <c r="AG309">
        <v>0</v>
      </c>
      <c r="AH309">
        <v>1</v>
      </c>
      <c r="AI309">
        <v>2</v>
      </c>
      <c r="AJ309">
        <v>2023</v>
      </c>
      <c r="AK309">
        <v>1</v>
      </c>
      <c r="AL309">
        <v>0</v>
      </c>
      <c r="AM309">
        <v>0</v>
      </c>
      <c r="AN309">
        <v>0</v>
      </c>
    </row>
    <row r="310" spans="1:40" x14ac:dyDescent="0.25">
      <c r="A310">
        <v>309</v>
      </c>
      <c r="B310" t="s">
        <v>1273</v>
      </c>
      <c r="C310" t="s">
        <v>1274</v>
      </c>
      <c r="D310" t="s">
        <v>1275</v>
      </c>
      <c r="E310" t="s">
        <v>1276</v>
      </c>
      <c r="F310" t="s">
        <v>127</v>
      </c>
      <c r="G310">
        <v>2</v>
      </c>
      <c r="H310">
        <v>1</v>
      </c>
      <c r="I310">
        <v>1327</v>
      </c>
      <c r="J310">
        <v>0</v>
      </c>
      <c r="K310">
        <v>0</v>
      </c>
      <c r="L310">
        <v>1930.8</v>
      </c>
      <c r="M310">
        <v>2770.5</v>
      </c>
      <c r="N310">
        <v>6675.5</v>
      </c>
      <c r="O310">
        <v>763.3</v>
      </c>
      <c r="P310">
        <v>5253.2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1.61</v>
      </c>
      <c r="W310">
        <v>3.5</v>
      </c>
      <c r="X310">
        <v>1.61</v>
      </c>
      <c r="Y310">
        <v>0</v>
      </c>
      <c r="Z310">
        <v>0</v>
      </c>
      <c r="AA310">
        <v>0</v>
      </c>
      <c r="AB310">
        <v>0</v>
      </c>
      <c r="AC310">
        <v>1.61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2023</v>
      </c>
      <c r="AK310">
        <v>1</v>
      </c>
      <c r="AL310">
        <v>1</v>
      </c>
      <c r="AM310">
        <v>1</v>
      </c>
      <c r="AN310">
        <v>0</v>
      </c>
    </row>
    <row r="311" spans="1:40" x14ac:dyDescent="0.25">
      <c r="A311">
        <v>310</v>
      </c>
      <c r="B311" t="s">
        <v>1277</v>
      </c>
      <c r="C311" t="s">
        <v>1278</v>
      </c>
      <c r="D311" t="s">
        <v>1279</v>
      </c>
      <c r="E311" t="s">
        <v>378</v>
      </c>
      <c r="F311" t="s">
        <v>105</v>
      </c>
      <c r="G311">
        <v>2</v>
      </c>
      <c r="H311">
        <v>1</v>
      </c>
      <c r="I311">
        <v>1247</v>
      </c>
      <c r="J311">
        <v>0</v>
      </c>
      <c r="K311">
        <v>0</v>
      </c>
      <c r="L311">
        <v>2227.1999999999998</v>
      </c>
      <c r="M311">
        <v>2247</v>
      </c>
      <c r="N311">
        <v>3854.6</v>
      </c>
      <c r="O311">
        <v>338.4</v>
      </c>
      <c r="P311">
        <v>40544.1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</v>
      </c>
      <c r="W311">
        <v>3</v>
      </c>
      <c r="X311">
        <v>0.5</v>
      </c>
      <c r="Y311">
        <v>0</v>
      </c>
      <c r="Z311">
        <v>0</v>
      </c>
      <c r="AA311">
        <v>0</v>
      </c>
      <c r="AB311">
        <v>0</v>
      </c>
      <c r="AC311">
        <v>0.5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L311">
        <v>0</v>
      </c>
      <c r="AM311">
        <v>0</v>
      </c>
      <c r="AN311">
        <v>0</v>
      </c>
    </row>
    <row r="312" spans="1:40" x14ac:dyDescent="0.25">
      <c r="A312">
        <v>311</v>
      </c>
      <c r="B312" t="s">
        <v>1280</v>
      </c>
      <c r="C312" t="s">
        <v>1281</v>
      </c>
      <c r="D312" t="s">
        <v>1282</v>
      </c>
      <c r="E312" t="s">
        <v>1283</v>
      </c>
      <c r="F312" t="s">
        <v>310</v>
      </c>
      <c r="G312">
        <v>2</v>
      </c>
      <c r="H312">
        <v>1</v>
      </c>
      <c r="I312">
        <v>383</v>
      </c>
      <c r="J312">
        <v>0</v>
      </c>
      <c r="K312">
        <v>0</v>
      </c>
      <c r="L312">
        <v>38431.300000000003</v>
      </c>
      <c r="M312">
        <v>5308.5</v>
      </c>
      <c r="N312">
        <v>40641.699999999997</v>
      </c>
      <c r="O312">
        <v>1530.9</v>
      </c>
      <c r="P312">
        <v>5930.7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1.1599999999999999</v>
      </c>
      <c r="W312">
        <v>1</v>
      </c>
      <c r="X312">
        <v>0</v>
      </c>
      <c r="Y312">
        <v>0</v>
      </c>
      <c r="Z312">
        <v>1.1599999999999999</v>
      </c>
      <c r="AA312">
        <v>0</v>
      </c>
      <c r="AB312">
        <v>0</v>
      </c>
      <c r="AC312">
        <v>0.36</v>
      </c>
      <c r="AD312">
        <v>0.2</v>
      </c>
      <c r="AE312">
        <v>0.6</v>
      </c>
      <c r="AF312">
        <v>0</v>
      </c>
      <c r="AG312">
        <v>0.48275862068965508</v>
      </c>
      <c r="AH312">
        <v>1</v>
      </c>
      <c r="AI312">
        <v>1</v>
      </c>
      <c r="AJ312">
        <v>2023</v>
      </c>
      <c r="AK312">
        <v>1</v>
      </c>
      <c r="AL312">
        <v>0</v>
      </c>
      <c r="AM312">
        <v>0</v>
      </c>
      <c r="AN312">
        <v>0</v>
      </c>
    </row>
    <row r="313" spans="1:40" x14ac:dyDescent="0.25">
      <c r="A313">
        <v>312</v>
      </c>
      <c r="B313" t="s">
        <v>1284</v>
      </c>
      <c r="C313" t="s">
        <v>1285</v>
      </c>
      <c r="D313" t="s">
        <v>1286</v>
      </c>
      <c r="E313" t="s">
        <v>1009</v>
      </c>
      <c r="F313" t="s">
        <v>203</v>
      </c>
      <c r="G313">
        <v>3</v>
      </c>
      <c r="H313">
        <v>2</v>
      </c>
      <c r="I313">
        <v>1967</v>
      </c>
      <c r="J313">
        <v>0</v>
      </c>
      <c r="K313">
        <v>1</v>
      </c>
      <c r="L313">
        <v>1183.2</v>
      </c>
      <c r="M313">
        <v>2223.6</v>
      </c>
      <c r="N313">
        <v>7793.6</v>
      </c>
      <c r="O313">
        <v>981.5</v>
      </c>
      <c r="P313">
        <v>9536.7999999999993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1.1100000000000001</v>
      </c>
      <c r="W313">
        <v>3</v>
      </c>
      <c r="X313">
        <v>1.1100000000000001</v>
      </c>
      <c r="Y313">
        <v>0</v>
      </c>
      <c r="Z313">
        <v>0</v>
      </c>
      <c r="AA313">
        <v>0</v>
      </c>
      <c r="AB313">
        <v>0</v>
      </c>
      <c r="AC313">
        <v>1.1100000000000001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1</v>
      </c>
      <c r="AJ313">
        <v>2023</v>
      </c>
      <c r="AK313">
        <v>1</v>
      </c>
      <c r="AL313">
        <v>0</v>
      </c>
      <c r="AM313">
        <v>0</v>
      </c>
      <c r="AN313">
        <v>0</v>
      </c>
    </row>
    <row r="314" spans="1:40" x14ac:dyDescent="0.25">
      <c r="A314">
        <v>313</v>
      </c>
      <c r="B314" t="s">
        <v>1287</v>
      </c>
      <c r="C314" t="s">
        <v>1288</v>
      </c>
      <c r="D314" t="s">
        <v>1289</v>
      </c>
      <c r="E314" t="s">
        <v>1290</v>
      </c>
      <c r="F314" t="s">
        <v>203</v>
      </c>
      <c r="G314">
        <v>4</v>
      </c>
      <c r="H314">
        <v>2</v>
      </c>
      <c r="I314">
        <v>3450</v>
      </c>
      <c r="J314">
        <v>1</v>
      </c>
      <c r="K314">
        <v>1</v>
      </c>
      <c r="L314">
        <v>3451.8</v>
      </c>
      <c r="M314">
        <v>5726.6</v>
      </c>
      <c r="N314">
        <v>11399.7</v>
      </c>
      <c r="O314">
        <v>145.5</v>
      </c>
      <c r="P314">
        <v>6836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</v>
      </c>
      <c r="W314">
        <v>3</v>
      </c>
      <c r="X314">
        <v>6.74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4.4000000000000004</v>
      </c>
      <c r="AE314">
        <v>2.14</v>
      </c>
      <c r="AF314">
        <v>0.2</v>
      </c>
      <c r="AG314">
        <v>0.65281899109792274</v>
      </c>
      <c r="AH314">
        <v>1</v>
      </c>
      <c r="AI314">
        <v>1</v>
      </c>
      <c r="AJ314">
        <v>2023</v>
      </c>
      <c r="AK314">
        <v>1</v>
      </c>
      <c r="AL314">
        <v>1</v>
      </c>
      <c r="AM314">
        <v>1</v>
      </c>
      <c r="AN314">
        <v>0</v>
      </c>
    </row>
    <row r="315" spans="1:40" x14ac:dyDescent="0.25">
      <c r="A315">
        <v>314</v>
      </c>
      <c r="B315" t="s">
        <v>1291</v>
      </c>
      <c r="C315" t="s">
        <v>1292</v>
      </c>
      <c r="D315" t="s">
        <v>1293</v>
      </c>
      <c r="E315" t="s">
        <v>1294</v>
      </c>
      <c r="F315" t="s">
        <v>149</v>
      </c>
      <c r="G315">
        <v>2</v>
      </c>
      <c r="H315">
        <v>1</v>
      </c>
      <c r="I315">
        <v>1383</v>
      </c>
      <c r="J315">
        <v>0</v>
      </c>
      <c r="K315">
        <v>0</v>
      </c>
      <c r="L315">
        <v>1884.6</v>
      </c>
      <c r="M315">
        <v>3129</v>
      </c>
      <c r="N315">
        <v>8698.9</v>
      </c>
      <c r="O315">
        <v>1459.4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2.2599999999999998</v>
      </c>
      <c r="W315">
        <v>3</v>
      </c>
      <c r="X315">
        <v>2.2599999999999998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1.46</v>
      </c>
      <c r="AE315">
        <v>0.6</v>
      </c>
      <c r="AF315">
        <v>0.2</v>
      </c>
      <c r="AG315">
        <v>0.64601769911504414</v>
      </c>
      <c r="AH315">
        <v>0</v>
      </c>
      <c r="AI315">
        <v>0</v>
      </c>
      <c r="AL315">
        <v>1</v>
      </c>
      <c r="AM315">
        <v>0</v>
      </c>
      <c r="AN315">
        <v>1</v>
      </c>
    </row>
    <row r="316" spans="1:40" x14ac:dyDescent="0.25">
      <c r="A316">
        <v>315</v>
      </c>
      <c r="B316" t="s">
        <v>1295</v>
      </c>
      <c r="C316" t="s">
        <v>1296</v>
      </c>
      <c r="D316" t="s">
        <v>1297</v>
      </c>
      <c r="E316" t="s">
        <v>1298</v>
      </c>
      <c r="F316" t="s">
        <v>185</v>
      </c>
      <c r="G316">
        <v>3</v>
      </c>
      <c r="H316">
        <v>1</v>
      </c>
      <c r="I316">
        <v>1322</v>
      </c>
      <c r="J316">
        <v>0</v>
      </c>
      <c r="K316">
        <v>0</v>
      </c>
      <c r="O316">
        <v>737.9</v>
      </c>
      <c r="P316">
        <v>9365.6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8.0299999999999994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8.0299999999999994</v>
      </c>
      <c r="AC316">
        <v>0</v>
      </c>
      <c r="AD316">
        <v>0</v>
      </c>
      <c r="AE316">
        <v>0</v>
      </c>
      <c r="AF316">
        <v>8.0299999999999994</v>
      </c>
      <c r="AG316">
        <v>0</v>
      </c>
      <c r="AH316">
        <v>0</v>
      </c>
      <c r="AI316">
        <v>0</v>
      </c>
      <c r="AL316">
        <v>0</v>
      </c>
      <c r="AM316">
        <v>0</v>
      </c>
      <c r="AN316">
        <v>0</v>
      </c>
    </row>
    <row r="317" spans="1:40" x14ac:dyDescent="0.25">
      <c r="A317">
        <v>316</v>
      </c>
      <c r="B317" t="s">
        <v>1299</v>
      </c>
      <c r="C317" t="s">
        <v>1300</v>
      </c>
      <c r="D317" t="s">
        <v>1301</v>
      </c>
      <c r="E317" t="s">
        <v>1302</v>
      </c>
      <c r="F317" t="s">
        <v>176</v>
      </c>
      <c r="G317">
        <v>8</v>
      </c>
      <c r="H317">
        <v>1</v>
      </c>
      <c r="I317">
        <v>2472</v>
      </c>
      <c r="J317">
        <v>0</v>
      </c>
      <c r="K317">
        <v>1</v>
      </c>
      <c r="L317">
        <v>521.79999999999995</v>
      </c>
      <c r="M317">
        <v>552.5</v>
      </c>
      <c r="N317">
        <v>7693.7</v>
      </c>
      <c r="O317">
        <v>1000.2</v>
      </c>
      <c r="P317">
        <v>6193.3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7.3</v>
      </c>
      <c r="W317">
        <v>3</v>
      </c>
      <c r="X317">
        <v>7.3</v>
      </c>
      <c r="Y317">
        <v>0</v>
      </c>
      <c r="Z317">
        <v>0</v>
      </c>
      <c r="AA317">
        <v>0</v>
      </c>
      <c r="AB317">
        <v>0</v>
      </c>
      <c r="AC317">
        <v>7</v>
      </c>
      <c r="AD317">
        <v>0.3</v>
      </c>
      <c r="AE317">
        <v>0</v>
      </c>
      <c r="AF317">
        <v>0</v>
      </c>
      <c r="AG317">
        <v>1</v>
      </c>
      <c r="AH317">
        <v>1</v>
      </c>
      <c r="AI317">
        <v>3</v>
      </c>
      <c r="AJ317">
        <v>2023</v>
      </c>
      <c r="AK317">
        <v>1</v>
      </c>
      <c r="AL317">
        <v>0</v>
      </c>
      <c r="AM317">
        <v>0</v>
      </c>
      <c r="AN317">
        <v>0</v>
      </c>
    </row>
    <row r="318" spans="1:40" x14ac:dyDescent="0.25">
      <c r="A318">
        <v>317</v>
      </c>
      <c r="B318" t="s">
        <v>1303</v>
      </c>
      <c r="C318" t="s">
        <v>1304</v>
      </c>
      <c r="D318" t="s">
        <v>1305</v>
      </c>
      <c r="E318" t="s">
        <v>1306</v>
      </c>
      <c r="F318" t="s">
        <v>176</v>
      </c>
      <c r="G318">
        <v>3</v>
      </c>
      <c r="H318">
        <v>1</v>
      </c>
      <c r="I318">
        <v>1361</v>
      </c>
      <c r="J318">
        <v>0</v>
      </c>
      <c r="K318">
        <v>0</v>
      </c>
      <c r="L318">
        <v>4723.8</v>
      </c>
      <c r="M318">
        <v>1843.3</v>
      </c>
      <c r="N318">
        <v>4521.5</v>
      </c>
      <c r="O318">
        <v>1010.2</v>
      </c>
      <c r="P318">
        <v>30302.6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1.59</v>
      </c>
      <c r="W318">
        <v>3</v>
      </c>
      <c r="X318">
        <v>1.59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0.99</v>
      </c>
      <c r="AE318">
        <v>0.6</v>
      </c>
      <c r="AF318">
        <v>0</v>
      </c>
      <c r="AG318">
        <v>0.62264150943396235</v>
      </c>
      <c r="AH318">
        <v>1</v>
      </c>
      <c r="AI318">
        <v>1</v>
      </c>
      <c r="AJ318">
        <v>2022</v>
      </c>
      <c r="AK318">
        <v>2</v>
      </c>
      <c r="AL318">
        <v>0</v>
      </c>
      <c r="AM318">
        <v>0</v>
      </c>
      <c r="AN318">
        <v>0</v>
      </c>
    </row>
    <row r="319" spans="1:40" x14ac:dyDescent="0.25">
      <c r="A319">
        <v>318</v>
      </c>
      <c r="B319" t="s">
        <v>1307</v>
      </c>
      <c r="C319" t="s">
        <v>1308</v>
      </c>
      <c r="D319" t="s">
        <v>1309</v>
      </c>
      <c r="E319" t="s">
        <v>1310</v>
      </c>
      <c r="F319" t="s">
        <v>310</v>
      </c>
      <c r="G319">
        <v>2</v>
      </c>
      <c r="H319">
        <v>1</v>
      </c>
      <c r="I319">
        <v>712</v>
      </c>
      <c r="J319">
        <v>1</v>
      </c>
      <c r="K319">
        <v>0</v>
      </c>
      <c r="L319">
        <v>28189.8</v>
      </c>
      <c r="M319">
        <v>6376.2</v>
      </c>
      <c r="N319">
        <v>30400.2</v>
      </c>
      <c r="O319">
        <v>422.1</v>
      </c>
      <c r="P319">
        <v>33413.1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0.66</v>
      </c>
      <c r="W319">
        <v>1.5</v>
      </c>
      <c r="X319">
        <v>0</v>
      </c>
      <c r="Y319">
        <v>0</v>
      </c>
      <c r="Z319">
        <v>0.66</v>
      </c>
      <c r="AA319">
        <v>0</v>
      </c>
      <c r="AB319">
        <v>0</v>
      </c>
      <c r="AC319">
        <v>0.66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L319">
        <v>1</v>
      </c>
      <c r="AM319">
        <v>1</v>
      </c>
      <c r="AN319">
        <v>0</v>
      </c>
    </row>
    <row r="320" spans="1:40" x14ac:dyDescent="0.25">
      <c r="A320">
        <v>319</v>
      </c>
      <c r="B320" t="s">
        <v>1311</v>
      </c>
      <c r="C320" t="s">
        <v>1312</v>
      </c>
      <c r="D320" t="s">
        <v>1313</v>
      </c>
      <c r="E320" t="s">
        <v>1314</v>
      </c>
      <c r="F320" t="s">
        <v>310</v>
      </c>
      <c r="G320">
        <v>2</v>
      </c>
      <c r="H320">
        <v>1</v>
      </c>
      <c r="I320">
        <v>740</v>
      </c>
      <c r="J320">
        <v>1</v>
      </c>
      <c r="K320">
        <v>0</v>
      </c>
      <c r="L320">
        <v>31300.400000000001</v>
      </c>
      <c r="M320">
        <v>10246.299999999999</v>
      </c>
      <c r="N320">
        <v>33510.699999999997</v>
      </c>
      <c r="O320">
        <v>2940.2</v>
      </c>
      <c r="P320">
        <v>34426.6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7.65</v>
      </c>
      <c r="W320">
        <v>3</v>
      </c>
      <c r="X320">
        <v>7.65</v>
      </c>
      <c r="Y320">
        <v>0</v>
      </c>
      <c r="Z320">
        <v>0</v>
      </c>
      <c r="AA320">
        <v>0</v>
      </c>
      <c r="AB320">
        <v>0</v>
      </c>
      <c r="AC320">
        <v>0.8</v>
      </c>
      <c r="AD320">
        <v>3.25</v>
      </c>
      <c r="AE320">
        <v>3</v>
      </c>
      <c r="AF320">
        <v>0.6</v>
      </c>
      <c r="AG320">
        <v>0.52941176470588236</v>
      </c>
      <c r="AH320">
        <v>1</v>
      </c>
      <c r="AI320">
        <v>1</v>
      </c>
      <c r="AJ320">
        <v>2023</v>
      </c>
      <c r="AK320">
        <v>1</v>
      </c>
      <c r="AL320">
        <v>1</v>
      </c>
      <c r="AM320">
        <v>1</v>
      </c>
      <c r="AN320">
        <v>0</v>
      </c>
    </row>
    <row r="321" spans="1:40" x14ac:dyDescent="0.25">
      <c r="A321">
        <v>320</v>
      </c>
      <c r="B321" t="s">
        <v>1315</v>
      </c>
      <c r="C321" t="s">
        <v>1316</v>
      </c>
      <c r="D321" t="s">
        <v>1317</v>
      </c>
      <c r="E321" t="s">
        <v>575</v>
      </c>
      <c r="F321" t="s">
        <v>310</v>
      </c>
      <c r="G321">
        <v>1</v>
      </c>
      <c r="H321">
        <v>1</v>
      </c>
      <c r="I321">
        <v>266</v>
      </c>
      <c r="J321">
        <v>0</v>
      </c>
      <c r="K321">
        <v>0</v>
      </c>
      <c r="L321">
        <v>32313.9</v>
      </c>
      <c r="M321">
        <v>11259.8</v>
      </c>
      <c r="N321">
        <v>34524.300000000003</v>
      </c>
      <c r="O321">
        <v>2327.6999999999998</v>
      </c>
      <c r="P321">
        <v>8108.2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0.4</v>
      </c>
      <c r="W321">
        <v>1</v>
      </c>
      <c r="X321">
        <v>0</v>
      </c>
      <c r="Y321">
        <v>0</v>
      </c>
      <c r="Z321">
        <v>0.4</v>
      </c>
      <c r="AA321">
        <v>0</v>
      </c>
      <c r="AB321">
        <v>0</v>
      </c>
      <c r="AC321">
        <v>0</v>
      </c>
      <c r="AD321">
        <v>0.2</v>
      </c>
      <c r="AE321">
        <v>0</v>
      </c>
      <c r="AF321">
        <v>0.2</v>
      </c>
      <c r="AG321">
        <v>0.5</v>
      </c>
      <c r="AH321">
        <v>0</v>
      </c>
      <c r="AI321">
        <v>0</v>
      </c>
      <c r="AL321">
        <v>0</v>
      </c>
      <c r="AM321">
        <v>0</v>
      </c>
      <c r="AN321">
        <v>0</v>
      </c>
    </row>
    <row r="322" spans="1:40" x14ac:dyDescent="0.25">
      <c r="A322">
        <v>321</v>
      </c>
      <c r="B322" t="s">
        <v>1318</v>
      </c>
      <c r="C322" t="s">
        <v>1319</v>
      </c>
      <c r="D322" t="s">
        <v>1320</v>
      </c>
      <c r="E322" t="s">
        <v>1321</v>
      </c>
      <c r="F322" t="s">
        <v>149</v>
      </c>
      <c r="G322">
        <v>3</v>
      </c>
      <c r="H322">
        <v>1</v>
      </c>
      <c r="I322">
        <v>1729</v>
      </c>
      <c r="J322">
        <v>0</v>
      </c>
      <c r="K322">
        <v>0</v>
      </c>
      <c r="L322">
        <v>1881.3</v>
      </c>
      <c r="M322">
        <v>2948.4</v>
      </c>
      <c r="N322">
        <v>9971.1</v>
      </c>
      <c r="O322">
        <v>316.3</v>
      </c>
      <c r="P322">
        <v>3930.7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1.49</v>
      </c>
      <c r="W322">
        <v>3</v>
      </c>
      <c r="X322">
        <v>1.49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0.2</v>
      </c>
      <c r="AE322">
        <v>0.49</v>
      </c>
      <c r="AF322">
        <v>0.8</v>
      </c>
      <c r="AG322">
        <v>0.13422818791946309</v>
      </c>
      <c r="AH322">
        <v>0</v>
      </c>
      <c r="AI322">
        <v>0</v>
      </c>
      <c r="AL322">
        <v>1</v>
      </c>
      <c r="AM322">
        <v>0</v>
      </c>
      <c r="AN322">
        <v>1</v>
      </c>
    </row>
    <row r="323" spans="1:40" x14ac:dyDescent="0.25">
      <c r="A323">
        <v>322</v>
      </c>
      <c r="B323" t="s">
        <v>1322</v>
      </c>
      <c r="C323" t="s">
        <v>1323</v>
      </c>
      <c r="D323" t="s">
        <v>1324</v>
      </c>
      <c r="E323" t="s">
        <v>1325</v>
      </c>
      <c r="F323" t="s">
        <v>100</v>
      </c>
      <c r="G323">
        <v>2</v>
      </c>
      <c r="H323">
        <v>1</v>
      </c>
      <c r="I323">
        <v>717</v>
      </c>
      <c r="J323">
        <v>0</v>
      </c>
      <c r="K323">
        <v>0</v>
      </c>
      <c r="L323">
        <v>4249.1000000000004</v>
      </c>
      <c r="M323">
        <v>4208.3999999999996</v>
      </c>
      <c r="N323">
        <v>5604.4</v>
      </c>
      <c r="O323">
        <v>672.9</v>
      </c>
      <c r="P323">
        <v>13564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0.64</v>
      </c>
      <c r="W323">
        <v>3</v>
      </c>
      <c r="X323">
        <v>0</v>
      </c>
      <c r="Y323">
        <v>0</v>
      </c>
      <c r="Z323">
        <v>0</v>
      </c>
      <c r="AA323">
        <v>0.64</v>
      </c>
      <c r="AB323">
        <v>0</v>
      </c>
      <c r="AC323">
        <v>0</v>
      </c>
      <c r="AD323">
        <v>0</v>
      </c>
      <c r="AE323">
        <v>0</v>
      </c>
      <c r="AF323">
        <v>0.64</v>
      </c>
      <c r="AG323">
        <v>0</v>
      </c>
      <c r="AH323">
        <v>0</v>
      </c>
      <c r="AI323">
        <v>0</v>
      </c>
      <c r="AL323">
        <v>1</v>
      </c>
      <c r="AM323">
        <v>0</v>
      </c>
      <c r="AN323">
        <v>1</v>
      </c>
    </row>
    <row r="324" spans="1:40" x14ac:dyDescent="0.25">
      <c r="A324">
        <v>323</v>
      </c>
      <c r="B324" t="s">
        <v>1326</v>
      </c>
      <c r="C324" t="s">
        <v>1327</v>
      </c>
      <c r="D324" t="s">
        <v>1328</v>
      </c>
      <c r="E324" t="s">
        <v>1329</v>
      </c>
      <c r="F324" t="s">
        <v>132</v>
      </c>
      <c r="G324">
        <v>3</v>
      </c>
      <c r="H324">
        <v>1</v>
      </c>
      <c r="I324">
        <v>536</v>
      </c>
      <c r="J324">
        <v>0</v>
      </c>
      <c r="K324">
        <v>0</v>
      </c>
      <c r="L324">
        <v>5667.6</v>
      </c>
      <c r="M324">
        <v>1807.7</v>
      </c>
      <c r="N324">
        <v>15354.2</v>
      </c>
      <c r="O324">
        <v>208.6</v>
      </c>
      <c r="P324">
        <v>5233.5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2.82</v>
      </c>
      <c r="W324">
        <v>3</v>
      </c>
      <c r="X324">
        <v>2.82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2.82</v>
      </c>
      <c r="AE324">
        <v>0</v>
      </c>
      <c r="AF324">
        <v>0</v>
      </c>
      <c r="AG324">
        <v>1</v>
      </c>
      <c r="AH324">
        <v>1</v>
      </c>
      <c r="AI324">
        <v>2</v>
      </c>
      <c r="AJ324">
        <v>2022</v>
      </c>
      <c r="AK324">
        <v>2</v>
      </c>
      <c r="AL324">
        <v>0</v>
      </c>
      <c r="AM324">
        <v>0</v>
      </c>
      <c r="AN324">
        <v>0</v>
      </c>
    </row>
    <row r="325" spans="1:40" x14ac:dyDescent="0.25">
      <c r="A325">
        <v>324</v>
      </c>
      <c r="B325" t="s">
        <v>1330</v>
      </c>
      <c r="C325" t="s">
        <v>1331</v>
      </c>
      <c r="D325" t="s">
        <v>1332</v>
      </c>
      <c r="E325" t="s">
        <v>1333</v>
      </c>
      <c r="F325" t="s">
        <v>363</v>
      </c>
      <c r="G325">
        <v>1</v>
      </c>
      <c r="H325">
        <v>1</v>
      </c>
      <c r="I325">
        <v>616</v>
      </c>
      <c r="J325">
        <v>1</v>
      </c>
      <c r="K325">
        <v>0</v>
      </c>
      <c r="L325">
        <v>2918.2</v>
      </c>
      <c r="M325">
        <v>1429</v>
      </c>
      <c r="N325">
        <v>4137.1000000000004</v>
      </c>
      <c r="O325">
        <v>1065.5999999999999</v>
      </c>
      <c r="P325">
        <v>30750.2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0.18</v>
      </c>
      <c r="W325">
        <v>3</v>
      </c>
      <c r="X325">
        <v>0.18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0.18</v>
      </c>
      <c r="AG325">
        <v>0</v>
      </c>
      <c r="AH325">
        <v>0</v>
      </c>
      <c r="AI325">
        <v>0</v>
      </c>
      <c r="AL325">
        <v>1</v>
      </c>
      <c r="AM325">
        <v>0</v>
      </c>
      <c r="AN325">
        <v>1</v>
      </c>
    </row>
    <row r="326" spans="1:40" x14ac:dyDescent="0.25">
      <c r="A326">
        <v>325</v>
      </c>
      <c r="B326" t="s">
        <v>1334</v>
      </c>
      <c r="C326" t="s">
        <v>1335</v>
      </c>
      <c r="D326" t="s">
        <v>1336</v>
      </c>
      <c r="E326" t="s">
        <v>1333</v>
      </c>
      <c r="F326" t="s">
        <v>363</v>
      </c>
      <c r="G326">
        <v>1</v>
      </c>
      <c r="H326">
        <v>1</v>
      </c>
      <c r="I326">
        <v>616</v>
      </c>
      <c r="J326">
        <v>1</v>
      </c>
      <c r="K326">
        <v>0</v>
      </c>
      <c r="L326">
        <v>2535.4</v>
      </c>
      <c r="M326">
        <v>1804.6</v>
      </c>
      <c r="N326">
        <v>3754.3</v>
      </c>
      <c r="O326">
        <v>682.8</v>
      </c>
      <c r="P326">
        <v>30367.4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0.21</v>
      </c>
      <c r="W326">
        <v>3</v>
      </c>
      <c r="X326">
        <v>0.21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0.21</v>
      </c>
      <c r="AG326">
        <v>0</v>
      </c>
      <c r="AH326">
        <v>0</v>
      </c>
      <c r="AI326">
        <v>0</v>
      </c>
      <c r="AL326">
        <v>0</v>
      </c>
      <c r="AM326">
        <v>0</v>
      </c>
      <c r="AN326">
        <v>0</v>
      </c>
    </row>
    <row r="327" spans="1:40" x14ac:dyDescent="0.25">
      <c r="A327">
        <v>326</v>
      </c>
      <c r="B327" t="s">
        <v>1337</v>
      </c>
      <c r="C327" t="s">
        <v>1338</v>
      </c>
      <c r="D327" t="s">
        <v>1339</v>
      </c>
      <c r="E327" t="s">
        <v>705</v>
      </c>
      <c r="F327" t="s">
        <v>100</v>
      </c>
      <c r="G327">
        <v>1</v>
      </c>
      <c r="H327">
        <v>1</v>
      </c>
      <c r="I327">
        <v>3189</v>
      </c>
      <c r="J327">
        <v>0</v>
      </c>
      <c r="K327">
        <v>1</v>
      </c>
      <c r="L327">
        <v>1044</v>
      </c>
      <c r="M327">
        <v>1570.5</v>
      </c>
      <c r="N327">
        <v>2861.8</v>
      </c>
      <c r="O327">
        <v>120.5</v>
      </c>
      <c r="P327">
        <v>1157.7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1.43</v>
      </c>
      <c r="W327">
        <v>5</v>
      </c>
      <c r="X327">
        <v>1.43</v>
      </c>
      <c r="Y327">
        <v>0</v>
      </c>
      <c r="Z327">
        <v>0</v>
      </c>
      <c r="AA327">
        <v>0</v>
      </c>
      <c r="AB327">
        <v>0</v>
      </c>
      <c r="AC327">
        <v>1.43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L327">
        <v>0</v>
      </c>
      <c r="AM327">
        <v>0</v>
      </c>
      <c r="AN327">
        <v>0</v>
      </c>
    </row>
    <row r="328" spans="1:40" x14ac:dyDescent="0.25">
      <c r="A328">
        <v>327</v>
      </c>
      <c r="B328" t="s">
        <v>1340</v>
      </c>
      <c r="C328" t="s">
        <v>1341</v>
      </c>
      <c r="D328" t="s">
        <v>1342</v>
      </c>
      <c r="E328" t="s">
        <v>109</v>
      </c>
      <c r="F328" t="s">
        <v>100</v>
      </c>
      <c r="G328">
        <v>2</v>
      </c>
      <c r="H328">
        <v>1</v>
      </c>
      <c r="I328">
        <v>2315</v>
      </c>
      <c r="J328">
        <v>0</v>
      </c>
      <c r="L328">
        <v>1071.5999999999999</v>
      </c>
      <c r="M328">
        <v>1221.5999999999999</v>
      </c>
      <c r="N328">
        <v>1568.9</v>
      </c>
      <c r="O328">
        <v>323.8</v>
      </c>
      <c r="P328">
        <v>1389.9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1.64</v>
      </c>
      <c r="W328">
        <v>3.5</v>
      </c>
      <c r="X328">
        <v>1.64</v>
      </c>
      <c r="Y328">
        <v>0</v>
      </c>
      <c r="Z328">
        <v>0</v>
      </c>
      <c r="AA328">
        <v>0</v>
      </c>
      <c r="AB328">
        <v>0</v>
      </c>
      <c r="AC328">
        <v>1.64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L328">
        <v>0</v>
      </c>
      <c r="AM328">
        <v>0</v>
      </c>
      <c r="AN328">
        <v>0</v>
      </c>
    </row>
    <row r="329" spans="1:40" x14ac:dyDescent="0.25">
      <c r="A329">
        <v>328</v>
      </c>
      <c r="B329" t="s">
        <v>1343</v>
      </c>
      <c r="C329" t="s">
        <v>1344</v>
      </c>
      <c r="D329" t="s">
        <v>1345</v>
      </c>
      <c r="E329" t="s">
        <v>1346</v>
      </c>
      <c r="F329" t="s">
        <v>213</v>
      </c>
      <c r="G329">
        <v>3</v>
      </c>
      <c r="H329">
        <v>2</v>
      </c>
      <c r="I329">
        <v>3515</v>
      </c>
      <c r="J329">
        <v>0</v>
      </c>
      <c r="K329">
        <v>1</v>
      </c>
      <c r="L329">
        <v>3128.2</v>
      </c>
      <c r="M329">
        <v>2288.5</v>
      </c>
      <c r="N329">
        <v>3236.9</v>
      </c>
      <c r="O329">
        <v>1380.8</v>
      </c>
      <c r="P329">
        <v>3546.1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2.1800000000000002</v>
      </c>
      <c r="W329">
        <v>3.5</v>
      </c>
      <c r="X329">
        <v>2.1800000000000002</v>
      </c>
      <c r="Y329">
        <v>0</v>
      </c>
      <c r="Z329">
        <v>0</v>
      </c>
      <c r="AA329">
        <v>0</v>
      </c>
      <c r="AB329">
        <v>0</v>
      </c>
      <c r="AC329">
        <v>1.58</v>
      </c>
      <c r="AD329">
        <v>0.6</v>
      </c>
      <c r="AE329">
        <v>0</v>
      </c>
      <c r="AF329">
        <v>0</v>
      </c>
      <c r="AG329">
        <v>1</v>
      </c>
      <c r="AH329">
        <v>1</v>
      </c>
      <c r="AI329">
        <v>2</v>
      </c>
      <c r="AJ329">
        <v>2023</v>
      </c>
      <c r="AK329">
        <v>1</v>
      </c>
      <c r="AL329">
        <v>0</v>
      </c>
      <c r="AM329">
        <v>0</v>
      </c>
      <c r="AN329">
        <v>0</v>
      </c>
    </row>
    <row r="330" spans="1:40" x14ac:dyDescent="0.25">
      <c r="A330">
        <v>329</v>
      </c>
      <c r="B330" t="s">
        <v>1347</v>
      </c>
      <c r="C330" t="s">
        <v>1348</v>
      </c>
      <c r="D330" t="s">
        <v>1349</v>
      </c>
      <c r="E330" t="s">
        <v>1350</v>
      </c>
      <c r="F330" t="s">
        <v>539</v>
      </c>
      <c r="G330">
        <v>2</v>
      </c>
      <c r="H330">
        <v>2</v>
      </c>
      <c r="I330">
        <v>748</v>
      </c>
      <c r="J330">
        <v>0</v>
      </c>
      <c r="K330">
        <v>1</v>
      </c>
      <c r="L330">
        <v>4137.8999999999996</v>
      </c>
      <c r="M330">
        <v>3602.1</v>
      </c>
      <c r="N330">
        <v>2974.2</v>
      </c>
      <c r="O330">
        <v>650.79999999999995</v>
      </c>
      <c r="P330">
        <v>4456.2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2.2200000000000002</v>
      </c>
      <c r="W330">
        <v>3.5</v>
      </c>
      <c r="X330">
        <v>2.2200000000000002</v>
      </c>
      <c r="Y330">
        <v>0</v>
      </c>
      <c r="Z330">
        <v>0</v>
      </c>
      <c r="AA330">
        <v>0</v>
      </c>
      <c r="AB330">
        <v>0</v>
      </c>
      <c r="AC330">
        <v>2.2200000000000002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1</v>
      </c>
      <c r="AJ330">
        <v>2023</v>
      </c>
      <c r="AK330">
        <v>1</v>
      </c>
      <c r="AL330">
        <v>0</v>
      </c>
      <c r="AM330">
        <v>0</v>
      </c>
      <c r="AN330">
        <v>0</v>
      </c>
    </row>
    <row r="331" spans="1:40" x14ac:dyDescent="0.25">
      <c r="A331">
        <v>330</v>
      </c>
      <c r="B331" t="s">
        <v>1351</v>
      </c>
      <c r="C331" t="s">
        <v>1352</v>
      </c>
      <c r="D331" t="s">
        <v>1353</v>
      </c>
      <c r="E331" t="s">
        <v>109</v>
      </c>
      <c r="F331" t="s">
        <v>100</v>
      </c>
      <c r="G331">
        <v>2</v>
      </c>
      <c r="H331">
        <v>1</v>
      </c>
      <c r="I331">
        <v>2315</v>
      </c>
      <c r="J331">
        <v>0</v>
      </c>
      <c r="K331">
        <v>1</v>
      </c>
      <c r="L331">
        <v>956.5</v>
      </c>
      <c r="M331">
        <v>1106.5999999999999</v>
      </c>
      <c r="N331">
        <v>1294.7</v>
      </c>
      <c r="O331">
        <v>208.7</v>
      </c>
      <c r="P331">
        <v>1274.8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0.14000000000000001</v>
      </c>
      <c r="W331">
        <v>3</v>
      </c>
      <c r="X331">
        <v>0.14000000000000001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0.14000000000000001</v>
      </c>
      <c r="AE331">
        <v>0</v>
      </c>
      <c r="AF331">
        <v>0</v>
      </c>
      <c r="AG331">
        <v>1</v>
      </c>
      <c r="AH331">
        <v>0</v>
      </c>
      <c r="AI331">
        <v>0</v>
      </c>
      <c r="AL331">
        <v>0</v>
      </c>
      <c r="AM331">
        <v>0</v>
      </c>
      <c r="AN331">
        <v>0</v>
      </c>
    </row>
    <row r="332" spans="1:40" x14ac:dyDescent="0.25">
      <c r="A332">
        <v>331</v>
      </c>
      <c r="B332" t="s">
        <v>1354</v>
      </c>
      <c r="C332" t="s">
        <v>1355</v>
      </c>
      <c r="D332" t="s">
        <v>1356</v>
      </c>
      <c r="E332" t="s">
        <v>954</v>
      </c>
      <c r="F332" t="s">
        <v>100</v>
      </c>
      <c r="G332">
        <v>2</v>
      </c>
      <c r="H332">
        <v>1</v>
      </c>
      <c r="I332">
        <v>1206</v>
      </c>
      <c r="J332">
        <v>0</v>
      </c>
      <c r="K332">
        <v>1</v>
      </c>
      <c r="L332">
        <v>2446.5</v>
      </c>
      <c r="M332">
        <v>2596.6</v>
      </c>
      <c r="N332">
        <v>2421</v>
      </c>
      <c r="O332">
        <v>891</v>
      </c>
      <c r="P332">
        <v>2301.6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</v>
      </c>
      <c r="W332">
        <v>3</v>
      </c>
      <c r="X332">
        <v>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</v>
      </c>
      <c r="AE332">
        <v>0</v>
      </c>
      <c r="AF332">
        <v>0</v>
      </c>
      <c r="AG332">
        <v>1</v>
      </c>
      <c r="AH332">
        <v>0</v>
      </c>
      <c r="AI332">
        <v>0</v>
      </c>
      <c r="AL332">
        <v>0</v>
      </c>
      <c r="AM332">
        <v>0</v>
      </c>
      <c r="AN332">
        <v>0</v>
      </c>
    </row>
    <row r="333" spans="1:40" x14ac:dyDescent="0.25">
      <c r="A333">
        <v>332</v>
      </c>
      <c r="B333" t="s">
        <v>1357</v>
      </c>
      <c r="C333" t="s">
        <v>1358</v>
      </c>
      <c r="D333" t="s">
        <v>1359</v>
      </c>
      <c r="E333" t="s">
        <v>1360</v>
      </c>
      <c r="F333" t="s">
        <v>213</v>
      </c>
      <c r="G333">
        <v>2</v>
      </c>
      <c r="H333">
        <v>2</v>
      </c>
      <c r="I333">
        <v>1157</v>
      </c>
      <c r="J333">
        <v>0</v>
      </c>
      <c r="K333">
        <v>1</v>
      </c>
      <c r="L333">
        <v>2488.8000000000002</v>
      </c>
      <c r="M333">
        <v>269.39999999999998</v>
      </c>
      <c r="N333">
        <v>5545.2</v>
      </c>
      <c r="O333">
        <v>277</v>
      </c>
      <c r="P333">
        <v>3682.3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0.37</v>
      </c>
      <c r="W333">
        <v>3</v>
      </c>
      <c r="X333">
        <v>0.37</v>
      </c>
      <c r="Y333">
        <v>0</v>
      </c>
      <c r="Z333">
        <v>0</v>
      </c>
      <c r="AA333">
        <v>0</v>
      </c>
      <c r="AB333">
        <v>0</v>
      </c>
      <c r="AC333">
        <v>0.37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L333">
        <v>0</v>
      </c>
      <c r="AM333">
        <v>0</v>
      </c>
      <c r="AN333">
        <v>0</v>
      </c>
    </row>
    <row r="334" spans="1:40" x14ac:dyDescent="0.25">
      <c r="A334">
        <v>333</v>
      </c>
      <c r="B334" t="s">
        <v>1361</v>
      </c>
      <c r="C334" t="s">
        <v>1362</v>
      </c>
      <c r="D334" t="s">
        <v>1363</v>
      </c>
      <c r="E334" t="s">
        <v>1364</v>
      </c>
      <c r="F334" t="s">
        <v>100</v>
      </c>
      <c r="G334">
        <v>1</v>
      </c>
      <c r="H334">
        <v>1</v>
      </c>
      <c r="I334">
        <v>1850</v>
      </c>
      <c r="J334">
        <v>0</v>
      </c>
      <c r="K334">
        <v>0</v>
      </c>
      <c r="L334">
        <v>1416.8</v>
      </c>
      <c r="M334">
        <v>742.1</v>
      </c>
      <c r="N334">
        <v>2709.9</v>
      </c>
      <c r="O334">
        <v>611.79999999999995</v>
      </c>
      <c r="P334">
        <v>1735.1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0.84</v>
      </c>
      <c r="W334">
        <v>3</v>
      </c>
      <c r="X334">
        <v>0.84</v>
      </c>
      <c r="Y334">
        <v>0</v>
      </c>
      <c r="Z334">
        <v>0</v>
      </c>
      <c r="AA334">
        <v>0</v>
      </c>
      <c r="AB334">
        <v>0</v>
      </c>
      <c r="AC334">
        <v>0.84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2023</v>
      </c>
      <c r="AK334">
        <v>1</v>
      </c>
      <c r="AL334">
        <v>0</v>
      </c>
      <c r="AM334">
        <v>0</v>
      </c>
      <c r="AN334">
        <v>0</v>
      </c>
    </row>
    <row r="335" spans="1:40" x14ac:dyDescent="0.25">
      <c r="A335">
        <v>334</v>
      </c>
      <c r="B335" t="s">
        <v>1365</v>
      </c>
      <c r="C335" t="s">
        <v>1366</v>
      </c>
      <c r="D335" t="s">
        <v>1367</v>
      </c>
      <c r="E335" t="s">
        <v>586</v>
      </c>
      <c r="F335" t="s">
        <v>176</v>
      </c>
      <c r="G335">
        <v>1</v>
      </c>
      <c r="H335">
        <v>1</v>
      </c>
      <c r="I335">
        <v>837</v>
      </c>
      <c r="J335">
        <v>0</v>
      </c>
      <c r="K335">
        <v>0</v>
      </c>
      <c r="L335">
        <v>1852.1</v>
      </c>
      <c r="M335">
        <v>2002.2</v>
      </c>
      <c r="N335">
        <v>1298.2</v>
      </c>
      <c r="O335">
        <v>1020.5</v>
      </c>
      <c r="P335">
        <v>2170.4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0.41</v>
      </c>
      <c r="W335">
        <v>3</v>
      </c>
      <c r="X335">
        <v>0.41</v>
      </c>
      <c r="Y335">
        <v>0</v>
      </c>
      <c r="Z335">
        <v>0</v>
      </c>
      <c r="AA335">
        <v>0</v>
      </c>
      <c r="AB335">
        <v>0</v>
      </c>
      <c r="AC335">
        <v>0.41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2023</v>
      </c>
      <c r="AK335">
        <v>1</v>
      </c>
      <c r="AL335">
        <v>0</v>
      </c>
      <c r="AM335">
        <v>0</v>
      </c>
      <c r="AN335">
        <v>0</v>
      </c>
    </row>
    <row r="336" spans="1:40" x14ac:dyDescent="0.25">
      <c r="A336">
        <v>335</v>
      </c>
      <c r="B336" t="s">
        <v>1368</v>
      </c>
      <c r="C336" t="s">
        <v>1369</v>
      </c>
      <c r="D336" t="s">
        <v>1370</v>
      </c>
      <c r="E336" t="s">
        <v>586</v>
      </c>
      <c r="F336" t="s">
        <v>176</v>
      </c>
      <c r="G336">
        <v>1</v>
      </c>
      <c r="H336">
        <v>1</v>
      </c>
      <c r="I336">
        <v>837</v>
      </c>
      <c r="J336">
        <v>0</v>
      </c>
      <c r="K336">
        <v>0</v>
      </c>
      <c r="L336">
        <v>2644.2</v>
      </c>
      <c r="M336">
        <v>2794.3</v>
      </c>
      <c r="N336">
        <v>1500.9</v>
      </c>
      <c r="O336">
        <v>632.20000000000005</v>
      </c>
      <c r="P336">
        <v>2962.6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0.52</v>
      </c>
      <c r="W336">
        <v>3</v>
      </c>
      <c r="X336">
        <v>0.52</v>
      </c>
      <c r="Y336">
        <v>0</v>
      </c>
      <c r="Z336">
        <v>0</v>
      </c>
      <c r="AA336">
        <v>0</v>
      </c>
      <c r="AB336">
        <v>0</v>
      </c>
      <c r="AC336">
        <v>0.52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L336">
        <v>0</v>
      </c>
      <c r="AM336">
        <v>0</v>
      </c>
      <c r="AN336">
        <v>0</v>
      </c>
    </row>
    <row r="337" spans="1:40" x14ac:dyDescent="0.25">
      <c r="A337">
        <v>336</v>
      </c>
      <c r="B337" t="s">
        <v>1371</v>
      </c>
      <c r="C337" t="s">
        <v>1372</v>
      </c>
      <c r="D337" t="s">
        <v>1373</v>
      </c>
      <c r="E337" t="s">
        <v>1374</v>
      </c>
      <c r="F337" t="s">
        <v>489</v>
      </c>
      <c r="G337">
        <v>3</v>
      </c>
      <c r="H337">
        <v>2</v>
      </c>
      <c r="I337">
        <v>2443</v>
      </c>
      <c r="J337">
        <v>0</v>
      </c>
      <c r="K337">
        <v>0</v>
      </c>
      <c r="L337">
        <v>1790.1</v>
      </c>
      <c r="M337">
        <v>1940.2</v>
      </c>
      <c r="N337">
        <v>907.7</v>
      </c>
      <c r="O337">
        <v>882.7</v>
      </c>
      <c r="P337">
        <v>1835.2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0.86</v>
      </c>
      <c r="W337">
        <v>3</v>
      </c>
      <c r="X337">
        <v>0.56000000000000005</v>
      </c>
      <c r="Y337">
        <v>0</v>
      </c>
      <c r="Z337">
        <v>0</v>
      </c>
      <c r="AA337">
        <v>0.3</v>
      </c>
      <c r="AB337">
        <v>0</v>
      </c>
      <c r="AC337">
        <v>0</v>
      </c>
      <c r="AD337">
        <v>0.3</v>
      </c>
      <c r="AE337">
        <v>0</v>
      </c>
      <c r="AF337">
        <v>0.56000000000000005</v>
      </c>
      <c r="AG337">
        <v>0.34883720930232548</v>
      </c>
      <c r="AH337">
        <v>0</v>
      </c>
      <c r="AI337">
        <v>0</v>
      </c>
      <c r="AL337">
        <v>1</v>
      </c>
      <c r="AM337">
        <v>0</v>
      </c>
      <c r="AN337">
        <v>1</v>
      </c>
    </row>
    <row r="338" spans="1:40" x14ac:dyDescent="0.25">
      <c r="A338">
        <v>337</v>
      </c>
      <c r="B338" t="s">
        <v>1375</v>
      </c>
      <c r="C338" t="s">
        <v>1376</v>
      </c>
      <c r="D338" t="s">
        <v>1377</v>
      </c>
      <c r="E338" t="s">
        <v>567</v>
      </c>
      <c r="F338" t="s">
        <v>489</v>
      </c>
      <c r="G338">
        <v>2</v>
      </c>
      <c r="H338">
        <v>2</v>
      </c>
      <c r="I338">
        <v>1775</v>
      </c>
      <c r="J338">
        <v>0</v>
      </c>
      <c r="K338">
        <v>0</v>
      </c>
      <c r="L338">
        <v>1222.3</v>
      </c>
      <c r="M338">
        <v>1372.3</v>
      </c>
      <c r="N338">
        <v>1028.9000000000001</v>
      </c>
      <c r="O338">
        <v>390.6</v>
      </c>
      <c r="P338">
        <v>1540.6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0.91</v>
      </c>
      <c r="W338">
        <v>3.5</v>
      </c>
      <c r="X338">
        <v>0.91</v>
      </c>
      <c r="Y338">
        <v>0</v>
      </c>
      <c r="Z338">
        <v>0</v>
      </c>
      <c r="AA338">
        <v>0</v>
      </c>
      <c r="AB338">
        <v>0</v>
      </c>
      <c r="AC338">
        <v>0.2</v>
      </c>
      <c r="AD338">
        <v>0.71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2023</v>
      </c>
      <c r="AK338">
        <v>1</v>
      </c>
      <c r="AL338">
        <v>0</v>
      </c>
      <c r="AM338">
        <v>0</v>
      </c>
      <c r="AN338">
        <v>0</v>
      </c>
    </row>
    <row r="339" spans="1:40" x14ac:dyDescent="0.25">
      <c r="A339">
        <v>338</v>
      </c>
      <c r="B339" t="s">
        <v>1378</v>
      </c>
      <c r="C339" t="s">
        <v>1379</v>
      </c>
      <c r="D339" t="s">
        <v>1380</v>
      </c>
      <c r="E339" t="s">
        <v>880</v>
      </c>
      <c r="F339" t="s">
        <v>176</v>
      </c>
      <c r="G339">
        <v>1</v>
      </c>
      <c r="H339">
        <v>1</v>
      </c>
      <c r="I339">
        <v>588</v>
      </c>
      <c r="J339">
        <v>0</v>
      </c>
      <c r="K339">
        <v>0</v>
      </c>
      <c r="L339">
        <v>5679.4</v>
      </c>
      <c r="M339">
        <v>2870.1</v>
      </c>
      <c r="N339">
        <v>7259.7</v>
      </c>
      <c r="O339">
        <v>3159.3</v>
      </c>
      <c r="P339">
        <v>8931.6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0.85</v>
      </c>
      <c r="W339">
        <v>6</v>
      </c>
      <c r="X339">
        <v>0.85</v>
      </c>
      <c r="Y339">
        <v>0</v>
      </c>
      <c r="Z339">
        <v>0</v>
      </c>
      <c r="AA339">
        <v>0</v>
      </c>
      <c r="AB339">
        <v>0</v>
      </c>
      <c r="AC339">
        <v>0.85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L339">
        <v>0</v>
      </c>
      <c r="AM339">
        <v>0</v>
      </c>
      <c r="AN339">
        <v>0</v>
      </c>
    </row>
    <row r="340" spans="1:40" x14ac:dyDescent="0.2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t="s">
        <v>315</v>
      </c>
      <c r="G340">
        <v>1</v>
      </c>
      <c r="H340">
        <v>1</v>
      </c>
      <c r="I340">
        <v>1738</v>
      </c>
      <c r="J340">
        <v>0</v>
      </c>
      <c r="K340">
        <v>0</v>
      </c>
      <c r="L340">
        <v>3270.7</v>
      </c>
      <c r="M340">
        <v>280.5</v>
      </c>
      <c r="N340">
        <v>4489.5</v>
      </c>
      <c r="O340">
        <v>131.9</v>
      </c>
      <c r="P340">
        <v>31102.7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0.48</v>
      </c>
      <c r="W340">
        <v>3</v>
      </c>
      <c r="X340">
        <v>0</v>
      </c>
      <c r="Y340">
        <v>0</v>
      </c>
      <c r="Z340">
        <v>0</v>
      </c>
      <c r="AA340">
        <v>0.48</v>
      </c>
      <c r="AB340">
        <v>0</v>
      </c>
      <c r="AC340">
        <v>0</v>
      </c>
      <c r="AD340">
        <v>0</v>
      </c>
      <c r="AE340">
        <v>0</v>
      </c>
      <c r="AF340">
        <v>0.48</v>
      </c>
      <c r="AG340">
        <v>0</v>
      </c>
      <c r="AH340">
        <v>1</v>
      </c>
      <c r="AI340">
        <v>1</v>
      </c>
      <c r="AJ340">
        <v>2023</v>
      </c>
      <c r="AK340">
        <v>1</v>
      </c>
      <c r="AL340">
        <v>0</v>
      </c>
      <c r="AM340">
        <v>0</v>
      </c>
      <c r="AN340">
        <v>0</v>
      </c>
    </row>
    <row r="341" spans="1:40" x14ac:dyDescent="0.25">
      <c r="A341">
        <v>340</v>
      </c>
      <c r="B341" t="s">
        <v>1385</v>
      </c>
      <c r="C341" t="s">
        <v>1386</v>
      </c>
      <c r="D341" t="s">
        <v>1387</v>
      </c>
      <c r="E341" t="s">
        <v>1388</v>
      </c>
      <c r="F341" t="s">
        <v>315</v>
      </c>
      <c r="G341">
        <v>6</v>
      </c>
      <c r="H341">
        <v>1</v>
      </c>
      <c r="I341">
        <v>5088</v>
      </c>
      <c r="J341">
        <v>0</v>
      </c>
      <c r="K341">
        <v>0</v>
      </c>
      <c r="L341">
        <v>2798.2</v>
      </c>
      <c r="M341">
        <v>1629.9</v>
      </c>
      <c r="N341">
        <v>4017.1</v>
      </c>
      <c r="O341">
        <v>627.70000000000005</v>
      </c>
      <c r="P341">
        <v>30630.2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</v>
      </c>
      <c r="W341">
        <v>3.5</v>
      </c>
      <c r="X341">
        <v>5</v>
      </c>
      <c r="Y341">
        <v>0</v>
      </c>
      <c r="Z341">
        <v>0</v>
      </c>
      <c r="AA341">
        <v>0</v>
      </c>
      <c r="AB341">
        <v>0</v>
      </c>
      <c r="AC341">
        <v>5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2</v>
      </c>
      <c r="AJ341">
        <v>2023</v>
      </c>
      <c r="AK341">
        <v>1</v>
      </c>
      <c r="AL341">
        <v>0</v>
      </c>
      <c r="AM341">
        <v>0</v>
      </c>
      <c r="AN341">
        <v>0</v>
      </c>
    </row>
    <row r="342" spans="1:40" x14ac:dyDescent="0.25">
      <c r="A342">
        <v>341</v>
      </c>
      <c r="B342" t="s">
        <v>1389</v>
      </c>
      <c r="C342" t="s">
        <v>1390</v>
      </c>
      <c r="D342" t="s">
        <v>1391</v>
      </c>
      <c r="E342" t="s">
        <v>1392</v>
      </c>
      <c r="F342" t="s">
        <v>105</v>
      </c>
      <c r="G342">
        <v>2</v>
      </c>
      <c r="H342">
        <v>1</v>
      </c>
      <c r="I342">
        <v>1117</v>
      </c>
      <c r="J342">
        <v>0</v>
      </c>
      <c r="K342">
        <v>1</v>
      </c>
      <c r="L342">
        <v>3754.5</v>
      </c>
      <c r="M342">
        <v>1012.8</v>
      </c>
      <c r="N342">
        <v>5054.6000000000004</v>
      </c>
      <c r="O342">
        <v>744</v>
      </c>
      <c r="P342">
        <v>4992.7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1.24</v>
      </c>
      <c r="W342">
        <v>3</v>
      </c>
      <c r="X342">
        <v>1.24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0.64</v>
      </c>
      <c r="AE342">
        <v>0.6</v>
      </c>
      <c r="AF342">
        <v>0</v>
      </c>
      <c r="AG342">
        <v>0.5161290322580645</v>
      </c>
      <c r="AH342">
        <v>1</v>
      </c>
      <c r="AI342">
        <v>1</v>
      </c>
      <c r="AJ342">
        <v>2022</v>
      </c>
      <c r="AK342">
        <v>2</v>
      </c>
      <c r="AL342">
        <v>0</v>
      </c>
      <c r="AM342">
        <v>0</v>
      </c>
      <c r="AN342">
        <v>0</v>
      </c>
    </row>
    <row r="343" spans="1:40" x14ac:dyDescent="0.25">
      <c r="A343">
        <v>342</v>
      </c>
      <c r="B343" t="s">
        <v>1393</v>
      </c>
      <c r="C343" t="s">
        <v>1394</v>
      </c>
      <c r="D343" t="s">
        <v>1395</v>
      </c>
      <c r="E343" t="s">
        <v>575</v>
      </c>
      <c r="F343" t="s">
        <v>310</v>
      </c>
      <c r="G343">
        <v>1</v>
      </c>
      <c r="H343">
        <v>1</v>
      </c>
      <c r="I343">
        <v>266</v>
      </c>
      <c r="J343">
        <v>0</v>
      </c>
      <c r="K343">
        <v>0</v>
      </c>
      <c r="L343">
        <v>36897.300000000003</v>
      </c>
      <c r="M343">
        <v>15843.2</v>
      </c>
      <c r="N343">
        <v>39107.699999999997</v>
      </c>
      <c r="O343">
        <v>2656.7</v>
      </c>
      <c r="P343">
        <v>39010.1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3.56</v>
      </c>
      <c r="W343">
        <v>1.5</v>
      </c>
      <c r="X343">
        <v>0</v>
      </c>
      <c r="Y343">
        <v>0</v>
      </c>
      <c r="Z343">
        <v>3.56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3.56</v>
      </c>
      <c r="AG343">
        <v>0</v>
      </c>
      <c r="AH343">
        <v>0</v>
      </c>
      <c r="AI343">
        <v>0</v>
      </c>
      <c r="AL343">
        <v>0</v>
      </c>
      <c r="AM343">
        <v>0</v>
      </c>
      <c r="AN343">
        <v>0</v>
      </c>
    </row>
    <row r="344" spans="1:40" x14ac:dyDescent="0.25">
      <c r="A344">
        <v>343</v>
      </c>
      <c r="B344" t="s">
        <v>1396</v>
      </c>
      <c r="C344" t="s">
        <v>1397</v>
      </c>
      <c r="D344" t="s">
        <v>1398</v>
      </c>
      <c r="E344" t="s">
        <v>575</v>
      </c>
      <c r="F344" t="s">
        <v>310</v>
      </c>
      <c r="G344">
        <v>1</v>
      </c>
      <c r="H344">
        <v>1</v>
      </c>
      <c r="I344">
        <v>266</v>
      </c>
      <c r="J344">
        <v>0</v>
      </c>
      <c r="K344">
        <v>0</v>
      </c>
      <c r="L344">
        <v>35953.1</v>
      </c>
      <c r="M344">
        <v>14899</v>
      </c>
      <c r="N344">
        <v>38163.5</v>
      </c>
      <c r="O344">
        <v>1712.5</v>
      </c>
      <c r="P344">
        <v>38065.9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1.75</v>
      </c>
      <c r="W344">
        <v>2</v>
      </c>
      <c r="X344">
        <v>0</v>
      </c>
      <c r="Y344">
        <v>0</v>
      </c>
      <c r="Z344">
        <v>1.75</v>
      </c>
      <c r="AA344">
        <v>0</v>
      </c>
      <c r="AB344">
        <v>0</v>
      </c>
      <c r="AC344">
        <v>0.2</v>
      </c>
      <c r="AD344">
        <v>1.55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2023</v>
      </c>
      <c r="AK344">
        <v>1</v>
      </c>
      <c r="AL344">
        <v>0</v>
      </c>
      <c r="AM344">
        <v>0</v>
      </c>
      <c r="AN344">
        <v>0</v>
      </c>
    </row>
    <row r="345" spans="1:40" x14ac:dyDescent="0.25">
      <c r="A345">
        <v>344</v>
      </c>
      <c r="B345" t="s">
        <v>1399</v>
      </c>
      <c r="C345" t="s">
        <v>1400</v>
      </c>
      <c r="D345" t="s">
        <v>1401</v>
      </c>
      <c r="E345" t="s">
        <v>745</v>
      </c>
      <c r="F345" t="s">
        <v>105</v>
      </c>
      <c r="G345">
        <v>2</v>
      </c>
      <c r="H345">
        <v>1</v>
      </c>
      <c r="I345">
        <v>1333</v>
      </c>
      <c r="J345">
        <v>0</v>
      </c>
      <c r="K345">
        <v>0</v>
      </c>
      <c r="L345">
        <v>5253.7</v>
      </c>
      <c r="M345">
        <v>3395</v>
      </c>
      <c r="N345">
        <v>7436.8</v>
      </c>
      <c r="O345">
        <v>247.2</v>
      </c>
      <c r="P345">
        <v>7601.5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3.91</v>
      </c>
      <c r="W345">
        <v>3.5</v>
      </c>
      <c r="X345">
        <v>3.91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</v>
      </c>
      <c r="AE345">
        <v>1</v>
      </c>
      <c r="AF345">
        <v>1.31</v>
      </c>
      <c r="AG345">
        <v>0.40920716112531969</v>
      </c>
      <c r="AH345">
        <v>0</v>
      </c>
      <c r="AI345">
        <v>0</v>
      </c>
      <c r="AL345">
        <v>0</v>
      </c>
      <c r="AM345">
        <v>0</v>
      </c>
      <c r="AN345">
        <v>0</v>
      </c>
    </row>
    <row r="346" spans="1:40" x14ac:dyDescent="0.25">
      <c r="A346">
        <v>345</v>
      </c>
      <c r="B346" t="s">
        <v>1402</v>
      </c>
      <c r="C346" t="s">
        <v>1403</v>
      </c>
      <c r="D346" t="s">
        <v>1404</v>
      </c>
      <c r="E346" t="s">
        <v>1405</v>
      </c>
      <c r="F346" t="s">
        <v>132</v>
      </c>
      <c r="G346">
        <v>1</v>
      </c>
      <c r="H346">
        <v>1</v>
      </c>
      <c r="I346">
        <v>371</v>
      </c>
      <c r="J346">
        <v>0</v>
      </c>
      <c r="K346">
        <v>0</v>
      </c>
      <c r="L346">
        <v>22468.799999999999</v>
      </c>
      <c r="M346">
        <v>18426.099999999999</v>
      </c>
      <c r="N346">
        <v>24679.200000000001</v>
      </c>
      <c r="O346">
        <v>755</v>
      </c>
      <c r="P346">
        <v>24581.599999999999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0.56000000000000005</v>
      </c>
      <c r="W346">
        <v>3.5</v>
      </c>
      <c r="X346">
        <v>0.56000000000000005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0.56000000000000005</v>
      </c>
      <c r="AE346">
        <v>0</v>
      </c>
      <c r="AF346">
        <v>0</v>
      </c>
      <c r="AG346">
        <v>1</v>
      </c>
      <c r="AH346">
        <v>0</v>
      </c>
      <c r="AI346">
        <v>0</v>
      </c>
      <c r="AL346">
        <v>0</v>
      </c>
      <c r="AM346">
        <v>0</v>
      </c>
      <c r="AN346">
        <v>0</v>
      </c>
    </row>
    <row r="347" spans="1:40" x14ac:dyDescent="0.25">
      <c r="A347">
        <v>346</v>
      </c>
      <c r="B347" t="s">
        <v>1406</v>
      </c>
      <c r="C347" t="s">
        <v>1407</v>
      </c>
      <c r="D347" t="s">
        <v>1408</v>
      </c>
      <c r="E347" t="s">
        <v>194</v>
      </c>
      <c r="F347" t="s">
        <v>100</v>
      </c>
      <c r="G347">
        <v>1</v>
      </c>
      <c r="H347">
        <v>1</v>
      </c>
      <c r="I347">
        <v>1874</v>
      </c>
      <c r="J347">
        <v>0</v>
      </c>
      <c r="K347">
        <v>1</v>
      </c>
      <c r="L347">
        <v>705.7</v>
      </c>
      <c r="M347">
        <v>1202.3</v>
      </c>
      <c r="N347">
        <v>2250.3000000000002</v>
      </c>
      <c r="O347">
        <v>328.4</v>
      </c>
      <c r="P347">
        <v>387.4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0.12</v>
      </c>
      <c r="W347">
        <v>6</v>
      </c>
      <c r="X347">
        <v>0.12</v>
      </c>
      <c r="Y347">
        <v>0</v>
      </c>
      <c r="Z347">
        <v>0</v>
      </c>
      <c r="AA347">
        <v>0</v>
      </c>
      <c r="AB347">
        <v>0</v>
      </c>
      <c r="AC347">
        <v>0.12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L347">
        <v>0</v>
      </c>
      <c r="AM347">
        <v>0</v>
      </c>
      <c r="AN347">
        <v>0</v>
      </c>
    </row>
    <row r="348" spans="1:40" x14ac:dyDescent="0.25">
      <c r="A348">
        <v>347</v>
      </c>
      <c r="B348" t="s">
        <v>1409</v>
      </c>
      <c r="C348" t="s">
        <v>1410</v>
      </c>
      <c r="D348" t="s">
        <v>1411</v>
      </c>
      <c r="E348" t="s">
        <v>1412</v>
      </c>
      <c r="F348" t="s">
        <v>105</v>
      </c>
      <c r="G348">
        <v>2</v>
      </c>
      <c r="H348">
        <v>1</v>
      </c>
      <c r="I348">
        <v>1171</v>
      </c>
      <c r="J348">
        <v>0</v>
      </c>
      <c r="K348">
        <v>1</v>
      </c>
      <c r="L348">
        <v>1485.7</v>
      </c>
      <c r="M348">
        <v>2749</v>
      </c>
      <c r="N348">
        <v>7203.5</v>
      </c>
      <c r="O348">
        <v>1357.6</v>
      </c>
      <c r="P348">
        <v>7368.2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2.93</v>
      </c>
      <c r="W348">
        <v>3</v>
      </c>
      <c r="X348">
        <v>2.93</v>
      </c>
      <c r="Y348">
        <v>0</v>
      </c>
      <c r="Z348">
        <v>0</v>
      </c>
      <c r="AA348">
        <v>0</v>
      </c>
      <c r="AB348">
        <v>0</v>
      </c>
      <c r="AC348">
        <v>1.2</v>
      </c>
      <c r="AD348">
        <v>0</v>
      </c>
      <c r="AE348">
        <v>1.73</v>
      </c>
      <c r="AF348">
        <v>0</v>
      </c>
      <c r="AG348">
        <v>0.4095563139931741</v>
      </c>
      <c r="AH348">
        <v>0</v>
      </c>
      <c r="AI348">
        <v>0</v>
      </c>
      <c r="AL348">
        <v>0</v>
      </c>
      <c r="AM348">
        <v>0</v>
      </c>
      <c r="AN348">
        <v>0</v>
      </c>
    </row>
    <row r="349" spans="1:40" x14ac:dyDescent="0.25">
      <c r="A349">
        <v>348</v>
      </c>
      <c r="B349" t="s">
        <v>1413</v>
      </c>
      <c r="C349" t="s">
        <v>1414</v>
      </c>
      <c r="D349" t="s">
        <v>1415</v>
      </c>
      <c r="E349" t="s">
        <v>1416</v>
      </c>
      <c r="F349" t="s">
        <v>503</v>
      </c>
      <c r="G349">
        <v>2</v>
      </c>
      <c r="H349">
        <v>2</v>
      </c>
      <c r="I349">
        <v>1110</v>
      </c>
      <c r="J349">
        <v>0</v>
      </c>
      <c r="K349">
        <v>1</v>
      </c>
      <c r="L349">
        <v>1619.3</v>
      </c>
      <c r="M349">
        <v>2456.8000000000002</v>
      </c>
      <c r="N349">
        <v>5860.5</v>
      </c>
      <c r="O349">
        <v>1289.8</v>
      </c>
      <c r="P349">
        <v>7361.8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3.13</v>
      </c>
      <c r="W349">
        <v>3</v>
      </c>
      <c r="X349">
        <v>3.13</v>
      </c>
      <c r="Y349">
        <v>0</v>
      </c>
      <c r="Z349">
        <v>0</v>
      </c>
      <c r="AA349">
        <v>0</v>
      </c>
      <c r="AB349">
        <v>0</v>
      </c>
      <c r="AC349">
        <v>3.13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3</v>
      </c>
      <c r="AJ349">
        <v>2023</v>
      </c>
      <c r="AK349">
        <v>1</v>
      </c>
      <c r="AL349">
        <v>0</v>
      </c>
      <c r="AM349">
        <v>0</v>
      </c>
      <c r="AN349">
        <v>0</v>
      </c>
    </row>
    <row r="350" spans="1:40" x14ac:dyDescent="0.25">
      <c r="A350">
        <v>349</v>
      </c>
      <c r="B350" t="s">
        <v>1417</v>
      </c>
      <c r="C350" t="s">
        <v>1418</v>
      </c>
      <c r="D350" t="s">
        <v>1419</v>
      </c>
      <c r="E350" t="s">
        <v>1420</v>
      </c>
      <c r="F350" t="s">
        <v>105</v>
      </c>
      <c r="G350">
        <v>6</v>
      </c>
      <c r="H350">
        <v>1</v>
      </c>
      <c r="I350">
        <v>2885</v>
      </c>
      <c r="J350">
        <v>0</v>
      </c>
      <c r="K350">
        <v>1</v>
      </c>
      <c r="L350">
        <v>3325.3</v>
      </c>
      <c r="M350">
        <v>3394.2</v>
      </c>
      <c r="N350">
        <v>7436</v>
      </c>
      <c r="O350">
        <v>146.6</v>
      </c>
      <c r="P350">
        <v>7600.7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6.36</v>
      </c>
      <c r="W350">
        <v>3.5</v>
      </c>
      <c r="X350">
        <v>6.36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6.36</v>
      </c>
      <c r="AF350">
        <v>0</v>
      </c>
      <c r="AG350">
        <v>0</v>
      </c>
      <c r="AH350">
        <v>1</v>
      </c>
      <c r="AI350">
        <v>1</v>
      </c>
      <c r="AJ350">
        <v>2023</v>
      </c>
      <c r="AK350">
        <v>1</v>
      </c>
      <c r="AL350">
        <v>0</v>
      </c>
      <c r="AM350">
        <v>0</v>
      </c>
      <c r="AN350">
        <v>0</v>
      </c>
    </row>
    <row r="351" spans="1:40" x14ac:dyDescent="0.25">
      <c r="A351">
        <v>350</v>
      </c>
      <c r="B351" t="s">
        <v>1421</v>
      </c>
      <c r="C351" t="s">
        <v>1422</v>
      </c>
      <c r="D351" t="s">
        <v>1423</v>
      </c>
      <c r="E351" t="s">
        <v>1424</v>
      </c>
      <c r="F351" t="s">
        <v>503</v>
      </c>
      <c r="G351">
        <v>3</v>
      </c>
      <c r="H351">
        <v>2</v>
      </c>
      <c r="I351">
        <v>1628</v>
      </c>
      <c r="J351">
        <v>0</v>
      </c>
      <c r="K351">
        <v>1</v>
      </c>
      <c r="L351">
        <v>2782.1</v>
      </c>
      <c r="M351">
        <v>2691.8</v>
      </c>
      <c r="N351">
        <v>3352.4</v>
      </c>
      <c r="O351">
        <v>744.2</v>
      </c>
      <c r="P351">
        <v>4751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3.35</v>
      </c>
      <c r="W351">
        <v>3.5</v>
      </c>
      <c r="X351">
        <v>3.35</v>
      </c>
      <c r="Y351">
        <v>0</v>
      </c>
      <c r="Z351">
        <v>0</v>
      </c>
      <c r="AA351">
        <v>0</v>
      </c>
      <c r="AB351">
        <v>0</v>
      </c>
      <c r="AC351">
        <v>1.5</v>
      </c>
      <c r="AD351">
        <v>0.35</v>
      </c>
      <c r="AE351">
        <v>1.5</v>
      </c>
      <c r="AF351">
        <v>0</v>
      </c>
      <c r="AG351">
        <v>0.55223880597014929</v>
      </c>
      <c r="AH351">
        <v>0</v>
      </c>
      <c r="AI351">
        <v>0</v>
      </c>
      <c r="AL351">
        <v>1</v>
      </c>
      <c r="AM351">
        <v>0</v>
      </c>
      <c r="AN3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68DF-A06C-4F22-8CB5-77AD39BBD917}">
  <dimension ref="A1:AN351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79</v>
      </c>
      <c r="AM1" s="1" t="s">
        <v>84</v>
      </c>
      <c r="AN1" s="1" t="s">
        <v>89</v>
      </c>
    </row>
    <row r="2" spans="1:40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>
        <v>1</v>
      </c>
      <c r="H2">
        <v>1</v>
      </c>
      <c r="I2">
        <v>1377</v>
      </c>
      <c r="J2">
        <v>0</v>
      </c>
      <c r="K2">
        <v>0</v>
      </c>
      <c r="L2">
        <v>714.1</v>
      </c>
      <c r="M2">
        <v>954.7</v>
      </c>
      <c r="N2">
        <v>1467.1</v>
      </c>
      <c r="O2">
        <v>166.2</v>
      </c>
      <c r="P2">
        <v>395.8</v>
      </c>
      <c r="Q2">
        <v>0</v>
      </c>
      <c r="R2">
        <v>0</v>
      </c>
      <c r="S2">
        <v>0</v>
      </c>
      <c r="T2">
        <v>0</v>
      </c>
      <c r="U2">
        <v>0</v>
      </c>
      <c r="V2">
        <v>0.24</v>
      </c>
      <c r="W2">
        <v>3.5</v>
      </c>
      <c r="X2">
        <v>0.24</v>
      </c>
      <c r="Y2">
        <v>0</v>
      </c>
      <c r="Z2">
        <v>0</v>
      </c>
      <c r="AA2">
        <v>0</v>
      </c>
      <c r="AB2">
        <v>0</v>
      </c>
      <c r="AC2">
        <v>0.24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2024</v>
      </c>
      <c r="AK2">
        <v>1</v>
      </c>
      <c r="AL2">
        <v>0</v>
      </c>
      <c r="AM2">
        <v>0</v>
      </c>
      <c r="AN2">
        <v>0</v>
      </c>
    </row>
    <row r="3" spans="1:40" x14ac:dyDescent="0.25">
      <c r="A3">
        <v>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>
        <v>2</v>
      </c>
      <c r="H3">
        <v>1</v>
      </c>
      <c r="I3">
        <v>1294</v>
      </c>
      <c r="J3">
        <v>0</v>
      </c>
      <c r="K3">
        <v>1</v>
      </c>
      <c r="L3">
        <v>961.1</v>
      </c>
      <c r="M3">
        <v>2012.5</v>
      </c>
      <c r="N3">
        <v>5681</v>
      </c>
      <c r="O3">
        <v>667.2</v>
      </c>
      <c r="P3">
        <v>6453.8</v>
      </c>
      <c r="Q3">
        <v>0</v>
      </c>
      <c r="R3">
        <v>0</v>
      </c>
      <c r="S3">
        <v>0</v>
      </c>
      <c r="T3">
        <v>0</v>
      </c>
      <c r="U3">
        <v>0</v>
      </c>
      <c r="V3">
        <v>1.06</v>
      </c>
      <c r="W3">
        <v>3</v>
      </c>
      <c r="X3">
        <v>1.06</v>
      </c>
      <c r="Y3">
        <v>0</v>
      </c>
      <c r="Z3">
        <v>0</v>
      </c>
      <c r="AA3">
        <v>0</v>
      </c>
      <c r="AB3">
        <v>0</v>
      </c>
      <c r="AC3">
        <v>1.06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L3">
        <v>0</v>
      </c>
      <c r="AM3">
        <v>0</v>
      </c>
      <c r="AN3">
        <v>0</v>
      </c>
    </row>
    <row r="4" spans="1:40" x14ac:dyDescent="0.25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100</v>
      </c>
      <c r="G4">
        <v>2</v>
      </c>
      <c r="H4">
        <v>1</v>
      </c>
      <c r="I4">
        <v>2315</v>
      </c>
      <c r="J4">
        <v>0</v>
      </c>
      <c r="K4">
        <v>0</v>
      </c>
      <c r="L4">
        <v>1257.5</v>
      </c>
      <c r="M4">
        <v>1407.6</v>
      </c>
      <c r="N4">
        <v>1286.8</v>
      </c>
      <c r="O4">
        <v>425.9</v>
      </c>
      <c r="P4">
        <v>1575.8</v>
      </c>
      <c r="Q4">
        <v>0</v>
      </c>
      <c r="R4">
        <v>0</v>
      </c>
      <c r="S4">
        <v>0</v>
      </c>
      <c r="T4">
        <v>0</v>
      </c>
      <c r="U4">
        <v>0</v>
      </c>
      <c r="V4">
        <v>0.38</v>
      </c>
      <c r="W4">
        <v>3.5</v>
      </c>
      <c r="X4">
        <v>0.38000000000000012</v>
      </c>
      <c r="Y4">
        <v>0</v>
      </c>
      <c r="Z4">
        <v>0</v>
      </c>
      <c r="AA4">
        <v>0</v>
      </c>
      <c r="AB4">
        <v>0</v>
      </c>
      <c r="AC4">
        <v>0.38000000000000012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2024</v>
      </c>
      <c r="AK4">
        <v>1</v>
      </c>
      <c r="AL4">
        <v>0</v>
      </c>
      <c r="AM4">
        <v>0</v>
      </c>
      <c r="AN4">
        <v>0</v>
      </c>
    </row>
    <row r="5" spans="1:40" x14ac:dyDescent="0.2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100</v>
      </c>
      <c r="G5">
        <v>3</v>
      </c>
      <c r="H5">
        <v>1</v>
      </c>
      <c r="I5">
        <v>6205</v>
      </c>
      <c r="J5">
        <v>0</v>
      </c>
      <c r="K5">
        <v>1</v>
      </c>
      <c r="L5">
        <v>1109.5</v>
      </c>
      <c r="M5">
        <v>461.8</v>
      </c>
      <c r="N5">
        <v>2807.8</v>
      </c>
      <c r="O5">
        <v>138.80000000000001</v>
      </c>
      <c r="P5">
        <v>944.9</v>
      </c>
      <c r="Q5">
        <v>0</v>
      </c>
      <c r="R5">
        <v>0</v>
      </c>
      <c r="S5">
        <v>0</v>
      </c>
      <c r="T5">
        <v>0</v>
      </c>
      <c r="U5">
        <v>0</v>
      </c>
      <c r="V5">
        <v>1.34</v>
      </c>
      <c r="W5">
        <v>5</v>
      </c>
      <c r="X5">
        <v>1.34</v>
      </c>
      <c r="Y5">
        <v>0</v>
      </c>
      <c r="Z5">
        <v>0</v>
      </c>
      <c r="AA5">
        <v>0</v>
      </c>
      <c r="AB5">
        <v>0</v>
      </c>
      <c r="AC5">
        <v>1.34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L5">
        <v>0</v>
      </c>
      <c r="AM5">
        <v>0</v>
      </c>
      <c r="AN5">
        <v>0</v>
      </c>
    </row>
    <row r="6" spans="1:40" x14ac:dyDescent="0.25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>
        <v>2</v>
      </c>
      <c r="H6">
        <v>2</v>
      </c>
      <c r="I6">
        <v>1122</v>
      </c>
      <c r="J6">
        <v>0</v>
      </c>
      <c r="K6">
        <v>1</v>
      </c>
      <c r="L6">
        <v>3281</v>
      </c>
      <c r="M6">
        <v>1687.3</v>
      </c>
      <c r="N6">
        <v>2540.1999999999998</v>
      </c>
      <c r="O6">
        <v>459.8</v>
      </c>
      <c r="P6">
        <v>3136</v>
      </c>
      <c r="Q6">
        <v>0</v>
      </c>
      <c r="R6">
        <v>0</v>
      </c>
      <c r="S6">
        <v>0</v>
      </c>
      <c r="T6">
        <v>0</v>
      </c>
      <c r="U6">
        <v>0</v>
      </c>
      <c r="V6">
        <v>3.17</v>
      </c>
      <c r="W6">
        <v>3.5</v>
      </c>
      <c r="X6">
        <v>3.1700000000000008</v>
      </c>
      <c r="Y6">
        <v>0</v>
      </c>
      <c r="Z6">
        <v>0</v>
      </c>
      <c r="AA6">
        <v>0</v>
      </c>
      <c r="AB6">
        <v>0</v>
      </c>
      <c r="AC6">
        <v>0</v>
      </c>
      <c r="AD6">
        <v>2.9700000000000011</v>
      </c>
      <c r="AE6">
        <v>0.2</v>
      </c>
      <c r="AF6">
        <v>0</v>
      </c>
      <c r="AG6">
        <v>0.93690851735015768</v>
      </c>
      <c r="AH6">
        <v>1</v>
      </c>
      <c r="AI6">
        <v>1</v>
      </c>
      <c r="AJ6">
        <v>2023</v>
      </c>
      <c r="AK6">
        <v>2</v>
      </c>
      <c r="AL6">
        <v>0</v>
      </c>
      <c r="AM6">
        <v>0</v>
      </c>
      <c r="AN6">
        <v>0</v>
      </c>
    </row>
    <row r="7" spans="1:40" x14ac:dyDescent="0.25">
      <c r="A7">
        <v>6</v>
      </c>
      <c r="B7" t="s">
        <v>119</v>
      </c>
      <c r="C7" t="s">
        <v>120</v>
      </c>
      <c r="D7" t="s">
        <v>121</v>
      </c>
      <c r="E7" t="s">
        <v>122</v>
      </c>
      <c r="F7" t="s">
        <v>100</v>
      </c>
      <c r="G7">
        <v>4</v>
      </c>
      <c r="H7">
        <v>1</v>
      </c>
      <c r="I7">
        <v>2479</v>
      </c>
      <c r="J7">
        <v>0</v>
      </c>
      <c r="K7">
        <v>0</v>
      </c>
      <c r="L7">
        <v>4114.1000000000004</v>
      </c>
      <c r="M7">
        <v>3726.6</v>
      </c>
      <c r="N7">
        <v>5380</v>
      </c>
      <c r="O7">
        <v>191.1</v>
      </c>
      <c r="P7">
        <v>3795.8</v>
      </c>
      <c r="Q7">
        <v>0</v>
      </c>
      <c r="R7">
        <v>0</v>
      </c>
      <c r="S7">
        <v>0</v>
      </c>
      <c r="T7">
        <v>0</v>
      </c>
      <c r="U7">
        <v>0</v>
      </c>
      <c r="V7">
        <v>5.41</v>
      </c>
      <c r="W7">
        <v>3.5</v>
      </c>
      <c r="X7">
        <v>5.4099999999999966</v>
      </c>
      <c r="Y7">
        <v>0</v>
      </c>
      <c r="Z7">
        <v>0</v>
      </c>
      <c r="AA7">
        <v>0</v>
      </c>
      <c r="AB7">
        <v>0</v>
      </c>
      <c r="AC7">
        <v>4.5999999999999996</v>
      </c>
      <c r="AD7">
        <v>0.41</v>
      </c>
      <c r="AE7">
        <v>0.4</v>
      </c>
      <c r="AF7">
        <v>0</v>
      </c>
      <c r="AG7">
        <v>0.92606284658040661</v>
      </c>
      <c r="AH7">
        <v>1</v>
      </c>
      <c r="AI7">
        <v>2</v>
      </c>
      <c r="AJ7">
        <v>2023</v>
      </c>
      <c r="AK7">
        <v>2</v>
      </c>
      <c r="AL7">
        <v>1</v>
      </c>
      <c r="AM7">
        <v>1</v>
      </c>
      <c r="AN7">
        <v>0</v>
      </c>
    </row>
    <row r="8" spans="1:40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>
        <v>2</v>
      </c>
      <c r="H8">
        <v>1</v>
      </c>
      <c r="I8">
        <v>1088</v>
      </c>
      <c r="J8">
        <v>0</v>
      </c>
      <c r="K8">
        <v>0</v>
      </c>
      <c r="L8">
        <v>2381.1999999999998</v>
      </c>
      <c r="M8">
        <v>3220.9</v>
      </c>
      <c r="N8">
        <v>7125.8</v>
      </c>
      <c r="O8">
        <v>1028.5</v>
      </c>
      <c r="P8">
        <v>5524.6</v>
      </c>
      <c r="Q8">
        <v>0</v>
      </c>
      <c r="R8">
        <v>0</v>
      </c>
      <c r="S8">
        <v>0</v>
      </c>
      <c r="T8">
        <v>0</v>
      </c>
      <c r="U8">
        <v>0</v>
      </c>
      <c r="V8">
        <v>1.74</v>
      </c>
      <c r="W8">
        <v>3.5</v>
      </c>
      <c r="X8">
        <v>1.74</v>
      </c>
      <c r="Y8">
        <v>0</v>
      </c>
      <c r="Z8">
        <v>0</v>
      </c>
      <c r="AA8">
        <v>0</v>
      </c>
      <c r="AB8">
        <v>0</v>
      </c>
      <c r="AC8">
        <v>1.74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2024</v>
      </c>
      <c r="AK8">
        <v>1</v>
      </c>
      <c r="AL8">
        <v>0</v>
      </c>
      <c r="AM8">
        <v>0</v>
      </c>
      <c r="AN8">
        <v>0</v>
      </c>
    </row>
    <row r="9" spans="1:40" x14ac:dyDescent="0.25">
      <c r="A9">
        <v>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>
        <v>2</v>
      </c>
      <c r="H9">
        <v>1</v>
      </c>
      <c r="I9">
        <v>763</v>
      </c>
      <c r="J9">
        <v>0</v>
      </c>
      <c r="K9">
        <v>0</v>
      </c>
      <c r="L9">
        <v>4179.5</v>
      </c>
      <c r="M9">
        <v>2818.2</v>
      </c>
      <c r="N9">
        <v>13938.7</v>
      </c>
      <c r="O9">
        <v>1329.4</v>
      </c>
      <c r="P9">
        <v>12075.8</v>
      </c>
      <c r="Q9">
        <v>0</v>
      </c>
      <c r="R9">
        <v>0</v>
      </c>
      <c r="S9">
        <v>0</v>
      </c>
      <c r="T9">
        <v>0</v>
      </c>
      <c r="U9">
        <v>0</v>
      </c>
      <c r="V9">
        <v>1.57</v>
      </c>
      <c r="W9">
        <v>3.5</v>
      </c>
      <c r="X9">
        <v>0.2</v>
      </c>
      <c r="Y9">
        <v>0</v>
      </c>
      <c r="Z9">
        <v>0</v>
      </c>
      <c r="AA9">
        <v>1.37</v>
      </c>
      <c r="AB9">
        <v>0</v>
      </c>
      <c r="AC9">
        <v>0</v>
      </c>
      <c r="AD9">
        <v>0</v>
      </c>
      <c r="AE9">
        <v>0</v>
      </c>
      <c r="AF9">
        <v>1.57</v>
      </c>
      <c r="AG9">
        <v>0</v>
      </c>
      <c r="AH9">
        <v>0</v>
      </c>
      <c r="AI9">
        <v>0</v>
      </c>
      <c r="AL9">
        <v>0</v>
      </c>
      <c r="AM9">
        <v>0</v>
      </c>
      <c r="AN9">
        <v>0</v>
      </c>
    </row>
    <row r="10" spans="1:40" x14ac:dyDescent="0.25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 t="s">
        <v>105</v>
      </c>
      <c r="G10">
        <v>2</v>
      </c>
      <c r="H10">
        <v>1</v>
      </c>
      <c r="I10">
        <v>1032</v>
      </c>
      <c r="J10">
        <v>0</v>
      </c>
      <c r="K10">
        <v>0</v>
      </c>
      <c r="L10">
        <v>4608.7</v>
      </c>
      <c r="M10">
        <v>5179.2</v>
      </c>
      <c r="N10">
        <v>10259.5</v>
      </c>
      <c r="O10">
        <v>1207.7</v>
      </c>
      <c r="P10">
        <v>10424.200000000001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4.3600000000000003</v>
      </c>
      <c r="W10">
        <v>3.5</v>
      </c>
      <c r="X10">
        <v>4.3600000000000003</v>
      </c>
      <c r="Y10">
        <v>0</v>
      </c>
      <c r="Z10">
        <v>0</v>
      </c>
      <c r="AA10">
        <v>0</v>
      </c>
      <c r="AB10">
        <v>0</v>
      </c>
      <c r="AC10">
        <v>2.4000000000000008</v>
      </c>
      <c r="AD10">
        <v>1.9600000000000011</v>
      </c>
      <c r="AE10">
        <v>0</v>
      </c>
      <c r="AF10">
        <v>0</v>
      </c>
      <c r="AG10">
        <v>1</v>
      </c>
      <c r="AH10">
        <v>1</v>
      </c>
      <c r="AI10">
        <v>3</v>
      </c>
      <c r="AJ10">
        <v>2023</v>
      </c>
      <c r="AK10">
        <v>2</v>
      </c>
      <c r="AL10">
        <v>0</v>
      </c>
      <c r="AM10">
        <v>0</v>
      </c>
      <c r="AN10">
        <v>0</v>
      </c>
    </row>
    <row r="11" spans="1:40" x14ac:dyDescent="0.25">
      <c r="A11">
        <v>10</v>
      </c>
      <c r="B11" t="s">
        <v>137</v>
      </c>
      <c r="C11" t="s">
        <v>138</v>
      </c>
      <c r="D11" t="s">
        <v>139</v>
      </c>
      <c r="E11" t="s">
        <v>140</v>
      </c>
      <c r="F11" t="s">
        <v>100</v>
      </c>
      <c r="G11">
        <v>2</v>
      </c>
      <c r="H11">
        <v>1</v>
      </c>
      <c r="I11">
        <v>4331</v>
      </c>
      <c r="J11">
        <v>0</v>
      </c>
      <c r="K11">
        <v>0</v>
      </c>
      <c r="L11">
        <v>781.6</v>
      </c>
      <c r="M11">
        <v>796.9</v>
      </c>
      <c r="N11">
        <v>2773.5</v>
      </c>
      <c r="O11">
        <v>196.3</v>
      </c>
      <c r="P11">
        <v>910.6</v>
      </c>
      <c r="Q11">
        <v>0</v>
      </c>
      <c r="R11">
        <v>0</v>
      </c>
      <c r="S11">
        <v>0</v>
      </c>
      <c r="T11">
        <v>0</v>
      </c>
      <c r="U11">
        <v>0</v>
      </c>
      <c r="V11">
        <v>0.23</v>
      </c>
      <c r="W11">
        <v>3</v>
      </c>
      <c r="X11">
        <v>0.23</v>
      </c>
      <c r="Y11">
        <v>0</v>
      </c>
      <c r="Z11">
        <v>0</v>
      </c>
      <c r="AA11">
        <v>0</v>
      </c>
      <c r="AB11">
        <v>0</v>
      </c>
      <c r="AC11">
        <v>0.23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2023</v>
      </c>
      <c r="AK11">
        <v>2</v>
      </c>
      <c r="AL11">
        <v>0</v>
      </c>
      <c r="AM11">
        <v>0</v>
      </c>
      <c r="AN11">
        <v>0</v>
      </c>
    </row>
    <row r="12" spans="1:40" x14ac:dyDescent="0.25">
      <c r="A12">
        <v>11</v>
      </c>
      <c r="B12" t="s">
        <v>141</v>
      </c>
      <c r="C12" t="s">
        <v>142</v>
      </c>
      <c r="D12" t="s">
        <v>143</v>
      </c>
      <c r="E12" t="s">
        <v>144</v>
      </c>
      <c r="F12" t="s">
        <v>100</v>
      </c>
      <c r="G12">
        <v>1</v>
      </c>
      <c r="H12">
        <v>1</v>
      </c>
      <c r="I12">
        <v>786</v>
      </c>
      <c r="J12">
        <v>0</v>
      </c>
      <c r="K12">
        <v>0</v>
      </c>
      <c r="L12">
        <v>4664.3</v>
      </c>
      <c r="M12">
        <v>3176.4</v>
      </c>
      <c r="N12">
        <v>5196.3999999999996</v>
      </c>
      <c r="O12">
        <v>490.7</v>
      </c>
      <c r="P12">
        <v>4346</v>
      </c>
      <c r="Q12">
        <v>0</v>
      </c>
      <c r="R12">
        <v>0</v>
      </c>
      <c r="S12">
        <v>0</v>
      </c>
      <c r="T12">
        <v>0</v>
      </c>
      <c r="U12">
        <v>0</v>
      </c>
      <c r="V12">
        <v>0.4</v>
      </c>
      <c r="W12">
        <v>3.5</v>
      </c>
      <c r="X12">
        <v>0.4</v>
      </c>
      <c r="Y12">
        <v>0</v>
      </c>
      <c r="Z12">
        <v>0</v>
      </c>
      <c r="AA12">
        <v>0</v>
      </c>
      <c r="AB12">
        <v>0</v>
      </c>
      <c r="AC12">
        <v>0.4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L12">
        <v>0</v>
      </c>
      <c r="AM12">
        <v>0</v>
      </c>
      <c r="AN12">
        <v>0</v>
      </c>
    </row>
    <row r="13" spans="1:40" x14ac:dyDescent="0.25">
      <c r="A13">
        <v>12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>
        <v>3</v>
      </c>
      <c r="H13">
        <v>1</v>
      </c>
      <c r="I13">
        <v>2516</v>
      </c>
      <c r="J13">
        <v>0</v>
      </c>
      <c r="K13">
        <v>1</v>
      </c>
      <c r="L13">
        <v>4170.6000000000004</v>
      </c>
      <c r="M13">
        <v>4803.8999999999996</v>
      </c>
      <c r="N13">
        <v>12260.5</v>
      </c>
      <c r="O13">
        <v>1030.9000000000001</v>
      </c>
      <c r="P13">
        <v>10397.6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3</v>
      </c>
      <c r="X13">
        <v>5.3999999999999968</v>
      </c>
      <c r="Y13">
        <v>0</v>
      </c>
      <c r="Z13">
        <v>0</v>
      </c>
      <c r="AA13">
        <v>0</v>
      </c>
      <c r="AB13">
        <v>1.6</v>
      </c>
      <c r="AC13">
        <v>1.6</v>
      </c>
      <c r="AD13">
        <v>0.99999999999999989</v>
      </c>
      <c r="AE13">
        <v>2.3000000000000012</v>
      </c>
      <c r="AF13">
        <v>2.100000000000001</v>
      </c>
      <c r="AG13">
        <v>0.37142857142857139</v>
      </c>
      <c r="AH13">
        <v>1</v>
      </c>
      <c r="AI13">
        <v>3</v>
      </c>
      <c r="AJ13">
        <v>2024</v>
      </c>
      <c r="AK13">
        <v>1</v>
      </c>
      <c r="AL13">
        <v>0</v>
      </c>
      <c r="AM13">
        <v>0</v>
      </c>
      <c r="AN13">
        <v>0</v>
      </c>
    </row>
    <row r="14" spans="1:40" x14ac:dyDescent="0.25">
      <c r="A14">
        <v>13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>
        <v>5</v>
      </c>
      <c r="H14">
        <v>2</v>
      </c>
      <c r="I14">
        <v>2430</v>
      </c>
      <c r="J14">
        <v>0</v>
      </c>
      <c r="K14">
        <v>1</v>
      </c>
      <c r="L14">
        <v>2807.7</v>
      </c>
      <c r="M14">
        <v>2660.1</v>
      </c>
      <c r="N14">
        <v>12566.9</v>
      </c>
      <c r="O14">
        <v>42.4</v>
      </c>
      <c r="P14">
        <v>10704</v>
      </c>
      <c r="Q14">
        <v>0</v>
      </c>
      <c r="R14">
        <v>0</v>
      </c>
      <c r="S14">
        <v>0</v>
      </c>
      <c r="T14">
        <v>0</v>
      </c>
      <c r="U14">
        <v>0</v>
      </c>
      <c r="V14">
        <v>5.58</v>
      </c>
      <c r="W14">
        <v>3</v>
      </c>
      <c r="X14">
        <v>5.5799999999999974</v>
      </c>
      <c r="Y14">
        <v>0</v>
      </c>
      <c r="Z14">
        <v>0</v>
      </c>
      <c r="AA14">
        <v>0</v>
      </c>
      <c r="AB14">
        <v>0</v>
      </c>
      <c r="AC14">
        <v>4.3800000000000008</v>
      </c>
      <c r="AD14">
        <v>0.6</v>
      </c>
      <c r="AE14">
        <v>0.6</v>
      </c>
      <c r="AF14">
        <v>0</v>
      </c>
      <c r="AG14">
        <v>0.89247311827956999</v>
      </c>
      <c r="AH14">
        <v>1</v>
      </c>
      <c r="AI14">
        <v>2</v>
      </c>
      <c r="AJ14">
        <v>2024</v>
      </c>
      <c r="AK14">
        <v>1</v>
      </c>
      <c r="AL14">
        <v>1</v>
      </c>
      <c r="AM14">
        <v>1</v>
      </c>
      <c r="AN14">
        <v>0</v>
      </c>
    </row>
    <row r="15" spans="1:40" x14ac:dyDescent="0.25">
      <c r="A15">
        <v>14</v>
      </c>
      <c r="B15" t="s">
        <v>155</v>
      </c>
      <c r="C15" t="s">
        <v>156</v>
      </c>
      <c r="D15" t="s">
        <v>157</v>
      </c>
      <c r="E15" t="s">
        <v>158</v>
      </c>
      <c r="F15" t="s">
        <v>149</v>
      </c>
      <c r="G15">
        <v>4</v>
      </c>
      <c r="H15">
        <v>1</v>
      </c>
      <c r="I15">
        <v>3114</v>
      </c>
      <c r="J15">
        <v>0</v>
      </c>
      <c r="K15">
        <v>0</v>
      </c>
      <c r="L15">
        <v>3473.9</v>
      </c>
      <c r="M15">
        <v>4541</v>
      </c>
      <c r="N15">
        <v>11563.7</v>
      </c>
      <c r="O15">
        <v>1798.1</v>
      </c>
      <c r="P15">
        <v>9700.7999999999993</v>
      </c>
      <c r="Q15">
        <v>0</v>
      </c>
      <c r="R15">
        <v>0</v>
      </c>
      <c r="S15">
        <v>0</v>
      </c>
      <c r="T15">
        <v>0</v>
      </c>
      <c r="U15">
        <v>0</v>
      </c>
      <c r="V15">
        <v>5.88</v>
      </c>
      <c r="W15">
        <v>3</v>
      </c>
      <c r="X15">
        <v>5.8799999999999946</v>
      </c>
      <c r="Y15">
        <v>0</v>
      </c>
      <c r="Z15">
        <v>0</v>
      </c>
      <c r="AA15">
        <v>0</v>
      </c>
      <c r="AB15">
        <v>0</v>
      </c>
      <c r="AC15">
        <v>1.8</v>
      </c>
      <c r="AD15">
        <v>3.0000000000000009</v>
      </c>
      <c r="AE15">
        <v>1.08</v>
      </c>
      <c r="AF15">
        <v>0</v>
      </c>
      <c r="AG15">
        <v>0.81632653061224492</v>
      </c>
      <c r="AH15">
        <v>1</v>
      </c>
      <c r="AI15">
        <v>2</v>
      </c>
      <c r="AJ15">
        <v>2024</v>
      </c>
      <c r="AK15">
        <v>1</v>
      </c>
      <c r="AL15">
        <v>0</v>
      </c>
      <c r="AM15">
        <v>0</v>
      </c>
      <c r="AN15">
        <v>0</v>
      </c>
    </row>
    <row r="16" spans="1:40" x14ac:dyDescent="0.25">
      <c r="A16">
        <v>15</v>
      </c>
      <c r="B16" t="s">
        <v>159</v>
      </c>
      <c r="C16" t="s">
        <v>160</v>
      </c>
      <c r="D16" t="s">
        <v>161</v>
      </c>
      <c r="E16" t="s">
        <v>162</v>
      </c>
      <c r="F16" t="s">
        <v>149</v>
      </c>
      <c r="G16">
        <v>1</v>
      </c>
      <c r="H16">
        <v>1</v>
      </c>
      <c r="I16">
        <v>545</v>
      </c>
      <c r="J16">
        <v>0</v>
      </c>
      <c r="K16">
        <v>1</v>
      </c>
      <c r="L16">
        <v>2869.7</v>
      </c>
      <c r="M16">
        <v>3143.5</v>
      </c>
      <c r="N16">
        <v>8536.5</v>
      </c>
      <c r="O16">
        <v>474.2</v>
      </c>
      <c r="P16">
        <v>6673.6</v>
      </c>
      <c r="Q16">
        <v>0</v>
      </c>
      <c r="R16">
        <v>0</v>
      </c>
      <c r="S16">
        <v>0</v>
      </c>
      <c r="T16">
        <v>0</v>
      </c>
      <c r="U16">
        <v>0</v>
      </c>
      <c r="V16">
        <v>1.21</v>
      </c>
      <c r="W16">
        <v>3.5</v>
      </c>
      <c r="X16">
        <v>1.21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1.21</v>
      </c>
      <c r="AG16">
        <v>0</v>
      </c>
      <c r="AH16">
        <v>0</v>
      </c>
      <c r="AI16">
        <v>0</v>
      </c>
      <c r="AL16">
        <v>0</v>
      </c>
      <c r="AM16">
        <v>0</v>
      </c>
      <c r="AN16">
        <v>0</v>
      </c>
    </row>
    <row r="17" spans="1:40" x14ac:dyDescent="0.25">
      <c r="A17">
        <v>16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>
        <v>3</v>
      </c>
      <c r="H17">
        <v>3</v>
      </c>
      <c r="I17">
        <v>1790</v>
      </c>
      <c r="J17">
        <v>0</v>
      </c>
      <c r="K17">
        <v>0</v>
      </c>
      <c r="L17">
        <v>2965.8</v>
      </c>
      <c r="M17">
        <v>2977.4</v>
      </c>
      <c r="N17">
        <v>2083.4</v>
      </c>
      <c r="O17">
        <v>862.4</v>
      </c>
      <c r="P17">
        <v>3010.9</v>
      </c>
      <c r="Q17">
        <v>0</v>
      </c>
      <c r="R17">
        <v>0</v>
      </c>
      <c r="S17">
        <v>0</v>
      </c>
      <c r="T17">
        <v>0</v>
      </c>
      <c r="U17">
        <v>0</v>
      </c>
      <c r="V17">
        <v>0.83</v>
      </c>
      <c r="W17">
        <v>2</v>
      </c>
      <c r="X17">
        <v>0.83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0.83</v>
      </c>
      <c r="AG17">
        <v>0</v>
      </c>
      <c r="AH17">
        <v>0</v>
      </c>
      <c r="AI17">
        <v>0</v>
      </c>
      <c r="AL17">
        <v>0</v>
      </c>
      <c r="AM17">
        <v>0</v>
      </c>
      <c r="AN17">
        <v>0</v>
      </c>
    </row>
    <row r="18" spans="1:40" x14ac:dyDescent="0.25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105</v>
      </c>
      <c r="G18">
        <v>1</v>
      </c>
      <c r="H18">
        <v>1</v>
      </c>
      <c r="I18">
        <v>708</v>
      </c>
      <c r="J18">
        <v>0</v>
      </c>
      <c r="K18">
        <v>0</v>
      </c>
      <c r="L18">
        <v>4362.8999999999996</v>
      </c>
      <c r="M18">
        <v>4148.6000000000004</v>
      </c>
      <c r="N18">
        <v>11085.9</v>
      </c>
      <c r="O18">
        <v>532.9</v>
      </c>
      <c r="P18">
        <v>7234.7</v>
      </c>
      <c r="Q18">
        <v>0</v>
      </c>
      <c r="R18">
        <v>0</v>
      </c>
      <c r="S18">
        <v>0</v>
      </c>
      <c r="T18">
        <v>0</v>
      </c>
      <c r="U18">
        <v>0</v>
      </c>
      <c r="V18">
        <v>1.1100000000000001</v>
      </c>
      <c r="W18">
        <v>3.5</v>
      </c>
      <c r="X18">
        <v>0</v>
      </c>
      <c r="Y18">
        <v>0</v>
      </c>
      <c r="Z18">
        <v>0</v>
      </c>
      <c r="AA18">
        <v>1.1100000000000001</v>
      </c>
      <c r="AB18">
        <v>0</v>
      </c>
      <c r="AC18">
        <v>0</v>
      </c>
      <c r="AD18">
        <v>0</v>
      </c>
      <c r="AE18">
        <v>0</v>
      </c>
      <c r="AF18">
        <v>1.1100000000000001</v>
      </c>
      <c r="AG18">
        <v>0</v>
      </c>
      <c r="AH18">
        <v>1</v>
      </c>
      <c r="AI18">
        <v>2</v>
      </c>
      <c r="AJ18">
        <v>2023</v>
      </c>
      <c r="AK18">
        <v>2</v>
      </c>
      <c r="AL18">
        <v>0</v>
      </c>
      <c r="AM18">
        <v>0</v>
      </c>
      <c r="AN18">
        <v>0</v>
      </c>
    </row>
    <row r="19" spans="1:40" x14ac:dyDescent="0.25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>
        <v>2</v>
      </c>
      <c r="H19">
        <v>1</v>
      </c>
      <c r="I19">
        <v>797</v>
      </c>
      <c r="J19">
        <v>0</v>
      </c>
      <c r="K19">
        <v>0</v>
      </c>
      <c r="L19">
        <v>7415</v>
      </c>
      <c r="M19">
        <v>4953</v>
      </c>
      <c r="N19">
        <v>8268.7000000000007</v>
      </c>
      <c r="O19">
        <v>979.8</v>
      </c>
      <c r="P19">
        <v>12484.5</v>
      </c>
      <c r="Q19">
        <v>0</v>
      </c>
      <c r="R19">
        <v>0</v>
      </c>
      <c r="S19">
        <v>0</v>
      </c>
      <c r="T19">
        <v>0</v>
      </c>
      <c r="U19">
        <v>0</v>
      </c>
      <c r="V19">
        <v>1.02</v>
      </c>
      <c r="W19">
        <v>3</v>
      </c>
      <c r="X19">
        <v>0</v>
      </c>
      <c r="Y19">
        <v>0</v>
      </c>
      <c r="Z19">
        <v>0</v>
      </c>
      <c r="AA19">
        <v>1.02</v>
      </c>
      <c r="AB19">
        <v>0</v>
      </c>
      <c r="AC19">
        <v>0</v>
      </c>
      <c r="AD19">
        <v>0</v>
      </c>
      <c r="AE19">
        <v>0</v>
      </c>
      <c r="AF19">
        <v>1.02</v>
      </c>
      <c r="AG19">
        <v>0</v>
      </c>
      <c r="AH19">
        <v>1</v>
      </c>
      <c r="AI19">
        <v>1</v>
      </c>
      <c r="AJ19">
        <v>2022</v>
      </c>
      <c r="AK19">
        <v>3</v>
      </c>
      <c r="AL19">
        <v>0</v>
      </c>
      <c r="AM19">
        <v>0</v>
      </c>
      <c r="AN19">
        <v>0</v>
      </c>
    </row>
    <row r="20" spans="1:40" x14ac:dyDescent="0.25">
      <c r="A20">
        <v>19</v>
      </c>
      <c r="B20" t="s">
        <v>177</v>
      </c>
      <c r="C20" t="s">
        <v>178</v>
      </c>
      <c r="D20" t="s">
        <v>179</v>
      </c>
      <c r="E20" t="s">
        <v>180</v>
      </c>
      <c r="F20" t="s">
        <v>105</v>
      </c>
      <c r="G20">
        <v>1</v>
      </c>
      <c r="H20">
        <v>1</v>
      </c>
      <c r="I20">
        <v>682</v>
      </c>
      <c r="J20">
        <v>0</v>
      </c>
      <c r="K20">
        <v>0</v>
      </c>
      <c r="L20">
        <v>2565.8000000000002</v>
      </c>
      <c r="M20">
        <v>3045</v>
      </c>
      <c r="N20">
        <v>3705.6</v>
      </c>
      <c r="O20">
        <v>527.9</v>
      </c>
      <c r="P20">
        <v>5104.2</v>
      </c>
      <c r="Q20">
        <v>0</v>
      </c>
      <c r="R20">
        <v>0</v>
      </c>
      <c r="S20">
        <v>0</v>
      </c>
      <c r="T20">
        <v>0</v>
      </c>
      <c r="U20">
        <v>0</v>
      </c>
      <c r="V20">
        <v>0.47</v>
      </c>
      <c r="W20">
        <v>3</v>
      </c>
      <c r="X20">
        <v>0.47</v>
      </c>
      <c r="Y20">
        <v>0</v>
      </c>
      <c r="Z20">
        <v>0</v>
      </c>
      <c r="AA20">
        <v>0</v>
      </c>
      <c r="AB20">
        <v>0</v>
      </c>
      <c r="AC20">
        <v>0.47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L20">
        <v>0</v>
      </c>
      <c r="AM20">
        <v>0</v>
      </c>
      <c r="AN20">
        <v>0</v>
      </c>
    </row>
    <row r="21" spans="1:40" x14ac:dyDescent="0.25">
      <c r="A21">
        <v>20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>
        <v>1</v>
      </c>
      <c r="H21">
        <v>1</v>
      </c>
      <c r="I21">
        <v>426</v>
      </c>
      <c r="J21">
        <v>0</v>
      </c>
      <c r="K21">
        <v>0</v>
      </c>
      <c r="O21">
        <v>612</v>
      </c>
      <c r="Q21">
        <v>1</v>
      </c>
      <c r="R21">
        <v>1</v>
      </c>
      <c r="S21">
        <v>1</v>
      </c>
      <c r="T21">
        <v>1</v>
      </c>
      <c r="U21">
        <v>0</v>
      </c>
      <c r="V21">
        <v>3.1</v>
      </c>
      <c r="W21">
        <v>3</v>
      </c>
      <c r="X21">
        <v>0</v>
      </c>
      <c r="Y21">
        <v>0</v>
      </c>
      <c r="Z21">
        <v>0</v>
      </c>
      <c r="AA21">
        <v>0</v>
      </c>
      <c r="AB21">
        <v>3.100000000000001</v>
      </c>
      <c r="AC21">
        <v>0</v>
      </c>
      <c r="AD21">
        <v>0</v>
      </c>
      <c r="AE21">
        <v>0</v>
      </c>
      <c r="AF21">
        <v>3.100000000000001</v>
      </c>
      <c r="AG21">
        <v>0</v>
      </c>
      <c r="AH21">
        <v>0</v>
      </c>
      <c r="AI21">
        <v>0</v>
      </c>
      <c r="AL21">
        <v>0</v>
      </c>
      <c r="AM21">
        <v>0</v>
      </c>
      <c r="AN21">
        <v>0</v>
      </c>
    </row>
    <row r="22" spans="1:40" x14ac:dyDescent="0.25">
      <c r="A22">
        <v>21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>
        <v>4</v>
      </c>
      <c r="H22">
        <v>1</v>
      </c>
      <c r="I22">
        <v>960</v>
      </c>
      <c r="J22">
        <v>0</v>
      </c>
      <c r="K22">
        <v>0</v>
      </c>
      <c r="L22">
        <v>10210.5</v>
      </c>
      <c r="M22">
        <v>7816.6</v>
      </c>
      <c r="N22">
        <v>20724.2</v>
      </c>
      <c r="O22">
        <v>161.6</v>
      </c>
      <c r="P22">
        <v>22103.7</v>
      </c>
      <c r="Q22">
        <v>0</v>
      </c>
      <c r="R22">
        <v>0</v>
      </c>
      <c r="S22">
        <v>0</v>
      </c>
      <c r="T22">
        <v>0</v>
      </c>
      <c r="U22">
        <v>0</v>
      </c>
      <c r="V22">
        <v>9.7100000000000009</v>
      </c>
      <c r="W22">
        <v>4</v>
      </c>
      <c r="X22">
        <v>7.2999999999999901</v>
      </c>
      <c r="Y22">
        <v>0</v>
      </c>
      <c r="Z22">
        <v>0</v>
      </c>
      <c r="AA22">
        <v>0</v>
      </c>
      <c r="AB22">
        <v>2.410000000000001</v>
      </c>
      <c r="AC22">
        <v>6.199999999999994</v>
      </c>
      <c r="AD22">
        <v>0.99999999999999989</v>
      </c>
      <c r="AE22">
        <v>0.1</v>
      </c>
      <c r="AF22">
        <v>2.410000000000001</v>
      </c>
      <c r="AG22">
        <v>0.74150360453141073</v>
      </c>
      <c r="AH22">
        <v>1</v>
      </c>
      <c r="AI22">
        <v>1</v>
      </c>
      <c r="AJ22">
        <v>2022</v>
      </c>
      <c r="AK22">
        <v>3</v>
      </c>
      <c r="AL22">
        <v>0</v>
      </c>
      <c r="AM22">
        <v>0</v>
      </c>
      <c r="AN22">
        <v>0</v>
      </c>
    </row>
    <row r="23" spans="1:40" x14ac:dyDescent="0.25">
      <c r="A23">
        <v>22</v>
      </c>
      <c r="B23" t="s">
        <v>191</v>
      </c>
      <c r="C23" t="s">
        <v>192</v>
      </c>
      <c r="D23" t="s">
        <v>193</v>
      </c>
      <c r="E23" t="s">
        <v>194</v>
      </c>
      <c r="F23" t="s">
        <v>100</v>
      </c>
      <c r="G23">
        <v>1</v>
      </c>
      <c r="H23">
        <v>1</v>
      </c>
      <c r="I23">
        <v>1874</v>
      </c>
      <c r="J23">
        <v>0</v>
      </c>
      <c r="K23">
        <v>1</v>
      </c>
      <c r="L23">
        <v>2675.7</v>
      </c>
      <c r="M23">
        <v>2608.4</v>
      </c>
      <c r="N23">
        <v>4437.3999999999996</v>
      </c>
      <c r="O23">
        <v>935.9</v>
      </c>
      <c r="P23">
        <v>2574.5</v>
      </c>
      <c r="Q23">
        <v>0</v>
      </c>
      <c r="R23">
        <v>0</v>
      </c>
      <c r="S23">
        <v>0</v>
      </c>
      <c r="T23">
        <v>0</v>
      </c>
      <c r="U23">
        <v>0</v>
      </c>
      <c r="V23">
        <v>1.42</v>
      </c>
      <c r="W23">
        <v>3</v>
      </c>
      <c r="X23">
        <v>1.2</v>
      </c>
      <c r="Y23">
        <v>0</v>
      </c>
      <c r="Z23">
        <v>0</v>
      </c>
      <c r="AA23">
        <v>0.22</v>
      </c>
      <c r="AB23">
        <v>0</v>
      </c>
      <c r="AC23">
        <v>0</v>
      </c>
      <c r="AD23">
        <v>0.4</v>
      </c>
      <c r="AE23">
        <v>0.79999999999999993</v>
      </c>
      <c r="AF23">
        <v>0.22</v>
      </c>
      <c r="AG23">
        <v>0.28169014084507038</v>
      </c>
      <c r="AH23">
        <v>1</v>
      </c>
      <c r="AI23">
        <v>1</v>
      </c>
      <c r="AJ23">
        <v>2023</v>
      </c>
      <c r="AK23">
        <v>2</v>
      </c>
      <c r="AL23">
        <v>1</v>
      </c>
      <c r="AM23">
        <v>1</v>
      </c>
      <c r="AN23">
        <v>0</v>
      </c>
    </row>
    <row r="24" spans="1:40" x14ac:dyDescent="0.25">
      <c r="A24">
        <v>23</v>
      </c>
      <c r="B24" t="s">
        <v>195</v>
      </c>
      <c r="C24" t="s">
        <v>196</v>
      </c>
      <c r="D24" t="s">
        <v>197</v>
      </c>
      <c r="E24" t="s">
        <v>198</v>
      </c>
      <c r="F24" t="s">
        <v>185</v>
      </c>
      <c r="G24">
        <v>2</v>
      </c>
      <c r="H24">
        <v>1</v>
      </c>
      <c r="I24">
        <v>734</v>
      </c>
      <c r="J24">
        <v>0</v>
      </c>
      <c r="K24">
        <v>0</v>
      </c>
      <c r="L24">
        <v>3635.1</v>
      </c>
      <c r="M24">
        <v>1570.2</v>
      </c>
      <c r="N24">
        <v>17922.5</v>
      </c>
      <c r="O24">
        <v>1051.0999999999999</v>
      </c>
      <c r="Q24">
        <v>1</v>
      </c>
      <c r="R24">
        <v>0</v>
      </c>
      <c r="S24">
        <v>0</v>
      </c>
      <c r="T24">
        <v>0</v>
      </c>
      <c r="U24">
        <v>0</v>
      </c>
      <c r="V24">
        <v>7.58</v>
      </c>
      <c r="W24">
        <v>3.5</v>
      </c>
      <c r="X24">
        <v>2.8000000000000012</v>
      </c>
      <c r="Y24">
        <v>0</v>
      </c>
      <c r="Z24">
        <v>0</v>
      </c>
      <c r="AA24">
        <v>0.4</v>
      </c>
      <c r="AB24">
        <v>4.3800000000000008</v>
      </c>
      <c r="AC24">
        <v>2.4000000000000008</v>
      </c>
      <c r="AD24">
        <v>0</v>
      </c>
      <c r="AE24">
        <v>0.2</v>
      </c>
      <c r="AF24">
        <v>4.9799999999999986</v>
      </c>
      <c r="AG24">
        <v>0.31662269129287612</v>
      </c>
      <c r="AH24">
        <v>1</v>
      </c>
      <c r="AI24">
        <v>1</v>
      </c>
      <c r="AJ24">
        <v>2023</v>
      </c>
      <c r="AK24">
        <v>2</v>
      </c>
      <c r="AL24">
        <v>1</v>
      </c>
      <c r="AM24">
        <v>0</v>
      </c>
      <c r="AN24">
        <v>1</v>
      </c>
    </row>
    <row r="25" spans="1:40" x14ac:dyDescent="0.25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>
        <v>4</v>
      </c>
      <c r="H25">
        <v>2</v>
      </c>
      <c r="I25">
        <v>2506</v>
      </c>
      <c r="J25">
        <v>1</v>
      </c>
      <c r="K25">
        <v>1</v>
      </c>
      <c r="L25">
        <v>1752.4</v>
      </c>
      <c r="M25">
        <v>2792.8</v>
      </c>
      <c r="N25">
        <v>8362.7000000000007</v>
      </c>
      <c r="O25">
        <v>1550.7</v>
      </c>
      <c r="P25">
        <v>6499.8</v>
      </c>
      <c r="Q25">
        <v>0</v>
      </c>
      <c r="R25">
        <v>0</v>
      </c>
      <c r="S25">
        <v>0</v>
      </c>
      <c r="T25">
        <v>0</v>
      </c>
      <c r="U25">
        <v>0</v>
      </c>
      <c r="V25">
        <v>3.03</v>
      </c>
      <c r="W25">
        <v>3.5</v>
      </c>
      <c r="X25">
        <v>3.0300000000000011</v>
      </c>
      <c r="Y25">
        <v>0</v>
      </c>
      <c r="Z25">
        <v>0</v>
      </c>
      <c r="AA25">
        <v>0</v>
      </c>
      <c r="AB25">
        <v>0</v>
      </c>
      <c r="AC25">
        <v>3.0300000000000011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2</v>
      </c>
      <c r="AJ25">
        <v>2023</v>
      </c>
      <c r="AK25">
        <v>2</v>
      </c>
      <c r="AL25">
        <v>0</v>
      </c>
      <c r="AM25">
        <v>0</v>
      </c>
      <c r="AN25">
        <v>0</v>
      </c>
    </row>
    <row r="26" spans="1:40" x14ac:dyDescent="0.25">
      <c r="A26">
        <v>25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>
        <v>4</v>
      </c>
      <c r="H26">
        <v>2</v>
      </c>
      <c r="I26">
        <v>2766</v>
      </c>
      <c r="J26">
        <v>0</v>
      </c>
      <c r="K26">
        <v>1</v>
      </c>
      <c r="L26">
        <v>2678.7</v>
      </c>
      <c r="M26">
        <v>1551.4</v>
      </c>
      <c r="N26">
        <v>5058.8999999999996</v>
      </c>
      <c r="O26">
        <v>419.1</v>
      </c>
      <c r="P26">
        <v>3325.5</v>
      </c>
      <c r="Q26">
        <v>0</v>
      </c>
      <c r="R26">
        <v>0</v>
      </c>
      <c r="S26">
        <v>0</v>
      </c>
      <c r="T26">
        <v>0</v>
      </c>
      <c r="U26">
        <v>0</v>
      </c>
      <c r="V26">
        <v>4.57</v>
      </c>
      <c r="W26">
        <v>3.5</v>
      </c>
      <c r="X26">
        <v>4.57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4.57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2023</v>
      </c>
      <c r="AK26">
        <v>2</v>
      </c>
      <c r="AL26">
        <v>1</v>
      </c>
      <c r="AM26">
        <v>0</v>
      </c>
      <c r="AN26">
        <v>1</v>
      </c>
    </row>
    <row r="27" spans="1:40" x14ac:dyDescent="0.25">
      <c r="A27">
        <v>26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>
        <v>3</v>
      </c>
      <c r="H27">
        <v>2</v>
      </c>
      <c r="I27">
        <v>1780</v>
      </c>
      <c r="J27">
        <v>0</v>
      </c>
      <c r="K27">
        <v>1</v>
      </c>
      <c r="L27">
        <v>2368.5</v>
      </c>
      <c r="M27">
        <v>1835.5</v>
      </c>
      <c r="N27">
        <v>4559.7</v>
      </c>
      <c r="O27">
        <v>89.1</v>
      </c>
      <c r="P27">
        <v>2826.2</v>
      </c>
      <c r="Q27">
        <v>0</v>
      </c>
      <c r="R27">
        <v>0</v>
      </c>
      <c r="S27">
        <v>0</v>
      </c>
      <c r="T27">
        <v>0</v>
      </c>
      <c r="U27">
        <v>0</v>
      </c>
      <c r="V27">
        <v>3.77</v>
      </c>
      <c r="W27">
        <v>3.5</v>
      </c>
      <c r="X27">
        <v>3.7700000000000018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3.7700000000000018</v>
      </c>
      <c r="AE27">
        <v>0</v>
      </c>
      <c r="AF27">
        <v>0</v>
      </c>
      <c r="AG27">
        <v>1</v>
      </c>
      <c r="AH27">
        <v>1</v>
      </c>
      <c r="AI27">
        <v>3</v>
      </c>
      <c r="AJ27">
        <v>2023</v>
      </c>
      <c r="AK27">
        <v>2</v>
      </c>
      <c r="AL27">
        <v>0</v>
      </c>
      <c r="AM27">
        <v>0</v>
      </c>
      <c r="AN27">
        <v>0</v>
      </c>
    </row>
    <row r="28" spans="1:40" x14ac:dyDescent="0.25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105</v>
      </c>
      <c r="G28">
        <v>2</v>
      </c>
      <c r="H28">
        <v>1</v>
      </c>
      <c r="I28">
        <v>1150</v>
      </c>
      <c r="J28">
        <v>0</v>
      </c>
      <c r="K28">
        <v>0</v>
      </c>
      <c r="L28">
        <v>6620.7</v>
      </c>
      <c r="M28">
        <v>4762</v>
      </c>
      <c r="N28">
        <v>8803.7999999999993</v>
      </c>
      <c r="O28">
        <v>1614.2</v>
      </c>
      <c r="P28">
        <v>8968.5</v>
      </c>
      <c r="Q28">
        <v>0</v>
      </c>
      <c r="R28">
        <v>0</v>
      </c>
      <c r="S28">
        <v>0</v>
      </c>
      <c r="T28">
        <v>0</v>
      </c>
      <c r="U28">
        <v>0</v>
      </c>
      <c r="V28">
        <v>2.33</v>
      </c>
      <c r="W28">
        <v>3.5</v>
      </c>
      <c r="X28">
        <v>2.330000000000001</v>
      </c>
      <c r="Y28">
        <v>0</v>
      </c>
      <c r="Z28">
        <v>0</v>
      </c>
      <c r="AA28">
        <v>0</v>
      </c>
      <c r="AB28">
        <v>0</v>
      </c>
      <c r="AC28">
        <v>2.330000000000001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2</v>
      </c>
      <c r="AJ28">
        <v>2023</v>
      </c>
      <c r="AK28">
        <v>2</v>
      </c>
      <c r="AL28">
        <v>0</v>
      </c>
      <c r="AM28">
        <v>0</v>
      </c>
      <c r="AN28">
        <v>0</v>
      </c>
    </row>
    <row r="29" spans="1:40" x14ac:dyDescent="0.25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190</v>
      </c>
      <c r="G29">
        <v>2</v>
      </c>
      <c r="H29">
        <v>1</v>
      </c>
      <c r="I29">
        <v>426</v>
      </c>
      <c r="J29">
        <v>0</v>
      </c>
      <c r="K29">
        <v>0</v>
      </c>
      <c r="L29">
        <v>4304.7</v>
      </c>
      <c r="M29">
        <v>1910.8</v>
      </c>
      <c r="N29">
        <v>14818.3</v>
      </c>
      <c r="O29">
        <v>1026</v>
      </c>
      <c r="P29">
        <v>16197.8</v>
      </c>
      <c r="Q29">
        <v>0</v>
      </c>
      <c r="R29">
        <v>0</v>
      </c>
      <c r="S29">
        <v>0</v>
      </c>
      <c r="T29">
        <v>0</v>
      </c>
      <c r="U29">
        <v>0</v>
      </c>
      <c r="V29">
        <v>1.66</v>
      </c>
      <c r="W29">
        <v>3</v>
      </c>
      <c r="X29">
        <v>1.66</v>
      </c>
      <c r="Y29">
        <v>0</v>
      </c>
      <c r="Z29">
        <v>0</v>
      </c>
      <c r="AA29">
        <v>0</v>
      </c>
      <c r="AB29">
        <v>0</v>
      </c>
      <c r="AC29">
        <v>1.66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2022</v>
      </c>
      <c r="AK29">
        <v>3</v>
      </c>
      <c r="AL29">
        <v>0</v>
      </c>
      <c r="AM29">
        <v>0</v>
      </c>
      <c r="AN29">
        <v>0</v>
      </c>
    </row>
    <row r="30" spans="1:40" x14ac:dyDescent="0.25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190</v>
      </c>
      <c r="G30">
        <v>1</v>
      </c>
      <c r="H30">
        <v>1</v>
      </c>
      <c r="I30">
        <v>310</v>
      </c>
      <c r="J30">
        <v>0</v>
      </c>
      <c r="K30">
        <v>0</v>
      </c>
      <c r="L30">
        <v>8506.9</v>
      </c>
      <c r="M30">
        <v>6113.1</v>
      </c>
      <c r="N30">
        <v>19020.599999999999</v>
      </c>
      <c r="O30">
        <v>1650.5</v>
      </c>
      <c r="P30">
        <v>20400.099999999999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1.46</v>
      </c>
      <c r="W30">
        <v>2.5</v>
      </c>
      <c r="X30">
        <v>0</v>
      </c>
      <c r="Y30">
        <v>0</v>
      </c>
      <c r="Z30">
        <v>0</v>
      </c>
      <c r="AA30">
        <v>0</v>
      </c>
      <c r="AB30">
        <v>1.46</v>
      </c>
      <c r="AC30">
        <v>0</v>
      </c>
      <c r="AD30">
        <v>0</v>
      </c>
      <c r="AE30">
        <v>0</v>
      </c>
      <c r="AF30">
        <v>1.46</v>
      </c>
      <c r="AG30">
        <v>0</v>
      </c>
      <c r="AH30">
        <v>0</v>
      </c>
      <c r="AI30">
        <v>0</v>
      </c>
      <c r="AL30">
        <v>0</v>
      </c>
      <c r="AM30">
        <v>0</v>
      </c>
      <c r="AN30">
        <v>0</v>
      </c>
    </row>
    <row r="31" spans="1:40" x14ac:dyDescent="0.25">
      <c r="A31">
        <v>30</v>
      </c>
      <c r="B31" t="s">
        <v>226</v>
      </c>
      <c r="C31" t="s">
        <v>227</v>
      </c>
      <c r="D31" t="s">
        <v>228</v>
      </c>
      <c r="E31" t="s">
        <v>229</v>
      </c>
      <c r="F31" t="s">
        <v>213</v>
      </c>
      <c r="G31">
        <v>3</v>
      </c>
      <c r="H31">
        <v>2</v>
      </c>
      <c r="I31">
        <v>3778</v>
      </c>
      <c r="J31">
        <v>0</v>
      </c>
      <c r="K31">
        <v>1</v>
      </c>
      <c r="L31">
        <v>2296</v>
      </c>
      <c r="M31">
        <v>1621.3</v>
      </c>
      <c r="N31">
        <v>3589.2</v>
      </c>
      <c r="O31">
        <v>57.6</v>
      </c>
      <c r="P31">
        <v>2614.4</v>
      </c>
      <c r="Q31">
        <v>0</v>
      </c>
      <c r="R31">
        <v>0</v>
      </c>
      <c r="S31">
        <v>0</v>
      </c>
      <c r="T31">
        <v>0</v>
      </c>
      <c r="U31">
        <v>0</v>
      </c>
      <c r="V31">
        <v>4.07</v>
      </c>
      <c r="W31">
        <v>3.5</v>
      </c>
      <c r="X31">
        <v>4.0700000000000021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4.0700000000000021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2023</v>
      </c>
      <c r="AK31">
        <v>2</v>
      </c>
      <c r="AL31">
        <v>0</v>
      </c>
      <c r="AM31">
        <v>0</v>
      </c>
      <c r="AN31">
        <v>0</v>
      </c>
    </row>
    <row r="32" spans="1:40" x14ac:dyDescent="0.25">
      <c r="A32">
        <v>31</v>
      </c>
      <c r="B32" t="s">
        <v>230</v>
      </c>
      <c r="C32" t="s">
        <v>231</v>
      </c>
      <c r="D32" t="s">
        <v>232</v>
      </c>
      <c r="E32" t="s">
        <v>233</v>
      </c>
      <c r="F32" t="s">
        <v>149</v>
      </c>
      <c r="G32">
        <v>1</v>
      </c>
      <c r="H32">
        <v>1</v>
      </c>
      <c r="I32">
        <v>499</v>
      </c>
      <c r="J32">
        <v>0</v>
      </c>
      <c r="K32">
        <v>0</v>
      </c>
      <c r="L32">
        <v>3513.6</v>
      </c>
      <c r="M32">
        <v>1365.5</v>
      </c>
      <c r="N32">
        <v>13272.8</v>
      </c>
      <c r="O32">
        <v>739.2</v>
      </c>
      <c r="P32">
        <v>11409.9</v>
      </c>
      <c r="Q32">
        <v>0</v>
      </c>
      <c r="R32">
        <v>0</v>
      </c>
      <c r="S32">
        <v>0</v>
      </c>
      <c r="T32">
        <v>0</v>
      </c>
      <c r="U32">
        <v>0</v>
      </c>
      <c r="V32">
        <v>0.66</v>
      </c>
      <c r="W32">
        <v>3</v>
      </c>
      <c r="X32">
        <v>0.1</v>
      </c>
      <c r="Y32">
        <v>0</v>
      </c>
      <c r="Z32">
        <v>0</v>
      </c>
      <c r="AA32">
        <v>0.56000000000000005</v>
      </c>
      <c r="AB32">
        <v>0</v>
      </c>
      <c r="AC32">
        <v>0</v>
      </c>
      <c r="AD32">
        <v>0.1</v>
      </c>
      <c r="AE32">
        <v>0</v>
      </c>
      <c r="AF32">
        <v>0.56000000000000005</v>
      </c>
      <c r="AG32">
        <v>0.15151515151515149</v>
      </c>
      <c r="AH32">
        <v>0</v>
      </c>
      <c r="AI32">
        <v>0</v>
      </c>
      <c r="AL32">
        <v>0</v>
      </c>
      <c r="AM32">
        <v>0</v>
      </c>
      <c r="AN32">
        <v>0</v>
      </c>
    </row>
    <row r="33" spans="1:40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154</v>
      </c>
      <c r="G33">
        <v>3</v>
      </c>
      <c r="H33">
        <v>2</v>
      </c>
      <c r="I33">
        <v>1568</v>
      </c>
      <c r="J33">
        <v>0</v>
      </c>
      <c r="K33">
        <v>1</v>
      </c>
      <c r="L33">
        <v>2719.8</v>
      </c>
      <c r="M33">
        <v>2340.1999999999998</v>
      </c>
      <c r="N33">
        <v>12479</v>
      </c>
      <c r="O33">
        <v>1116.4000000000001</v>
      </c>
      <c r="P33">
        <v>10616.1</v>
      </c>
      <c r="Q33">
        <v>0</v>
      </c>
      <c r="R33">
        <v>0</v>
      </c>
      <c r="S33">
        <v>0</v>
      </c>
      <c r="T33">
        <v>0</v>
      </c>
      <c r="U33">
        <v>0</v>
      </c>
      <c r="V33">
        <v>2.09</v>
      </c>
      <c r="W33">
        <v>3</v>
      </c>
      <c r="X33">
        <v>2.09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2.09</v>
      </c>
      <c r="AE33">
        <v>0</v>
      </c>
      <c r="AF33">
        <v>0</v>
      </c>
      <c r="AG33">
        <v>1</v>
      </c>
      <c r="AH33">
        <v>1</v>
      </c>
      <c r="AI33">
        <v>2</v>
      </c>
      <c r="AJ33">
        <v>2024</v>
      </c>
      <c r="AK33">
        <v>1</v>
      </c>
      <c r="AL33">
        <v>1</v>
      </c>
      <c r="AM33">
        <v>1</v>
      </c>
      <c r="AN33">
        <v>0</v>
      </c>
    </row>
    <row r="34" spans="1:40" x14ac:dyDescent="0.25">
      <c r="A34">
        <v>33</v>
      </c>
      <c r="B34" t="s">
        <v>238</v>
      </c>
      <c r="C34" t="s">
        <v>239</v>
      </c>
      <c r="D34" t="s">
        <v>240</v>
      </c>
      <c r="E34" t="s">
        <v>241</v>
      </c>
      <c r="F34" t="s">
        <v>149</v>
      </c>
      <c r="G34">
        <v>1</v>
      </c>
      <c r="H34">
        <v>1</v>
      </c>
      <c r="I34">
        <v>447</v>
      </c>
      <c r="J34">
        <v>0</v>
      </c>
      <c r="K34">
        <v>1</v>
      </c>
      <c r="L34">
        <v>3639.6</v>
      </c>
      <c r="M34">
        <v>2038.8</v>
      </c>
      <c r="N34">
        <v>13398.9</v>
      </c>
      <c r="O34">
        <v>865.2</v>
      </c>
      <c r="P34">
        <v>11536</v>
      </c>
      <c r="Q34">
        <v>0</v>
      </c>
      <c r="R34">
        <v>0</v>
      </c>
      <c r="S34">
        <v>0</v>
      </c>
      <c r="T34">
        <v>0</v>
      </c>
      <c r="U34">
        <v>0</v>
      </c>
      <c r="V34">
        <v>1.71</v>
      </c>
      <c r="W34">
        <v>3</v>
      </c>
      <c r="X34">
        <v>1.71</v>
      </c>
      <c r="Y34">
        <v>0</v>
      </c>
      <c r="Z34">
        <v>0</v>
      </c>
      <c r="AA34">
        <v>0</v>
      </c>
      <c r="AB34">
        <v>0</v>
      </c>
      <c r="AC34">
        <v>0.51</v>
      </c>
      <c r="AD34">
        <v>1.2</v>
      </c>
      <c r="AE34">
        <v>0</v>
      </c>
      <c r="AF34">
        <v>0</v>
      </c>
      <c r="AG34">
        <v>1</v>
      </c>
      <c r="AH34">
        <v>0</v>
      </c>
      <c r="AI34">
        <v>0</v>
      </c>
      <c r="AL34">
        <v>0</v>
      </c>
      <c r="AM34">
        <v>0</v>
      </c>
      <c r="AN34">
        <v>0</v>
      </c>
    </row>
    <row r="35" spans="1:40" x14ac:dyDescent="0.25">
      <c r="A35">
        <v>34</v>
      </c>
      <c r="B35" t="s">
        <v>242</v>
      </c>
      <c r="C35" t="s">
        <v>243</v>
      </c>
      <c r="D35" t="s">
        <v>244</v>
      </c>
      <c r="E35" t="s">
        <v>245</v>
      </c>
      <c r="F35" t="s">
        <v>149</v>
      </c>
      <c r="G35">
        <v>3</v>
      </c>
      <c r="H35">
        <v>1</v>
      </c>
      <c r="I35">
        <v>1733</v>
      </c>
      <c r="J35">
        <v>0</v>
      </c>
      <c r="K35">
        <v>1</v>
      </c>
      <c r="L35">
        <v>4613.6000000000004</v>
      </c>
      <c r="M35">
        <v>2943.6</v>
      </c>
      <c r="N35">
        <v>13008.9</v>
      </c>
      <c r="O35">
        <v>1839.2</v>
      </c>
      <c r="P35">
        <v>11146</v>
      </c>
      <c r="Q35">
        <v>0</v>
      </c>
      <c r="R35">
        <v>0</v>
      </c>
      <c r="S35">
        <v>0</v>
      </c>
      <c r="T35">
        <v>0</v>
      </c>
      <c r="U35">
        <v>0</v>
      </c>
      <c r="V35">
        <v>3.58</v>
      </c>
      <c r="W35">
        <v>3</v>
      </c>
      <c r="X35">
        <v>1.1000000000000001</v>
      </c>
      <c r="Y35">
        <v>0</v>
      </c>
      <c r="Z35">
        <v>0</v>
      </c>
      <c r="AA35">
        <v>2.4800000000000009</v>
      </c>
      <c r="AB35">
        <v>0</v>
      </c>
      <c r="AC35">
        <v>0</v>
      </c>
      <c r="AD35">
        <v>0.99999999999999989</v>
      </c>
      <c r="AE35">
        <v>0.1</v>
      </c>
      <c r="AF35">
        <v>2.4800000000000009</v>
      </c>
      <c r="AG35">
        <v>0.27932960893854741</v>
      </c>
      <c r="AH35">
        <v>0</v>
      </c>
      <c r="AI35">
        <v>0</v>
      </c>
      <c r="AL35">
        <v>0</v>
      </c>
      <c r="AM35">
        <v>0</v>
      </c>
      <c r="AN35">
        <v>0</v>
      </c>
    </row>
    <row r="36" spans="1:40" x14ac:dyDescent="0.25">
      <c r="A36">
        <v>35</v>
      </c>
      <c r="B36" t="s">
        <v>246</v>
      </c>
      <c r="C36" t="s">
        <v>247</v>
      </c>
      <c r="D36" t="s">
        <v>248</v>
      </c>
      <c r="E36" t="s">
        <v>249</v>
      </c>
      <c r="F36" t="s">
        <v>149</v>
      </c>
      <c r="G36">
        <v>2</v>
      </c>
      <c r="H36">
        <v>1</v>
      </c>
      <c r="I36">
        <v>1286</v>
      </c>
      <c r="J36">
        <v>0</v>
      </c>
      <c r="K36">
        <v>1</v>
      </c>
      <c r="L36">
        <v>3704</v>
      </c>
      <c r="M36">
        <v>1555.9</v>
      </c>
      <c r="N36">
        <v>13463.2</v>
      </c>
      <c r="O36">
        <v>929.6</v>
      </c>
      <c r="P36">
        <v>11600.3</v>
      </c>
      <c r="Q36">
        <v>0</v>
      </c>
      <c r="R36">
        <v>0</v>
      </c>
      <c r="S36">
        <v>0</v>
      </c>
      <c r="T36">
        <v>0</v>
      </c>
      <c r="U36">
        <v>0</v>
      </c>
      <c r="V36">
        <v>1.26</v>
      </c>
      <c r="W36">
        <v>3.5</v>
      </c>
      <c r="X36">
        <v>0.99999999999999989</v>
      </c>
      <c r="Y36">
        <v>0</v>
      </c>
      <c r="Z36">
        <v>0.26</v>
      </c>
      <c r="AA36">
        <v>0</v>
      </c>
      <c r="AB36">
        <v>0</v>
      </c>
      <c r="AC36">
        <v>0.2</v>
      </c>
      <c r="AD36">
        <v>0.6</v>
      </c>
      <c r="AE36">
        <v>0.2</v>
      </c>
      <c r="AF36">
        <v>0.26</v>
      </c>
      <c r="AG36">
        <v>0.634920634920635</v>
      </c>
      <c r="AH36">
        <v>0</v>
      </c>
      <c r="AI36">
        <v>0</v>
      </c>
      <c r="AL36">
        <v>0</v>
      </c>
      <c r="AM36">
        <v>0</v>
      </c>
      <c r="AN36">
        <v>0</v>
      </c>
    </row>
    <row r="37" spans="1:40" x14ac:dyDescent="0.25">
      <c r="A37">
        <v>36</v>
      </c>
      <c r="B37" t="s">
        <v>250</v>
      </c>
      <c r="C37" t="s">
        <v>251</v>
      </c>
      <c r="D37" t="s">
        <v>252</v>
      </c>
      <c r="E37" t="s">
        <v>253</v>
      </c>
      <c r="F37" t="s">
        <v>154</v>
      </c>
      <c r="G37">
        <v>3</v>
      </c>
      <c r="H37">
        <v>2</v>
      </c>
      <c r="I37">
        <v>1579</v>
      </c>
      <c r="J37">
        <v>0</v>
      </c>
      <c r="K37">
        <v>1</v>
      </c>
      <c r="L37">
        <v>4916.3999999999996</v>
      </c>
      <c r="M37">
        <v>1098.2</v>
      </c>
      <c r="N37">
        <v>14675.6</v>
      </c>
      <c r="O37">
        <v>222.1</v>
      </c>
      <c r="P37">
        <v>12812.7</v>
      </c>
      <c r="Q37">
        <v>0</v>
      </c>
      <c r="R37">
        <v>0</v>
      </c>
      <c r="S37">
        <v>0</v>
      </c>
      <c r="T37">
        <v>0</v>
      </c>
      <c r="U37">
        <v>0</v>
      </c>
      <c r="V37">
        <v>2.11</v>
      </c>
      <c r="W37">
        <v>3.5</v>
      </c>
      <c r="X37">
        <v>2.11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2.11</v>
      </c>
      <c r="AE37">
        <v>0</v>
      </c>
      <c r="AF37">
        <v>0</v>
      </c>
      <c r="AG37">
        <v>1</v>
      </c>
      <c r="AH37">
        <v>0</v>
      </c>
      <c r="AI37">
        <v>0</v>
      </c>
      <c r="AL37">
        <v>0</v>
      </c>
      <c r="AM37">
        <v>0</v>
      </c>
      <c r="AN37">
        <v>0</v>
      </c>
    </row>
    <row r="38" spans="1:40" x14ac:dyDescent="0.25">
      <c r="A38">
        <v>37</v>
      </c>
      <c r="B38" t="s">
        <v>254</v>
      </c>
      <c r="C38" t="s">
        <v>255</v>
      </c>
      <c r="D38" t="s">
        <v>256</v>
      </c>
      <c r="E38" t="s">
        <v>257</v>
      </c>
      <c r="F38" t="s">
        <v>176</v>
      </c>
      <c r="G38">
        <v>1</v>
      </c>
      <c r="H38">
        <v>1</v>
      </c>
      <c r="I38">
        <v>668</v>
      </c>
      <c r="J38">
        <v>0</v>
      </c>
      <c r="K38">
        <v>0</v>
      </c>
      <c r="L38">
        <v>3386.3</v>
      </c>
      <c r="M38">
        <v>3536.4</v>
      </c>
      <c r="N38">
        <v>1759.6</v>
      </c>
      <c r="O38">
        <v>1501.9</v>
      </c>
      <c r="P38">
        <v>3431.5</v>
      </c>
      <c r="Q38">
        <v>0</v>
      </c>
      <c r="R38">
        <v>0</v>
      </c>
      <c r="S38">
        <v>0</v>
      </c>
      <c r="T38">
        <v>0</v>
      </c>
      <c r="U38">
        <v>0</v>
      </c>
      <c r="V38">
        <v>0.79</v>
      </c>
      <c r="W38">
        <v>3.5</v>
      </c>
      <c r="X38">
        <v>0.78999999999999992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0.78999999999999992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N38">
        <v>0</v>
      </c>
    </row>
    <row r="39" spans="1:40" x14ac:dyDescent="0.25">
      <c r="A39">
        <v>38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>
        <v>2</v>
      </c>
      <c r="H39">
        <v>2</v>
      </c>
      <c r="I39">
        <v>1716</v>
      </c>
      <c r="J39">
        <v>0</v>
      </c>
      <c r="K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5.61</v>
      </c>
      <c r="W39">
        <v>3</v>
      </c>
      <c r="X39">
        <v>0</v>
      </c>
      <c r="Y39">
        <v>0</v>
      </c>
      <c r="Z39">
        <v>0</v>
      </c>
      <c r="AA39">
        <v>0</v>
      </c>
      <c r="AB39">
        <v>5.6099999999999959</v>
      </c>
      <c r="AC39">
        <v>0</v>
      </c>
      <c r="AD39">
        <v>0</v>
      </c>
      <c r="AE39">
        <v>0</v>
      </c>
      <c r="AF39">
        <v>5.6099999999999959</v>
      </c>
      <c r="AG39">
        <v>0</v>
      </c>
      <c r="AH39">
        <v>0</v>
      </c>
      <c r="AI39">
        <v>0</v>
      </c>
      <c r="AL39">
        <v>0</v>
      </c>
      <c r="AM39">
        <v>0</v>
      </c>
      <c r="AN39">
        <v>0</v>
      </c>
    </row>
    <row r="40" spans="1:40" x14ac:dyDescent="0.25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105</v>
      </c>
      <c r="G40">
        <v>2</v>
      </c>
      <c r="H40">
        <v>1</v>
      </c>
      <c r="I40">
        <v>1057</v>
      </c>
      <c r="J40">
        <v>0</v>
      </c>
      <c r="K40">
        <v>1</v>
      </c>
      <c r="L40">
        <v>2640.6</v>
      </c>
      <c r="M40">
        <v>1440.1</v>
      </c>
      <c r="N40">
        <v>3946.6</v>
      </c>
      <c r="O40">
        <v>946.5</v>
      </c>
      <c r="P40">
        <v>4542.3999999999996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1.39</v>
      </c>
      <c r="W40">
        <v>3</v>
      </c>
      <c r="X40">
        <v>1.39</v>
      </c>
      <c r="Y40">
        <v>0</v>
      </c>
      <c r="Z40">
        <v>0</v>
      </c>
      <c r="AA40">
        <v>0</v>
      </c>
      <c r="AB40">
        <v>0</v>
      </c>
      <c r="AC40">
        <v>1.39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2024</v>
      </c>
      <c r="AK40">
        <v>1</v>
      </c>
      <c r="AL40">
        <v>0</v>
      </c>
      <c r="AM40">
        <v>0</v>
      </c>
      <c r="AN40">
        <v>0</v>
      </c>
    </row>
    <row r="41" spans="1:40" x14ac:dyDescent="0.25">
      <c r="A41">
        <v>40</v>
      </c>
      <c r="B41" t="s">
        <v>267</v>
      </c>
      <c r="C41" t="s">
        <v>268</v>
      </c>
      <c r="D41" t="s">
        <v>269</v>
      </c>
      <c r="E41" t="s">
        <v>194</v>
      </c>
      <c r="F41" t="s">
        <v>100</v>
      </c>
      <c r="G41">
        <v>1</v>
      </c>
      <c r="H41">
        <v>1</v>
      </c>
      <c r="I41">
        <v>1874</v>
      </c>
      <c r="J41">
        <v>0</v>
      </c>
      <c r="K41">
        <v>1</v>
      </c>
      <c r="L41">
        <v>2875.3</v>
      </c>
      <c r="M41">
        <v>2807.9</v>
      </c>
      <c r="N41">
        <v>4548</v>
      </c>
      <c r="O41">
        <v>991.5</v>
      </c>
      <c r="P41">
        <v>2685.1</v>
      </c>
      <c r="Q41">
        <v>0</v>
      </c>
      <c r="R41">
        <v>0</v>
      </c>
      <c r="S41">
        <v>0</v>
      </c>
      <c r="T41">
        <v>0</v>
      </c>
      <c r="U41">
        <v>0</v>
      </c>
      <c r="V41">
        <v>2.1</v>
      </c>
      <c r="W41">
        <v>3</v>
      </c>
      <c r="X41">
        <v>2.100000000000001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2.100000000000001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2023</v>
      </c>
      <c r="AK41">
        <v>2</v>
      </c>
      <c r="AL41">
        <v>1</v>
      </c>
      <c r="AM41">
        <v>0</v>
      </c>
      <c r="AN41">
        <v>1</v>
      </c>
    </row>
    <row r="42" spans="1:40" x14ac:dyDescent="0.25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100</v>
      </c>
      <c r="G42">
        <v>3</v>
      </c>
      <c r="H42">
        <v>1</v>
      </c>
      <c r="I42">
        <v>1903</v>
      </c>
      <c r="J42">
        <v>0</v>
      </c>
      <c r="K42">
        <v>0</v>
      </c>
      <c r="L42">
        <v>3312.2</v>
      </c>
      <c r="M42">
        <v>3299.3</v>
      </c>
      <c r="N42">
        <v>3671.3</v>
      </c>
      <c r="O42">
        <v>922.4</v>
      </c>
      <c r="P42">
        <v>3167.3</v>
      </c>
      <c r="Q42">
        <v>0</v>
      </c>
      <c r="R42">
        <v>0</v>
      </c>
      <c r="S42">
        <v>0</v>
      </c>
      <c r="T42">
        <v>0</v>
      </c>
      <c r="U42">
        <v>0</v>
      </c>
      <c r="V42">
        <v>1.24</v>
      </c>
      <c r="W42">
        <v>3</v>
      </c>
      <c r="X42">
        <v>1.24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1.24</v>
      </c>
      <c r="AE42">
        <v>0</v>
      </c>
      <c r="AF42">
        <v>0</v>
      </c>
      <c r="AG42">
        <v>1</v>
      </c>
      <c r="AH42">
        <v>0</v>
      </c>
      <c r="AI42">
        <v>0</v>
      </c>
      <c r="AL42">
        <v>0</v>
      </c>
      <c r="AM42">
        <v>0</v>
      </c>
      <c r="AN42">
        <v>0</v>
      </c>
    </row>
    <row r="43" spans="1:40" x14ac:dyDescent="0.25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100</v>
      </c>
      <c r="G43">
        <v>2</v>
      </c>
      <c r="H43">
        <v>1</v>
      </c>
      <c r="I43">
        <v>1164</v>
      </c>
      <c r="J43">
        <v>0</v>
      </c>
      <c r="K43">
        <v>0</v>
      </c>
      <c r="L43">
        <v>4064.3</v>
      </c>
      <c r="M43">
        <v>3949.4</v>
      </c>
      <c r="N43">
        <v>4423.3999999999996</v>
      </c>
      <c r="O43">
        <v>897</v>
      </c>
      <c r="P43">
        <v>3919.4</v>
      </c>
      <c r="Q43">
        <v>0</v>
      </c>
      <c r="R43">
        <v>0</v>
      </c>
      <c r="S43">
        <v>0</v>
      </c>
      <c r="T43">
        <v>0</v>
      </c>
      <c r="U43">
        <v>0</v>
      </c>
      <c r="V43">
        <v>1.63</v>
      </c>
      <c r="W43">
        <v>3</v>
      </c>
      <c r="X43">
        <v>1.63</v>
      </c>
      <c r="Y43">
        <v>0</v>
      </c>
      <c r="Z43">
        <v>0</v>
      </c>
      <c r="AA43">
        <v>0</v>
      </c>
      <c r="AB43">
        <v>0</v>
      </c>
      <c r="AC43">
        <v>0.6</v>
      </c>
      <c r="AD43">
        <v>1.03</v>
      </c>
      <c r="AE43">
        <v>0</v>
      </c>
      <c r="AF43">
        <v>0</v>
      </c>
      <c r="AG43">
        <v>1</v>
      </c>
      <c r="AH43">
        <v>0</v>
      </c>
      <c r="AI43">
        <v>0</v>
      </c>
      <c r="AL43">
        <v>0</v>
      </c>
      <c r="AM43">
        <v>0</v>
      </c>
      <c r="AN43">
        <v>0</v>
      </c>
    </row>
    <row r="44" spans="1:40" x14ac:dyDescent="0.25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176</v>
      </c>
      <c r="G44">
        <v>2</v>
      </c>
      <c r="H44">
        <v>1</v>
      </c>
      <c r="I44">
        <v>743</v>
      </c>
      <c r="J44">
        <v>0</v>
      </c>
      <c r="K44">
        <v>0</v>
      </c>
      <c r="L44">
        <v>3233.4</v>
      </c>
      <c r="M44">
        <v>3264.1</v>
      </c>
      <c r="N44">
        <v>10405.200000000001</v>
      </c>
      <c r="O44">
        <v>1686.5</v>
      </c>
      <c r="P44">
        <v>12077.1</v>
      </c>
      <c r="Q44">
        <v>0</v>
      </c>
      <c r="R44">
        <v>0</v>
      </c>
      <c r="S44">
        <v>0</v>
      </c>
      <c r="T44">
        <v>0</v>
      </c>
      <c r="U44">
        <v>0</v>
      </c>
      <c r="V44">
        <v>1.32</v>
      </c>
      <c r="W44">
        <v>3</v>
      </c>
      <c r="X44">
        <v>1.32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</v>
      </c>
      <c r="AE44">
        <v>0</v>
      </c>
      <c r="AF44">
        <v>0</v>
      </c>
      <c r="AG44">
        <v>1</v>
      </c>
      <c r="AH44">
        <v>1</v>
      </c>
      <c r="AI44">
        <v>2</v>
      </c>
      <c r="AJ44">
        <v>2024</v>
      </c>
      <c r="AK44">
        <v>1</v>
      </c>
      <c r="AL44">
        <v>0</v>
      </c>
      <c r="AM44">
        <v>0</v>
      </c>
      <c r="AN44">
        <v>0</v>
      </c>
    </row>
    <row r="45" spans="1:40" x14ac:dyDescent="0.25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185</v>
      </c>
      <c r="G45">
        <v>1</v>
      </c>
      <c r="H45">
        <v>1</v>
      </c>
      <c r="I45">
        <v>330</v>
      </c>
      <c r="J45">
        <v>0</v>
      </c>
      <c r="K45">
        <v>0</v>
      </c>
      <c r="L45">
        <v>3131.6</v>
      </c>
      <c r="M45">
        <v>5196.5</v>
      </c>
      <c r="N45">
        <v>11050</v>
      </c>
      <c r="O45">
        <v>1557.1</v>
      </c>
      <c r="P45">
        <v>41329.599999999999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2.33</v>
      </c>
      <c r="W45">
        <v>4</v>
      </c>
      <c r="X45">
        <v>0</v>
      </c>
      <c r="Y45">
        <v>0</v>
      </c>
      <c r="Z45">
        <v>0</v>
      </c>
      <c r="AA45">
        <v>2.330000000000001</v>
      </c>
      <c r="AB45">
        <v>0</v>
      </c>
      <c r="AC45">
        <v>0</v>
      </c>
      <c r="AD45">
        <v>0</v>
      </c>
      <c r="AE45">
        <v>0</v>
      </c>
      <c r="AF45">
        <v>2.330000000000001</v>
      </c>
      <c r="AG45">
        <v>0</v>
      </c>
      <c r="AH45">
        <v>1</v>
      </c>
      <c r="AI45">
        <v>2</v>
      </c>
      <c r="AJ45">
        <v>2024</v>
      </c>
      <c r="AK45">
        <v>1</v>
      </c>
      <c r="AL45">
        <v>0</v>
      </c>
      <c r="AM45">
        <v>0</v>
      </c>
      <c r="AN45">
        <v>0</v>
      </c>
    </row>
    <row r="46" spans="1:40" x14ac:dyDescent="0.25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176</v>
      </c>
      <c r="G46">
        <v>2</v>
      </c>
      <c r="H46">
        <v>1</v>
      </c>
      <c r="I46">
        <v>459</v>
      </c>
      <c r="J46">
        <v>0</v>
      </c>
      <c r="K46">
        <v>0</v>
      </c>
      <c r="L46">
        <v>1554.6</v>
      </c>
      <c r="M46">
        <v>1585.3</v>
      </c>
      <c r="N46">
        <v>6402</v>
      </c>
      <c r="O46">
        <v>1197.5</v>
      </c>
      <c r="P46">
        <v>8073.9</v>
      </c>
      <c r="Q46">
        <v>0</v>
      </c>
      <c r="R46">
        <v>0</v>
      </c>
      <c r="S46">
        <v>0</v>
      </c>
      <c r="T46">
        <v>0</v>
      </c>
      <c r="U46">
        <v>0</v>
      </c>
      <c r="V46">
        <v>0.82</v>
      </c>
      <c r="W46">
        <v>3.5</v>
      </c>
      <c r="X46">
        <v>0</v>
      </c>
      <c r="Y46">
        <v>0</v>
      </c>
      <c r="Z46">
        <v>0</v>
      </c>
      <c r="AA46">
        <v>0.82</v>
      </c>
      <c r="AB46">
        <v>0</v>
      </c>
      <c r="AC46">
        <v>0</v>
      </c>
      <c r="AD46">
        <v>0</v>
      </c>
      <c r="AE46">
        <v>0</v>
      </c>
      <c r="AF46">
        <v>0.82</v>
      </c>
      <c r="AG46">
        <v>0</v>
      </c>
      <c r="AH46">
        <v>0</v>
      </c>
      <c r="AI46">
        <v>0</v>
      </c>
      <c r="AL46">
        <v>0</v>
      </c>
      <c r="AM46">
        <v>0</v>
      </c>
      <c r="AN46">
        <v>0</v>
      </c>
    </row>
    <row r="47" spans="1:40" x14ac:dyDescent="0.2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176</v>
      </c>
      <c r="G47">
        <v>2</v>
      </c>
      <c r="H47">
        <v>1</v>
      </c>
      <c r="I47">
        <v>527</v>
      </c>
      <c r="J47">
        <v>0</v>
      </c>
      <c r="K47">
        <v>0</v>
      </c>
      <c r="L47">
        <v>4542.8</v>
      </c>
      <c r="M47">
        <v>4573.5</v>
      </c>
      <c r="N47">
        <v>11710.7</v>
      </c>
      <c r="O47">
        <v>2035.2</v>
      </c>
      <c r="P47">
        <v>13382.6</v>
      </c>
      <c r="Q47">
        <v>0</v>
      </c>
      <c r="R47">
        <v>0</v>
      </c>
      <c r="S47">
        <v>0</v>
      </c>
      <c r="T47">
        <v>0</v>
      </c>
      <c r="U47">
        <v>0</v>
      </c>
      <c r="V47">
        <v>1.61</v>
      </c>
      <c r="W47">
        <v>3</v>
      </c>
      <c r="X47">
        <v>1.61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1.61</v>
      </c>
      <c r="AG47">
        <v>0</v>
      </c>
      <c r="AH47">
        <v>0</v>
      </c>
      <c r="AI47">
        <v>0</v>
      </c>
      <c r="AL47">
        <v>0</v>
      </c>
      <c r="AM47">
        <v>0</v>
      </c>
      <c r="AN47">
        <v>0</v>
      </c>
    </row>
    <row r="48" spans="1:40" x14ac:dyDescent="0.25">
      <c r="A48">
        <v>47</v>
      </c>
      <c r="B48" t="s">
        <v>294</v>
      </c>
      <c r="C48" t="s">
        <v>295</v>
      </c>
      <c r="D48" t="s">
        <v>296</v>
      </c>
      <c r="E48" t="s">
        <v>297</v>
      </c>
      <c r="F48" t="s">
        <v>176</v>
      </c>
      <c r="G48">
        <v>2</v>
      </c>
      <c r="H48">
        <v>1</v>
      </c>
      <c r="I48">
        <v>751</v>
      </c>
      <c r="J48">
        <v>0</v>
      </c>
      <c r="K48">
        <v>0</v>
      </c>
      <c r="L48">
        <v>1424.6</v>
      </c>
      <c r="M48">
        <v>1455.3</v>
      </c>
      <c r="N48">
        <v>8596.5</v>
      </c>
      <c r="O48">
        <v>1082.9000000000001</v>
      </c>
      <c r="P48">
        <v>10268.4</v>
      </c>
      <c r="Q48">
        <v>0</v>
      </c>
      <c r="R48">
        <v>0</v>
      </c>
      <c r="S48">
        <v>0</v>
      </c>
      <c r="T48">
        <v>0</v>
      </c>
      <c r="U48">
        <v>0</v>
      </c>
      <c r="V48">
        <v>2.1800000000000002</v>
      </c>
      <c r="W48">
        <v>3</v>
      </c>
      <c r="X48">
        <v>2.180000000000001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1.9800000000000011</v>
      </c>
      <c r="AE48">
        <v>0.2</v>
      </c>
      <c r="AF48">
        <v>0</v>
      </c>
      <c r="AG48">
        <v>0.90825688073394495</v>
      </c>
      <c r="AH48">
        <v>1</v>
      </c>
      <c r="AI48">
        <v>2</v>
      </c>
      <c r="AJ48">
        <v>2023</v>
      </c>
      <c r="AK48">
        <v>2</v>
      </c>
      <c r="AL48">
        <v>0</v>
      </c>
      <c r="AM48">
        <v>0</v>
      </c>
      <c r="AN48">
        <v>0</v>
      </c>
    </row>
    <row r="49" spans="1:40" x14ac:dyDescent="0.25">
      <c r="A49">
        <v>48</v>
      </c>
      <c r="B49" t="s">
        <v>298</v>
      </c>
      <c r="C49" t="s">
        <v>299</v>
      </c>
      <c r="D49" t="s">
        <v>300</v>
      </c>
      <c r="E49" t="s">
        <v>301</v>
      </c>
      <c r="F49" t="s">
        <v>176</v>
      </c>
      <c r="G49">
        <v>2</v>
      </c>
      <c r="H49">
        <v>1</v>
      </c>
      <c r="I49">
        <v>643</v>
      </c>
      <c r="J49">
        <v>0</v>
      </c>
      <c r="K49">
        <v>0</v>
      </c>
      <c r="L49">
        <v>1284.0999999999999</v>
      </c>
      <c r="M49">
        <v>1314.8</v>
      </c>
      <c r="N49">
        <v>6603.6</v>
      </c>
      <c r="O49">
        <v>516.5</v>
      </c>
      <c r="P49">
        <v>8275.5</v>
      </c>
      <c r="Q49">
        <v>0</v>
      </c>
      <c r="R49">
        <v>0</v>
      </c>
      <c r="S49">
        <v>0</v>
      </c>
      <c r="T49">
        <v>0</v>
      </c>
      <c r="U49">
        <v>0</v>
      </c>
      <c r="V49">
        <v>0.55000000000000004</v>
      </c>
      <c r="W49">
        <v>3.5</v>
      </c>
      <c r="X49">
        <v>0.55000000000000004</v>
      </c>
      <c r="Y49">
        <v>0</v>
      </c>
      <c r="Z49">
        <v>0</v>
      </c>
      <c r="AA49">
        <v>0</v>
      </c>
      <c r="AB49">
        <v>0</v>
      </c>
      <c r="AC49">
        <v>0.55000000000000004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2024</v>
      </c>
      <c r="AK49">
        <v>1</v>
      </c>
      <c r="AL49">
        <v>0</v>
      </c>
      <c r="AM49">
        <v>0</v>
      </c>
      <c r="AN49">
        <v>0</v>
      </c>
    </row>
    <row r="50" spans="1:40" x14ac:dyDescent="0.25">
      <c r="A50">
        <v>49</v>
      </c>
      <c r="B50" t="s">
        <v>302</v>
      </c>
      <c r="C50" t="s">
        <v>303</v>
      </c>
      <c r="D50" t="s">
        <v>304</v>
      </c>
      <c r="E50" t="s">
        <v>305</v>
      </c>
      <c r="F50" t="s">
        <v>127</v>
      </c>
      <c r="G50">
        <v>1</v>
      </c>
      <c r="H50">
        <v>1</v>
      </c>
      <c r="I50">
        <v>507</v>
      </c>
      <c r="J50">
        <v>0</v>
      </c>
      <c r="K50">
        <v>0</v>
      </c>
      <c r="L50">
        <v>22881.599999999999</v>
      </c>
      <c r="M50">
        <v>18931.900000000001</v>
      </c>
      <c r="N50">
        <v>25092</v>
      </c>
      <c r="O50">
        <v>4485.5</v>
      </c>
      <c r="P50">
        <v>24994.400000000001</v>
      </c>
      <c r="Q50">
        <v>0</v>
      </c>
      <c r="R50">
        <v>0</v>
      </c>
      <c r="S50">
        <v>0</v>
      </c>
      <c r="T50">
        <v>0</v>
      </c>
      <c r="U50">
        <v>0</v>
      </c>
      <c r="V50">
        <v>4.2699999999999996</v>
      </c>
      <c r="W50">
        <v>3.5</v>
      </c>
      <c r="X50">
        <v>4.2700000000000014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0.2</v>
      </c>
      <c r="AE50">
        <v>0.4</v>
      </c>
      <c r="AF50">
        <v>3.6700000000000021</v>
      </c>
      <c r="AG50">
        <v>4.6838407494145189E-2</v>
      </c>
      <c r="AH50">
        <v>0</v>
      </c>
      <c r="AI50">
        <v>0</v>
      </c>
      <c r="AL50">
        <v>0</v>
      </c>
      <c r="AM50">
        <v>0</v>
      </c>
      <c r="AN50">
        <v>0</v>
      </c>
    </row>
    <row r="51" spans="1:40" x14ac:dyDescent="0.25">
      <c r="A51">
        <v>50</v>
      </c>
      <c r="B51" t="s">
        <v>306</v>
      </c>
      <c r="C51" t="s">
        <v>307</v>
      </c>
      <c r="D51" t="s">
        <v>308</v>
      </c>
      <c r="E51" t="s">
        <v>309</v>
      </c>
      <c r="F51" t="s">
        <v>310</v>
      </c>
      <c r="G51">
        <v>3</v>
      </c>
      <c r="H51">
        <v>1</v>
      </c>
      <c r="I51">
        <v>1058</v>
      </c>
      <c r="J51">
        <v>1</v>
      </c>
      <c r="K51">
        <v>0</v>
      </c>
      <c r="L51">
        <v>29266.799999999999</v>
      </c>
      <c r="M51">
        <v>5229.2</v>
      </c>
      <c r="N51">
        <v>31477.200000000001</v>
      </c>
      <c r="O51">
        <v>1499.1</v>
      </c>
      <c r="P51">
        <v>31379.5</v>
      </c>
      <c r="Q51">
        <v>0</v>
      </c>
      <c r="R51">
        <v>0</v>
      </c>
      <c r="S51">
        <v>0</v>
      </c>
      <c r="T51">
        <v>0</v>
      </c>
      <c r="U51">
        <v>0</v>
      </c>
      <c r="V51">
        <v>0.61</v>
      </c>
      <c r="W51">
        <v>3.5</v>
      </c>
      <c r="X51">
        <v>0.61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0.2</v>
      </c>
      <c r="AE51">
        <v>0</v>
      </c>
      <c r="AF51">
        <v>0.41</v>
      </c>
      <c r="AG51">
        <v>0.32786885245901642</v>
      </c>
      <c r="AH51">
        <v>0</v>
      </c>
      <c r="AI51">
        <v>0</v>
      </c>
      <c r="AL51">
        <v>0</v>
      </c>
      <c r="AM51">
        <v>0</v>
      </c>
      <c r="AN51">
        <v>0</v>
      </c>
    </row>
    <row r="52" spans="1:40" x14ac:dyDescent="0.25">
      <c r="A52">
        <v>51</v>
      </c>
      <c r="B52" t="s">
        <v>311</v>
      </c>
      <c r="C52" t="s">
        <v>312</v>
      </c>
      <c r="D52" t="s">
        <v>313</v>
      </c>
      <c r="E52" t="s">
        <v>314</v>
      </c>
      <c r="F52" t="s">
        <v>315</v>
      </c>
      <c r="G52">
        <v>6</v>
      </c>
      <c r="H52">
        <v>1</v>
      </c>
      <c r="I52">
        <v>4606</v>
      </c>
      <c r="J52">
        <v>1</v>
      </c>
      <c r="K52">
        <v>0</v>
      </c>
      <c r="L52">
        <v>1430.4</v>
      </c>
      <c r="M52">
        <v>0</v>
      </c>
      <c r="N52">
        <v>2388.8000000000002</v>
      </c>
      <c r="O52">
        <v>114.3</v>
      </c>
      <c r="P52">
        <v>29002</v>
      </c>
      <c r="Q52">
        <v>0</v>
      </c>
      <c r="R52">
        <v>0</v>
      </c>
      <c r="S52">
        <v>0</v>
      </c>
      <c r="T52">
        <v>0</v>
      </c>
      <c r="U52">
        <v>0</v>
      </c>
      <c r="V52">
        <v>2.86</v>
      </c>
      <c r="W52">
        <v>3.5</v>
      </c>
      <c r="X52">
        <v>2.8600000000000012</v>
      </c>
      <c r="Y52">
        <v>0</v>
      </c>
      <c r="Z52">
        <v>0</v>
      </c>
      <c r="AA52">
        <v>0</v>
      </c>
      <c r="AB52">
        <v>0</v>
      </c>
      <c r="AC52">
        <v>1.6</v>
      </c>
      <c r="AD52">
        <v>0</v>
      </c>
      <c r="AE52">
        <v>1.06</v>
      </c>
      <c r="AF52">
        <v>0.2</v>
      </c>
      <c r="AG52">
        <v>0.55944055944055948</v>
      </c>
      <c r="AH52">
        <v>1</v>
      </c>
      <c r="AI52">
        <v>1</v>
      </c>
      <c r="AJ52">
        <v>2022</v>
      </c>
      <c r="AK52">
        <v>3</v>
      </c>
      <c r="AL52">
        <v>0</v>
      </c>
      <c r="AM52">
        <v>0</v>
      </c>
      <c r="AN52">
        <v>0</v>
      </c>
    </row>
    <row r="53" spans="1:40" x14ac:dyDescent="0.25">
      <c r="A53">
        <v>52</v>
      </c>
      <c r="B53" t="s">
        <v>316</v>
      </c>
      <c r="C53" t="s">
        <v>317</v>
      </c>
      <c r="D53" t="s">
        <v>318</v>
      </c>
      <c r="E53" t="s">
        <v>319</v>
      </c>
      <c r="F53" t="s">
        <v>315</v>
      </c>
      <c r="G53">
        <v>3</v>
      </c>
      <c r="H53">
        <v>1</v>
      </c>
      <c r="I53">
        <v>2075</v>
      </c>
      <c r="J53">
        <v>0</v>
      </c>
      <c r="K53">
        <v>0</v>
      </c>
      <c r="L53">
        <v>1135.9000000000001</v>
      </c>
      <c r="M53">
        <v>1027.3</v>
      </c>
      <c r="N53">
        <v>705.3</v>
      </c>
      <c r="O53">
        <v>197.1</v>
      </c>
      <c r="P53">
        <v>27941.3</v>
      </c>
      <c r="Q53">
        <v>0</v>
      </c>
      <c r="R53">
        <v>0</v>
      </c>
      <c r="S53">
        <v>0</v>
      </c>
      <c r="T53">
        <v>0</v>
      </c>
      <c r="U53">
        <v>0</v>
      </c>
      <c r="V53">
        <v>2.21</v>
      </c>
      <c r="W53">
        <v>3.5</v>
      </c>
      <c r="X53">
        <v>2.100000000000001</v>
      </c>
      <c r="Y53">
        <v>0</v>
      </c>
      <c r="Z53">
        <v>0</v>
      </c>
      <c r="AA53">
        <v>0</v>
      </c>
      <c r="AB53">
        <v>0.11</v>
      </c>
      <c r="AC53">
        <v>0</v>
      </c>
      <c r="AD53">
        <v>0.89999999999999991</v>
      </c>
      <c r="AE53">
        <v>0.79999999999999993</v>
      </c>
      <c r="AF53">
        <v>0.51</v>
      </c>
      <c r="AG53">
        <v>0.40723981900452477</v>
      </c>
      <c r="AH53">
        <v>0</v>
      </c>
      <c r="AI53">
        <v>0</v>
      </c>
      <c r="AL53">
        <v>0</v>
      </c>
      <c r="AM53">
        <v>0</v>
      </c>
      <c r="AN53">
        <v>0</v>
      </c>
    </row>
    <row r="54" spans="1:40" x14ac:dyDescent="0.25">
      <c r="A54">
        <v>53</v>
      </c>
      <c r="B54" t="s">
        <v>320</v>
      </c>
      <c r="C54" t="s">
        <v>321</v>
      </c>
      <c r="D54" t="s">
        <v>322</v>
      </c>
      <c r="E54" t="s">
        <v>323</v>
      </c>
      <c r="F54" t="s">
        <v>100</v>
      </c>
      <c r="G54">
        <v>1</v>
      </c>
      <c r="H54">
        <v>1</v>
      </c>
      <c r="I54">
        <v>938</v>
      </c>
      <c r="J54">
        <v>0</v>
      </c>
      <c r="K54">
        <v>0</v>
      </c>
      <c r="L54">
        <v>920.9</v>
      </c>
      <c r="M54">
        <v>1071</v>
      </c>
      <c r="N54">
        <v>1065.3</v>
      </c>
      <c r="O54">
        <v>210.7</v>
      </c>
      <c r="P54">
        <v>1034</v>
      </c>
      <c r="Q54">
        <v>0</v>
      </c>
      <c r="R54">
        <v>0</v>
      </c>
      <c r="S54">
        <v>0</v>
      </c>
      <c r="T54">
        <v>0</v>
      </c>
      <c r="U54">
        <v>0</v>
      </c>
      <c r="V54">
        <v>0.24</v>
      </c>
      <c r="W54">
        <v>3</v>
      </c>
      <c r="X54">
        <v>0.24</v>
      </c>
      <c r="Y54">
        <v>0</v>
      </c>
      <c r="Z54">
        <v>0</v>
      </c>
      <c r="AA54">
        <v>0</v>
      </c>
      <c r="AB54">
        <v>0</v>
      </c>
      <c r="AC54">
        <v>0.24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2023</v>
      </c>
      <c r="AK54">
        <v>2</v>
      </c>
      <c r="AL54">
        <v>0</v>
      </c>
      <c r="AM54">
        <v>0</v>
      </c>
      <c r="AN54">
        <v>0</v>
      </c>
    </row>
    <row r="55" spans="1:40" x14ac:dyDescent="0.25">
      <c r="A55">
        <v>54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>
        <v>2</v>
      </c>
      <c r="H55">
        <v>2</v>
      </c>
      <c r="I55">
        <v>701</v>
      </c>
      <c r="J55">
        <v>0</v>
      </c>
      <c r="K55">
        <v>1</v>
      </c>
      <c r="L55">
        <v>6241.4</v>
      </c>
      <c r="M55">
        <v>5437</v>
      </c>
      <c r="N55">
        <v>12374.3</v>
      </c>
      <c r="O55">
        <v>1268.5999999999999</v>
      </c>
      <c r="P55">
        <v>13772.9</v>
      </c>
      <c r="Q55">
        <v>0</v>
      </c>
      <c r="R55">
        <v>0</v>
      </c>
      <c r="S55">
        <v>0</v>
      </c>
      <c r="T55">
        <v>0</v>
      </c>
      <c r="U55">
        <v>0</v>
      </c>
      <c r="V55">
        <v>4.34</v>
      </c>
      <c r="W55">
        <v>3.5</v>
      </c>
      <c r="X55">
        <v>4.3400000000000007</v>
      </c>
      <c r="Y55">
        <v>0</v>
      </c>
      <c r="Z55">
        <v>0</v>
      </c>
      <c r="AA55">
        <v>0</v>
      </c>
      <c r="AB55">
        <v>0</v>
      </c>
      <c r="AC55">
        <v>1.74</v>
      </c>
      <c r="AD55">
        <v>2.2000000000000011</v>
      </c>
      <c r="AE55">
        <v>0.4</v>
      </c>
      <c r="AF55">
        <v>0</v>
      </c>
      <c r="AG55">
        <v>0.90783410138248843</v>
      </c>
      <c r="AH55">
        <v>0</v>
      </c>
      <c r="AI55">
        <v>0</v>
      </c>
      <c r="AL55">
        <v>0</v>
      </c>
      <c r="AM55">
        <v>0</v>
      </c>
      <c r="AN55">
        <v>0</v>
      </c>
    </row>
    <row r="56" spans="1:40" x14ac:dyDescent="0.25">
      <c r="A56">
        <v>55</v>
      </c>
      <c r="B56" t="s">
        <v>329</v>
      </c>
      <c r="C56" t="s">
        <v>330</v>
      </c>
      <c r="D56" t="s">
        <v>331</v>
      </c>
      <c r="E56" t="s">
        <v>332</v>
      </c>
      <c r="F56" t="s">
        <v>100</v>
      </c>
      <c r="G56">
        <v>2</v>
      </c>
      <c r="H56">
        <v>1</v>
      </c>
      <c r="I56">
        <v>1848</v>
      </c>
      <c r="J56">
        <v>1</v>
      </c>
      <c r="K56">
        <v>0</v>
      </c>
      <c r="L56">
        <v>10112.4</v>
      </c>
      <c r="M56">
        <v>9359.7999999999993</v>
      </c>
      <c r="N56">
        <v>11521.3</v>
      </c>
      <c r="O56">
        <v>939</v>
      </c>
      <c r="P56">
        <v>9847.6</v>
      </c>
      <c r="Q56">
        <v>0</v>
      </c>
      <c r="R56">
        <v>0</v>
      </c>
      <c r="S56">
        <v>0</v>
      </c>
      <c r="T56">
        <v>0</v>
      </c>
      <c r="U56">
        <v>0</v>
      </c>
      <c r="V56">
        <v>1.82</v>
      </c>
      <c r="W56">
        <v>3</v>
      </c>
      <c r="X56">
        <v>1.820000000000001</v>
      </c>
      <c r="Y56">
        <v>0</v>
      </c>
      <c r="Z56">
        <v>0</v>
      </c>
      <c r="AA56">
        <v>0</v>
      </c>
      <c r="AB56">
        <v>0</v>
      </c>
      <c r="AC56">
        <v>0.79999999999999993</v>
      </c>
      <c r="AD56">
        <v>0.4</v>
      </c>
      <c r="AE56">
        <v>0.62</v>
      </c>
      <c r="AF56">
        <v>0</v>
      </c>
      <c r="AG56">
        <v>0.65934065934065933</v>
      </c>
      <c r="AH56">
        <v>1</v>
      </c>
      <c r="AI56">
        <v>1</v>
      </c>
      <c r="AJ56">
        <v>2024</v>
      </c>
      <c r="AK56">
        <v>1</v>
      </c>
      <c r="AL56">
        <v>0</v>
      </c>
      <c r="AM56">
        <v>0</v>
      </c>
      <c r="AN56">
        <v>0</v>
      </c>
    </row>
    <row r="57" spans="1:40" x14ac:dyDescent="0.25">
      <c r="A57">
        <v>56</v>
      </c>
      <c r="B57" t="s">
        <v>333</v>
      </c>
      <c r="C57" t="s">
        <v>334</v>
      </c>
      <c r="D57" t="s">
        <v>335</v>
      </c>
      <c r="E57" t="s">
        <v>194</v>
      </c>
      <c r="F57" t="s">
        <v>100</v>
      </c>
      <c r="G57">
        <v>1</v>
      </c>
      <c r="H57">
        <v>1</v>
      </c>
      <c r="I57">
        <v>1874</v>
      </c>
      <c r="J57">
        <v>0</v>
      </c>
      <c r="K57">
        <v>0</v>
      </c>
      <c r="L57">
        <v>1351.3</v>
      </c>
      <c r="M57">
        <v>1894.4</v>
      </c>
      <c r="N57">
        <v>2726.1</v>
      </c>
      <c r="O57">
        <v>0</v>
      </c>
      <c r="P57">
        <v>1033</v>
      </c>
      <c r="Q57">
        <v>0</v>
      </c>
      <c r="R57">
        <v>0</v>
      </c>
      <c r="S57">
        <v>0</v>
      </c>
      <c r="T57">
        <v>0</v>
      </c>
      <c r="U57">
        <v>0</v>
      </c>
      <c r="V57">
        <v>0.35</v>
      </c>
      <c r="W57">
        <v>3.5</v>
      </c>
      <c r="X57">
        <v>0.35</v>
      </c>
      <c r="Y57">
        <v>0</v>
      </c>
      <c r="Z57">
        <v>0</v>
      </c>
      <c r="AA57">
        <v>0</v>
      </c>
      <c r="AB57">
        <v>0</v>
      </c>
      <c r="AC57">
        <v>0.15</v>
      </c>
      <c r="AD57">
        <v>0.2</v>
      </c>
      <c r="AE57">
        <v>0</v>
      </c>
      <c r="AF57">
        <v>0</v>
      </c>
      <c r="AG57">
        <v>1</v>
      </c>
      <c r="AH57">
        <v>0</v>
      </c>
      <c r="AI57">
        <v>0</v>
      </c>
      <c r="AL57">
        <v>0</v>
      </c>
      <c r="AM57">
        <v>0</v>
      </c>
      <c r="AN57">
        <v>0</v>
      </c>
    </row>
    <row r="58" spans="1:40" x14ac:dyDescent="0.25">
      <c r="A58">
        <v>57</v>
      </c>
      <c r="B58" t="s">
        <v>336</v>
      </c>
      <c r="C58" t="s">
        <v>337</v>
      </c>
      <c r="D58" t="s">
        <v>338</v>
      </c>
      <c r="E58" t="s">
        <v>339</v>
      </c>
      <c r="F58" t="s">
        <v>310</v>
      </c>
      <c r="G58">
        <v>1</v>
      </c>
      <c r="H58">
        <v>1</v>
      </c>
      <c r="I58">
        <v>303</v>
      </c>
      <c r="J58">
        <v>0</v>
      </c>
      <c r="K58">
        <v>1</v>
      </c>
      <c r="L58">
        <v>14913.1</v>
      </c>
      <c r="M58">
        <v>10870.4</v>
      </c>
      <c r="N58">
        <v>17123.5</v>
      </c>
      <c r="O58">
        <v>390</v>
      </c>
      <c r="P58">
        <v>17025.900000000001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0.74</v>
      </c>
      <c r="W58">
        <v>3.5</v>
      </c>
      <c r="X58">
        <v>0.74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0.34</v>
      </c>
      <c r="AF58">
        <v>0.4</v>
      </c>
      <c r="AG58">
        <v>0</v>
      </c>
      <c r="AH58">
        <v>0</v>
      </c>
      <c r="AI58">
        <v>0</v>
      </c>
      <c r="AL58">
        <v>0</v>
      </c>
      <c r="AM58">
        <v>0</v>
      </c>
      <c r="AN58">
        <v>0</v>
      </c>
    </row>
    <row r="59" spans="1:40" x14ac:dyDescent="0.25">
      <c r="A59">
        <v>58</v>
      </c>
      <c r="B59" t="s">
        <v>340</v>
      </c>
      <c r="C59" t="s">
        <v>341</v>
      </c>
      <c r="D59" t="s">
        <v>342</v>
      </c>
      <c r="E59" t="s">
        <v>339</v>
      </c>
      <c r="F59" t="s">
        <v>310</v>
      </c>
      <c r="G59">
        <v>1</v>
      </c>
      <c r="H59">
        <v>1</v>
      </c>
      <c r="I59">
        <v>303</v>
      </c>
      <c r="J59">
        <v>0</v>
      </c>
      <c r="K59">
        <v>0</v>
      </c>
      <c r="L59">
        <v>16716.8</v>
      </c>
      <c r="M59">
        <v>12674.1</v>
      </c>
      <c r="N59">
        <v>18927.2</v>
      </c>
      <c r="O59">
        <v>1391.2</v>
      </c>
      <c r="P59">
        <v>18829.599999999999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2.93</v>
      </c>
      <c r="W59">
        <v>2</v>
      </c>
      <c r="X59">
        <v>0</v>
      </c>
      <c r="Y59">
        <v>0</v>
      </c>
      <c r="Z59">
        <v>2.930000000000001</v>
      </c>
      <c r="AA59">
        <v>0</v>
      </c>
      <c r="AB59">
        <v>0</v>
      </c>
      <c r="AC59">
        <v>0</v>
      </c>
      <c r="AD59">
        <v>0.4</v>
      </c>
      <c r="AE59">
        <v>1.53</v>
      </c>
      <c r="AF59">
        <v>0.99999999999999989</v>
      </c>
      <c r="AG59">
        <v>0.136518771331058</v>
      </c>
      <c r="AH59">
        <v>1</v>
      </c>
      <c r="AI59">
        <v>1</v>
      </c>
      <c r="AJ59">
        <v>2023</v>
      </c>
      <c r="AK59">
        <v>2</v>
      </c>
      <c r="AL59">
        <v>0</v>
      </c>
      <c r="AM59">
        <v>0</v>
      </c>
      <c r="AN59">
        <v>0</v>
      </c>
    </row>
    <row r="60" spans="1:40" x14ac:dyDescent="0.25">
      <c r="A60">
        <v>59</v>
      </c>
      <c r="B60" t="s">
        <v>343</v>
      </c>
      <c r="C60" t="s">
        <v>344</v>
      </c>
      <c r="D60" t="s">
        <v>345</v>
      </c>
      <c r="E60" t="s">
        <v>346</v>
      </c>
      <c r="F60" t="s">
        <v>100</v>
      </c>
      <c r="G60">
        <v>3</v>
      </c>
      <c r="H60">
        <v>1</v>
      </c>
      <c r="I60">
        <v>3551</v>
      </c>
      <c r="J60">
        <v>0</v>
      </c>
      <c r="K60">
        <v>1</v>
      </c>
      <c r="L60">
        <v>1491.2</v>
      </c>
      <c r="M60">
        <v>1641.3</v>
      </c>
      <c r="N60">
        <v>2153.6999999999998</v>
      </c>
      <c r="O60">
        <v>572.29999999999995</v>
      </c>
      <c r="P60">
        <v>1254.7</v>
      </c>
      <c r="Q60">
        <v>0</v>
      </c>
      <c r="R60">
        <v>0</v>
      </c>
      <c r="S60">
        <v>0</v>
      </c>
      <c r="T60">
        <v>0</v>
      </c>
      <c r="U60">
        <v>0</v>
      </c>
      <c r="V60">
        <v>0.81</v>
      </c>
      <c r="W60">
        <v>5</v>
      </c>
      <c r="X60">
        <v>0.80999999999999994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0.80999999999999994</v>
      </c>
      <c r="AE60">
        <v>0</v>
      </c>
      <c r="AF60">
        <v>0</v>
      </c>
      <c r="AG60">
        <v>1</v>
      </c>
      <c r="AH60">
        <v>0</v>
      </c>
      <c r="AI60">
        <v>0</v>
      </c>
      <c r="AL60">
        <v>0</v>
      </c>
      <c r="AM60">
        <v>0</v>
      </c>
      <c r="AN60">
        <v>0</v>
      </c>
    </row>
    <row r="61" spans="1:40" x14ac:dyDescent="0.25">
      <c r="A61">
        <v>60</v>
      </c>
      <c r="B61" t="s">
        <v>347</v>
      </c>
      <c r="C61" t="s">
        <v>348</v>
      </c>
      <c r="D61" t="s">
        <v>349</v>
      </c>
      <c r="E61" t="s">
        <v>350</v>
      </c>
      <c r="F61" t="s">
        <v>105</v>
      </c>
      <c r="G61">
        <v>1</v>
      </c>
      <c r="H61">
        <v>1</v>
      </c>
      <c r="I61">
        <v>404</v>
      </c>
      <c r="J61">
        <v>0</v>
      </c>
      <c r="K61">
        <v>1</v>
      </c>
      <c r="L61">
        <v>2436.5</v>
      </c>
      <c r="M61">
        <v>2727.7</v>
      </c>
      <c r="N61">
        <v>9356.2999999999993</v>
      </c>
      <c r="O61">
        <v>946.5</v>
      </c>
      <c r="P61">
        <v>10735.8</v>
      </c>
      <c r="Q61">
        <v>0</v>
      </c>
      <c r="R61">
        <v>0</v>
      </c>
      <c r="S61">
        <v>0</v>
      </c>
      <c r="T61">
        <v>0</v>
      </c>
      <c r="U61">
        <v>0</v>
      </c>
      <c r="V61">
        <v>1.28</v>
      </c>
      <c r="W61">
        <v>3.5</v>
      </c>
      <c r="X61">
        <v>0.6</v>
      </c>
      <c r="Y61">
        <v>0</v>
      </c>
      <c r="Z61">
        <v>0</v>
      </c>
      <c r="AA61">
        <v>0.67999999999999994</v>
      </c>
      <c r="AB61">
        <v>0</v>
      </c>
      <c r="AC61">
        <v>0.6</v>
      </c>
      <c r="AD61">
        <v>0</v>
      </c>
      <c r="AE61">
        <v>0</v>
      </c>
      <c r="AF61">
        <v>0.67999999999999994</v>
      </c>
      <c r="AG61">
        <v>0.46875000000000011</v>
      </c>
      <c r="AH61">
        <v>1</v>
      </c>
      <c r="AI61">
        <v>2</v>
      </c>
      <c r="AJ61">
        <v>2024</v>
      </c>
      <c r="AK61">
        <v>1</v>
      </c>
      <c r="AL61">
        <v>0</v>
      </c>
      <c r="AM61">
        <v>0</v>
      </c>
      <c r="AN61">
        <v>0</v>
      </c>
    </row>
    <row r="62" spans="1:40" x14ac:dyDescent="0.25">
      <c r="A62">
        <v>61</v>
      </c>
      <c r="B62" t="s">
        <v>351</v>
      </c>
      <c r="C62" t="s">
        <v>352</v>
      </c>
      <c r="D62" t="s">
        <v>353</v>
      </c>
      <c r="E62" t="s">
        <v>354</v>
      </c>
      <c r="F62" t="s">
        <v>176</v>
      </c>
      <c r="G62">
        <v>1</v>
      </c>
      <c r="H62">
        <v>1</v>
      </c>
      <c r="I62">
        <v>259</v>
      </c>
      <c r="J62">
        <v>0</v>
      </c>
      <c r="K62">
        <v>0</v>
      </c>
      <c r="L62">
        <v>4463</v>
      </c>
      <c r="M62">
        <v>4493.7</v>
      </c>
      <c r="N62">
        <v>11634.9</v>
      </c>
      <c r="O62">
        <v>376.2</v>
      </c>
      <c r="P62">
        <v>13306.7</v>
      </c>
      <c r="Q62">
        <v>0</v>
      </c>
      <c r="R62">
        <v>0</v>
      </c>
      <c r="S62">
        <v>0</v>
      </c>
      <c r="T62">
        <v>0</v>
      </c>
      <c r="U62">
        <v>0</v>
      </c>
      <c r="V62">
        <v>1.51</v>
      </c>
      <c r="W62">
        <v>3</v>
      </c>
      <c r="X62">
        <v>1.51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1.2</v>
      </c>
      <c r="AE62">
        <v>0.2</v>
      </c>
      <c r="AF62">
        <v>0.11</v>
      </c>
      <c r="AG62">
        <v>0.79470198675496684</v>
      </c>
      <c r="AH62">
        <v>1</v>
      </c>
      <c r="AI62">
        <v>1</v>
      </c>
      <c r="AJ62">
        <v>2024</v>
      </c>
      <c r="AK62">
        <v>1</v>
      </c>
      <c r="AL62">
        <v>1</v>
      </c>
      <c r="AM62">
        <v>1</v>
      </c>
      <c r="AN62">
        <v>0</v>
      </c>
    </row>
    <row r="63" spans="1:40" x14ac:dyDescent="0.25">
      <c r="A63">
        <v>62</v>
      </c>
      <c r="B63" t="s">
        <v>355</v>
      </c>
      <c r="C63" t="s">
        <v>356</v>
      </c>
      <c r="D63" t="s">
        <v>357</v>
      </c>
      <c r="E63" t="s">
        <v>358</v>
      </c>
      <c r="F63" t="s">
        <v>310</v>
      </c>
      <c r="G63">
        <v>1</v>
      </c>
      <c r="H63">
        <v>1</v>
      </c>
      <c r="I63">
        <v>474</v>
      </c>
      <c r="J63">
        <v>1</v>
      </c>
      <c r="K63">
        <v>0</v>
      </c>
      <c r="L63">
        <v>26934.3</v>
      </c>
      <c r="M63">
        <v>8122.4</v>
      </c>
      <c r="N63">
        <v>29144.7</v>
      </c>
      <c r="O63">
        <v>1982.5</v>
      </c>
      <c r="P63">
        <v>29047.1</v>
      </c>
      <c r="Q63">
        <v>0</v>
      </c>
      <c r="R63">
        <v>0</v>
      </c>
      <c r="S63">
        <v>0</v>
      </c>
      <c r="T63">
        <v>0</v>
      </c>
      <c r="U63">
        <v>0</v>
      </c>
      <c r="V63">
        <v>1.1599999999999999</v>
      </c>
      <c r="W63">
        <v>3.5</v>
      </c>
      <c r="X63">
        <v>1.1599999999999999</v>
      </c>
      <c r="Y63">
        <v>0</v>
      </c>
      <c r="Z63">
        <v>0</v>
      </c>
      <c r="AA63">
        <v>0</v>
      </c>
      <c r="AB63">
        <v>0</v>
      </c>
      <c r="AC63">
        <v>1.1599999999999999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L63">
        <v>0</v>
      </c>
      <c r="AM63">
        <v>0</v>
      </c>
      <c r="AN63">
        <v>0</v>
      </c>
    </row>
    <row r="64" spans="1:40" x14ac:dyDescent="0.25">
      <c r="A64">
        <v>63</v>
      </c>
      <c r="B64" t="s">
        <v>359</v>
      </c>
      <c r="C64" t="s">
        <v>360</v>
      </c>
      <c r="D64" t="s">
        <v>361</v>
      </c>
      <c r="E64" t="s">
        <v>362</v>
      </c>
      <c r="F64" t="s">
        <v>363</v>
      </c>
      <c r="G64">
        <v>1</v>
      </c>
      <c r="H64">
        <v>1</v>
      </c>
      <c r="I64">
        <v>633</v>
      </c>
      <c r="J64">
        <v>0</v>
      </c>
      <c r="K64">
        <v>0</v>
      </c>
      <c r="L64">
        <v>1258.9000000000001</v>
      </c>
      <c r="M64">
        <v>795.3</v>
      </c>
      <c r="N64">
        <v>2477.8000000000002</v>
      </c>
      <c r="O64">
        <v>0</v>
      </c>
      <c r="P64">
        <v>29090.9</v>
      </c>
      <c r="Q64">
        <v>0</v>
      </c>
      <c r="R64">
        <v>0</v>
      </c>
      <c r="S64">
        <v>0</v>
      </c>
      <c r="T64">
        <v>0</v>
      </c>
      <c r="U64">
        <v>0</v>
      </c>
      <c r="V64">
        <v>0.32</v>
      </c>
      <c r="W64">
        <v>3</v>
      </c>
      <c r="X64">
        <v>0.32000000000000012</v>
      </c>
      <c r="Y64">
        <v>0</v>
      </c>
      <c r="Z64">
        <v>0</v>
      </c>
      <c r="AA64">
        <v>0</v>
      </c>
      <c r="AB64">
        <v>0</v>
      </c>
      <c r="AC64">
        <v>0.2</v>
      </c>
      <c r="AD64">
        <v>0.12</v>
      </c>
      <c r="AE64">
        <v>0</v>
      </c>
      <c r="AF64">
        <v>0</v>
      </c>
      <c r="AG64">
        <v>1</v>
      </c>
      <c r="AH64">
        <v>0</v>
      </c>
      <c r="AI64">
        <v>0</v>
      </c>
      <c r="AL64">
        <v>0</v>
      </c>
      <c r="AM64">
        <v>0</v>
      </c>
      <c r="AN64">
        <v>0</v>
      </c>
    </row>
    <row r="65" spans="1:40" x14ac:dyDescent="0.25">
      <c r="A65">
        <v>64</v>
      </c>
      <c r="B65" t="s">
        <v>364</v>
      </c>
      <c r="C65" t="s">
        <v>365</v>
      </c>
      <c r="D65" t="s">
        <v>366</v>
      </c>
      <c r="E65" t="s">
        <v>367</v>
      </c>
      <c r="F65" t="s">
        <v>100</v>
      </c>
      <c r="G65">
        <v>1</v>
      </c>
      <c r="H65">
        <v>1</v>
      </c>
      <c r="I65">
        <v>1142</v>
      </c>
      <c r="J65">
        <v>0</v>
      </c>
      <c r="K65">
        <v>0</v>
      </c>
      <c r="L65">
        <v>1768.8</v>
      </c>
      <c r="M65">
        <v>197.4</v>
      </c>
      <c r="N65">
        <v>3467.1</v>
      </c>
      <c r="O65">
        <v>0</v>
      </c>
      <c r="P65">
        <v>1604.2</v>
      </c>
      <c r="Q65">
        <v>0</v>
      </c>
      <c r="R65">
        <v>0</v>
      </c>
      <c r="S65">
        <v>0</v>
      </c>
      <c r="T65">
        <v>0</v>
      </c>
      <c r="U65">
        <v>0</v>
      </c>
      <c r="V65">
        <v>0.18</v>
      </c>
      <c r="W65">
        <v>3</v>
      </c>
      <c r="X65">
        <v>0.18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0.18</v>
      </c>
      <c r="AE65">
        <v>0</v>
      </c>
      <c r="AF65">
        <v>0</v>
      </c>
      <c r="AG65">
        <v>1</v>
      </c>
      <c r="AH65">
        <v>0</v>
      </c>
      <c r="AI65">
        <v>0</v>
      </c>
      <c r="AL65">
        <v>0</v>
      </c>
      <c r="AM65">
        <v>0</v>
      </c>
      <c r="AN65">
        <v>0</v>
      </c>
    </row>
    <row r="66" spans="1:40" x14ac:dyDescent="0.25">
      <c r="A66">
        <v>65</v>
      </c>
      <c r="B66" t="s">
        <v>368</v>
      </c>
      <c r="C66" t="s">
        <v>369</v>
      </c>
      <c r="D66" t="s">
        <v>370</v>
      </c>
      <c r="E66" t="s">
        <v>371</v>
      </c>
      <c r="F66" t="s">
        <v>310</v>
      </c>
      <c r="G66">
        <v>2</v>
      </c>
      <c r="H66">
        <v>1</v>
      </c>
      <c r="I66">
        <v>859</v>
      </c>
      <c r="J66">
        <v>0</v>
      </c>
      <c r="K66">
        <v>0</v>
      </c>
      <c r="L66">
        <v>30227.200000000001</v>
      </c>
      <c r="M66">
        <v>8413.6</v>
      </c>
      <c r="N66">
        <v>32437.599999999999</v>
      </c>
      <c r="O66">
        <v>2459.5</v>
      </c>
      <c r="P66">
        <v>32339.9</v>
      </c>
      <c r="Q66">
        <v>0</v>
      </c>
      <c r="R66">
        <v>0</v>
      </c>
      <c r="S66">
        <v>0</v>
      </c>
      <c r="T66">
        <v>0</v>
      </c>
      <c r="U66">
        <v>0</v>
      </c>
      <c r="V66">
        <v>4.8600000000000003</v>
      </c>
      <c r="W66">
        <v>1.5</v>
      </c>
      <c r="X66">
        <v>0</v>
      </c>
      <c r="Y66">
        <v>0</v>
      </c>
      <c r="Z66">
        <v>2.600000000000001</v>
      </c>
      <c r="AA66">
        <v>0</v>
      </c>
      <c r="AB66">
        <v>2.2600000000000011</v>
      </c>
      <c r="AC66">
        <v>0</v>
      </c>
      <c r="AD66">
        <v>1.3</v>
      </c>
      <c r="AE66">
        <v>0.2</v>
      </c>
      <c r="AF66">
        <v>3.3600000000000021</v>
      </c>
      <c r="AG66">
        <v>0.26748971193415633</v>
      </c>
      <c r="AH66">
        <v>1</v>
      </c>
      <c r="AI66">
        <v>3</v>
      </c>
      <c r="AJ66">
        <v>2023</v>
      </c>
      <c r="AK66">
        <v>2</v>
      </c>
      <c r="AL66">
        <v>0</v>
      </c>
      <c r="AM66">
        <v>0</v>
      </c>
      <c r="AN66">
        <v>0</v>
      </c>
    </row>
    <row r="67" spans="1:40" x14ac:dyDescent="0.25">
      <c r="A67">
        <v>66</v>
      </c>
      <c r="B67" t="s">
        <v>372</v>
      </c>
      <c r="C67" t="s">
        <v>373</v>
      </c>
      <c r="D67" t="s">
        <v>374</v>
      </c>
      <c r="E67" t="s">
        <v>109</v>
      </c>
      <c r="F67" t="s">
        <v>100</v>
      </c>
      <c r="G67">
        <v>2</v>
      </c>
      <c r="H67">
        <v>1</v>
      </c>
      <c r="I67">
        <v>2315</v>
      </c>
      <c r="J67">
        <v>0</v>
      </c>
      <c r="K67">
        <v>1</v>
      </c>
      <c r="L67">
        <v>454.9</v>
      </c>
      <c r="M67">
        <v>605</v>
      </c>
      <c r="N67">
        <v>1552.9</v>
      </c>
      <c r="O67">
        <v>35.299999999999997</v>
      </c>
      <c r="P67">
        <v>745.4</v>
      </c>
      <c r="Q67">
        <v>0</v>
      </c>
      <c r="R67">
        <v>0</v>
      </c>
      <c r="S67">
        <v>0</v>
      </c>
      <c r="T67">
        <v>0</v>
      </c>
      <c r="U67">
        <v>0</v>
      </c>
      <c r="V67">
        <v>0.41</v>
      </c>
      <c r="W67">
        <v>4.5</v>
      </c>
      <c r="X67">
        <v>0.41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0.41</v>
      </c>
      <c r="AE67">
        <v>0</v>
      </c>
      <c r="AF67">
        <v>0</v>
      </c>
      <c r="AG67">
        <v>1</v>
      </c>
      <c r="AH67">
        <v>0</v>
      </c>
      <c r="AI67">
        <v>0</v>
      </c>
      <c r="AL67">
        <v>0</v>
      </c>
      <c r="AM67">
        <v>0</v>
      </c>
      <c r="AN67">
        <v>0</v>
      </c>
    </row>
    <row r="68" spans="1:40" x14ac:dyDescent="0.25">
      <c r="A68">
        <v>67</v>
      </c>
      <c r="B68" t="s">
        <v>375</v>
      </c>
      <c r="C68" t="s">
        <v>376</v>
      </c>
      <c r="D68" t="s">
        <v>377</v>
      </c>
      <c r="E68" t="s">
        <v>378</v>
      </c>
      <c r="F68" t="s">
        <v>105</v>
      </c>
      <c r="G68">
        <v>2</v>
      </c>
      <c r="H68">
        <v>1</v>
      </c>
      <c r="I68">
        <v>1247</v>
      </c>
      <c r="J68">
        <v>0</v>
      </c>
      <c r="K68">
        <v>0</v>
      </c>
      <c r="L68">
        <v>3193.6</v>
      </c>
      <c r="M68">
        <v>3103.3</v>
      </c>
      <c r="N68">
        <v>3164</v>
      </c>
      <c r="O68">
        <v>689.4</v>
      </c>
      <c r="P68">
        <v>4562.7</v>
      </c>
      <c r="Q68">
        <v>0</v>
      </c>
      <c r="R68">
        <v>0</v>
      </c>
      <c r="S68">
        <v>0</v>
      </c>
      <c r="T68">
        <v>0</v>
      </c>
      <c r="U68">
        <v>0</v>
      </c>
      <c r="V68">
        <v>0.6</v>
      </c>
      <c r="W68">
        <v>3.5</v>
      </c>
      <c r="X68">
        <v>0.6</v>
      </c>
      <c r="Y68">
        <v>0</v>
      </c>
      <c r="Z68">
        <v>0</v>
      </c>
      <c r="AA68">
        <v>0</v>
      </c>
      <c r="AB68">
        <v>0</v>
      </c>
      <c r="AC68">
        <v>0.6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L68">
        <v>0</v>
      </c>
      <c r="AM68">
        <v>0</v>
      </c>
      <c r="AN68">
        <v>0</v>
      </c>
    </row>
    <row r="69" spans="1:40" x14ac:dyDescent="0.25">
      <c r="A69">
        <v>68</v>
      </c>
      <c r="B69" t="s">
        <v>379</v>
      </c>
      <c r="C69" t="s">
        <v>380</v>
      </c>
      <c r="D69" t="s">
        <v>381</v>
      </c>
      <c r="E69" t="s">
        <v>180</v>
      </c>
      <c r="F69" t="s">
        <v>105</v>
      </c>
      <c r="G69">
        <v>1</v>
      </c>
      <c r="H69">
        <v>1</v>
      </c>
      <c r="I69">
        <v>682</v>
      </c>
      <c r="J69">
        <v>0</v>
      </c>
      <c r="K69">
        <v>0</v>
      </c>
      <c r="L69">
        <v>2954.7</v>
      </c>
      <c r="M69">
        <v>2864.4</v>
      </c>
      <c r="N69">
        <v>3525</v>
      </c>
      <c r="O69">
        <v>916.8</v>
      </c>
      <c r="P69">
        <v>4923.6000000000004</v>
      </c>
      <c r="Q69">
        <v>0</v>
      </c>
      <c r="R69">
        <v>0</v>
      </c>
      <c r="S69">
        <v>0</v>
      </c>
      <c r="T69">
        <v>0</v>
      </c>
      <c r="U69">
        <v>0</v>
      </c>
      <c r="V69">
        <v>0.3</v>
      </c>
      <c r="W69">
        <v>3</v>
      </c>
      <c r="X69">
        <v>0.3</v>
      </c>
      <c r="Y69">
        <v>0</v>
      </c>
      <c r="Z69">
        <v>0</v>
      </c>
      <c r="AA69">
        <v>0</v>
      </c>
      <c r="AB69">
        <v>0</v>
      </c>
      <c r="AC69">
        <v>0.3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L69">
        <v>0</v>
      </c>
      <c r="AM69">
        <v>0</v>
      </c>
      <c r="AN69">
        <v>0</v>
      </c>
    </row>
    <row r="70" spans="1:40" x14ac:dyDescent="0.25">
      <c r="A70">
        <v>69</v>
      </c>
      <c r="B70" t="s">
        <v>382</v>
      </c>
      <c r="C70" t="s">
        <v>383</v>
      </c>
      <c r="D70" t="s">
        <v>384</v>
      </c>
      <c r="E70" t="s">
        <v>385</v>
      </c>
      <c r="F70" t="s">
        <v>127</v>
      </c>
      <c r="G70">
        <v>1</v>
      </c>
      <c r="H70">
        <v>1</v>
      </c>
      <c r="I70">
        <v>448</v>
      </c>
      <c r="J70">
        <v>0</v>
      </c>
      <c r="K70">
        <v>0</v>
      </c>
      <c r="L70">
        <v>7191.3</v>
      </c>
      <c r="M70">
        <v>7765.4</v>
      </c>
      <c r="N70">
        <v>11936</v>
      </c>
      <c r="O70">
        <v>1270.5999999999999</v>
      </c>
      <c r="P70">
        <v>10334.700000000001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2.36</v>
      </c>
      <c r="W70">
        <v>3.5</v>
      </c>
      <c r="X70">
        <v>2.3600000000000012</v>
      </c>
      <c r="Y70">
        <v>0</v>
      </c>
      <c r="Z70">
        <v>0</v>
      </c>
      <c r="AA70">
        <v>0</v>
      </c>
      <c r="AB70">
        <v>0</v>
      </c>
      <c r="AC70">
        <v>2.3600000000000012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L70">
        <v>0</v>
      </c>
      <c r="AM70">
        <v>0</v>
      </c>
      <c r="AN70">
        <v>0</v>
      </c>
    </row>
    <row r="71" spans="1:40" x14ac:dyDescent="0.25">
      <c r="A71">
        <v>70</v>
      </c>
      <c r="B71" t="s">
        <v>386</v>
      </c>
      <c r="C71" t="s">
        <v>387</v>
      </c>
      <c r="D71" t="s">
        <v>388</v>
      </c>
      <c r="E71" t="s">
        <v>389</v>
      </c>
      <c r="F71" t="s">
        <v>100</v>
      </c>
      <c r="G71">
        <v>2</v>
      </c>
      <c r="H71">
        <v>1</v>
      </c>
      <c r="I71">
        <v>1348</v>
      </c>
      <c r="J71">
        <v>1</v>
      </c>
      <c r="L71">
        <v>3498.6</v>
      </c>
      <c r="M71">
        <v>2163.1999999999998</v>
      </c>
      <c r="N71">
        <v>6008.8</v>
      </c>
      <c r="O71">
        <v>845</v>
      </c>
      <c r="P71">
        <v>4145.8999999999996</v>
      </c>
      <c r="Q71">
        <v>0</v>
      </c>
      <c r="R71">
        <v>0</v>
      </c>
      <c r="S71">
        <v>0</v>
      </c>
      <c r="T71">
        <v>0</v>
      </c>
      <c r="U71">
        <v>0</v>
      </c>
      <c r="V71">
        <v>1.52</v>
      </c>
      <c r="W71">
        <v>3</v>
      </c>
      <c r="X71">
        <v>1.52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0.99999999999999989</v>
      </c>
      <c r="AE71">
        <v>0.52</v>
      </c>
      <c r="AF71">
        <v>0</v>
      </c>
      <c r="AG71">
        <v>0.6578947368421052</v>
      </c>
      <c r="AH71">
        <v>1</v>
      </c>
      <c r="AI71">
        <v>1</v>
      </c>
      <c r="AJ71">
        <v>2023</v>
      </c>
      <c r="AK71">
        <v>2</v>
      </c>
      <c r="AL71">
        <v>0</v>
      </c>
      <c r="AM71">
        <v>0</v>
      </c>
      <c r="AN71">
        <v>0</v>
      </c>
    </row>
    <row r="72" spans="1:40" x14ac:dyDescent="0.25">
      <c r="A72">
        <v>71</v>
      </c>
      <c r="B72" t="s">
        <v>390</v>
      </c>
      <c r="C72" t="s">
        <v>391</v>
      </c>
      <c r="D72" t="s">
        <v>392</v>
      </c>
      <c r="E72" t="s">
        <v>393</v>
      </c>
      <c r="F72" t="s">
        <v>203</v>
      </c>
      <c r="G72">
        <v>2</v>
      </c>
      <c r="H72">
        <v>2</v>
      </c>
      <c r="I72">
        <v>1084</v>
      </c>
      <c r="J72">
        <v>1</v>
      </c>
      <c r="K72">
        <v>0</v>
      </c>
      <c r="L72">
        <v>5501</v>
      </c>
      <c r="M72">
        <v>4435</v>
      </c>
      <c r="N72">
        <v>7855.4</v>
      </c>
      <c r="O72">
        <v>1269.8</v>
      </c>
      <c r="P72">
        <v>5992.5</v>
      </c>
      <c r="Q72">
        <v>0</v>
      </c>
      <c r="R72">
        <v>0</v>
      </c>
      <c r="S72">
        <v>0</v>
      </c>
      <c r="T72">
        <v>0</v>
      </c>
      <c r="U72">
        <v>0</v>
      </c>
      <c r="V72">
        <v>1.92</v>
      </c>
      <c r="W72">
        <v>3</v>
      </c>
      <c r="X72">
        <v>1.920000000000001</v>
      </c>
      <c r="Y72">
        <v>0</v>
      </c>
      <c r="Z72">
        <v>0</v>
      </c>
      <c r="AA72">
        <v>0</v>
      </c>
      <c r="AB72">
        <v>0</v>
      </c>
      <c r="AC72">
        <v>1.1200000000000001</v>
      </c>
      <c r="AD72">
        <v>0.79999999999999993</v>
      </c>
      <c r="AE72">
        <v>0</v>
      </c>
      <c r="AF72">
        <v>0</v>
      </c>
      <c r="AG72">
        <v>1</v>
      </c>
      <c r="AH72">
        <v>0</v>
      </c>
      <c r="AI72">
        <v>0</v>
      </c>
      <c r="AL72">
        <v>0</v>
      </c>
      <c r="AM72">
        <v>0</v>
      </c>
      <c r="AN72">
        <v>0</v>
      </c>
    </row>
    <row r="73" spans="1:40" x14ac:dyDescent="0.25">
      <c r="A73">
        <v>72</v>
      </c>
      <c r="B73" t="s">
        <v>394</v>
      </c>
      <c r="C73" t="s">
        <v>395</v>
      </c>
      <c r="D73" t="s">
        <v>396</v>
      </c>
      <c r="E73" t="s">
        <v>397</v>
      </c>
      <c r="F73" t="s">
        <v>100</v>
      </c>
      <c r="G73">
        <v>2</v>
      </c>
      <c r="H73">
        <v>1</v>
      </c>
      <c r="I73">
        <v>1637</v>
      </c>
      <c r="J73">
        <v>1</v>
      </c>
      <c r="K73">
        <v>1</v>
      </c>
      <c r="L73">
        <v>3537.8</v>
      </c>
      <c r="M73">
        <v>2014.8</v>
      </c>
      <c r="N73">
        <v>5299.5</v>
      </c>
      <c r="O73">
        <v>697.1</v>
      </c>
      <c r="P73">
        <v>3436.6</v>
      </c>
      <c r="Q73">
        <v>0</v>
      </c>
      <c r="R73">
        <v>0</v>
      </c>
      <c r="S73">
        <v>0</v>
      </c>
      <c r="T73">
        <v>0</v>
      </c>
      <c r="U73">
        <v>0</v>
      </c>
      <c r="V73">
        <v>1.29</v>
      </c>
      <c r="W73">
        <v>3</v>
      </c>
      <c r="X73">
        <v>1.29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1.29</v>
      </c>
      <c r="AE73">
        <v>0</v>
      </c>
      <c r="AF73">
        <v>0</v>
      </c>
      <c r="AG73">
        <v>1</v>
      </c>
      <c r="AH73">
        <v>0</v>
      </c>
      <c r="AI73">
        <v>0</v>
      </c>
      <c r="AL73">
        <v>0</v>
      </c>
      <c r="AM73">
        <v>0</v>
      </c>
      <c r="AN73">
        <v>0</v>
      </c>
    </row>
    <row r="74" spans="1:40" x14ac:dyDescent="0.25">
      <c r="A74">
        <v>73</v>
      </c>
      <c r="B74" t="s">
        <v>398</v>
      </c>
      <c r="C74" t="s">
        <v>399</v>
      </c>
      <c r="D74" t="s">
        <v>400</v>
      </c>
      <c r="E74" t="s">
        <v>401</v>
      </c>
      <c r="F74" t="s">
        <v>100</v>
      </c>
      <c r="G74">
        <v>1</v>
      </c>
      <c r="H74">
        <v>1</v>
      </c>
      <c r="I74">
        <v>775</v>
      </c>
      <c r="J74">
        <v>0</v>
      </c>
      <c r="K74">
        <v>1</v>
      </c>
      <c r="L74">
        <v>2824.3</v>
      </c>
      <c r="M74">
        <v>1429.3</v>
      </c>
      <c r="N74">
        <v>4911</v>
      </c>
      <c r="O74">
        <v>113.6</v>
      </c>
      <c r="P74">
        <v>3048.1</v>
      </c>
      <c r="Q74">
        <v>0</v>
      </c>
      <c r="R74">
        <v>0</v>
      </c>
      <c r="S74">
        <v>0</v>
      </c>
      <c r="T74">
        <v>0</v>
      </c>
      <c r="U74">
        <v>0</v>
      </c>
      <c r="V74">
        <v>0.89</v>
      </c>
      <c r="W74">
        <v>3.5</v>
      </c>
      <c r="X74">
        <v>0.8899999999999999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0.69</v>
      </c>
      <c r="AE74">
        <v>0.2</v>
      </c>
      <c r="AF74">
        <v>0</v>
      </c>
      <c r="AG74">
        <v>0.7752808988764045</v>
      </c>
      <c r="AH74">
        <v>1</v>
      </c>
      <c r="AI74">
        <v>1</v>
      </c>
      <c r="AJ74">
        <v>2023</v>
      </c>
      <c r="AK74">
        <v>2</v>
      </c>
      <c r="AL74">
        <v>0</v>
      </c>
      <c r="AM74">
        <v>0</v>
      </c>
      <c r="AN74">
        <v>0</v>
      </c>
    </row>
    <row r="75" spans="1:40" x14ac:dyDescent="0.25">
      <c r="A75">
        <v>74</v>
      </c>
      <c r="B75" t="s">
        <v>402</v>
      </c>
      <c r="C75" t="s">
        <v>403</v>
      </c>
      <c r="D75" t="s">
        <v>404</v>
      </c>
      <c r="E75" t="s">
        <v>405</v>
      </c>
      <c r="F75" t="s">
        <v>100</v>
      </c>
      <c r="G75">
        <v>2</v>
      </c>
      <c r="H75">
        <v>1</v>
      </c>
      <c r="I75">
        <v>1503</v>
      </c>
      <c r="J75">
        <v>0</v>
      </c>
      <c r="K75">
        <v>0</v>
      </c>
      <c r="L75">
        <v>6491.8</v>
      </c>
      <c r="M75">
        <v>5365.4</v>
      </c>
      <c r="N75">
        <v>7507</v>
      </c>
      <c r="O75">
        <v>1638.9</v>
      </c>
      <c r="P75">
        <v>6173.5</v>
      </c>
      <c r="Q75">
        <v>0</v>
      </c>
      <c r="R75">
        <v>0</v>
      </c>
      <c r="S75">
        <v>0</v>
      </c>
      <c r="T75">
        <v>0</v>
      </c>
      <c r="U75">
        <v>0</v>
      </c>
      <c r="V75">
        <v>2.95</v>
      </c>
      <c r="W75">
        <v>3</v>
      </c>
      <c r="X75">
        <v>1.5</v>
      </c>
      <c r="Y75">
        <v>0</v>
      </c>
      <c r="Z75">
        <v>0</v>
      </c>
      <c r="AA75">
        <v>0.7</v>
      </c>
      <c r="AB75">
        <v>0.75</v>
      </c>
      <c r="AC75">
        <v>0</v>
      </c>
      <c r="AD75">
        <v>1.5</v>
      </c>
      <c r="AE75">
        <v>0</v>
      </c>
      <c r="AF75">
        <v>1.45</v>
      </c>
      <c r="AG75">
        <v>0.50847457627118653</v>
      </c>
      <c r="AH75">
        <v>1</v>
      </c>
      <c r="AI75">
        <v>1</v>
      </c>
      <c r="AJ75">
        <v>2023</v>
      </c>
      <c r="AK75">
        <v>2</v>
      </c>
      <c r="AL75">
        <v>0</v>
      </c>
      <c r="AM75">
        <v>0</v>
      </c>
      <c r="AN75">
        <v>0</v>
      </c>
    </row>
    <row r="76" spans="1:40" x14ac:dyDescent="0.25">
      <c r="A76">
        <v>75</v>
      </c>
      <c r="B76" t="s">
        <v>406</v>
      </c>
      <c r="C76" t="s">
        <v>407</v>
      </c>
      <c r="D76" t="s">
        <v>408</v>
      </c>
      <c r="E76" t="s">
        <v>409</v>
      </c>
      <c r="F76" t="s">
        <v>363</v>
      </c>
      <c r="G76">
        <v>2</v>
      </c>
      <c r="H76">
        <v>1</v>
      </c>
      <c r="I76">
        <v>1172</v>
      </c>
      <c r="J76">
        <v>0</v>
      </c>
      <c r="K76">
        <v>0</v>
      </c>
      <c r="L76">
        <v>1245.2</v>
      </c>
      <c r="M76">
        <v>609.9</v>
      </c>
      <c r="N76">
        <v>2464.1</v>
      </c>
      <c r="O76">
        <v>629.9</v>
      </c>
      <c r="P76">
        <v>29077.200000000001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0.56999999999999995</v>
      </c>
      <c r="W76">
        <v>3</v>
      </c>
      <c r="X76">
        <v>0</v>
      </c>
      <c r="Y76">
        <v>0</v>
      </c>
      <c r="Z76">
        <v>0.1</v>
      </c>
      <c r="AA76">
        <v>0.47</v>
      </c>
      <c r="AB76">
        <v>0</v>
      </c>
      <c r="AC76">
        <v>0</v>
      </c>
      <c r="AD76">
        <v>0.1</v>
      </c>
      <c r="AE76">
        <v>0</v>
      </c>
      <c r="AF76">
        <v>0.47</v>
      </c>
      <c r="AG76">
        <v>0.17543859649122809</v>
      </c>
      <c r="AH76">
        <v>1</v>
      </c>
      <c r="AI76">
        <v>4</v>
      </c>
      <c r="AJ76">
        <v>2024</v>
      </c>
      <c r="AK76">
        <v>1</v>
      </c>
      <c r="AL76">
        <v>1</v>
      </c>
      <c r="AM76">
        <v>0</v>
      </c>
      <c r="AN76">
        <v>1</v>
      </c>
    </row>
    <row r="77" spans="1:40" x14ac:dyDescent="0.25">
      <c r="A77">
        <v>76</v>
      </c>
      <c r="B77" t="s">
        <v>410</v>
      </c>
      <c r="C77" t="s">
        <v>411</v>
      </c>
      <c r="D77" t="s">
        <v>412</v>
      </c>
      <c r="E77" t="s">
        <v>413</v>
      </c>
      <c r="F77" t="s">
        <v>105</v>
      </c>
      <c r="G77">
        <v>1</v>
      </c>
      <c r="H77">
        <v>1</v>
      </c>
      <c r="I77">
        <v>313</v>
      </c>
      <c r="J77">
        <v>0</v>
      </c>
      <c r="K77">
        <v>0</v>
      </c>
      <c r="L77">
        <v>1860.7</v>
      </c>
      <c r="M77">
        <v>2224.4</v>
      </c>
      <c r="N77">
        <v>7617.1</v>
      </c>
      <c r="O77">
        <v>1155.9000000000001</v>
      </c>
      <c r="P77">
        <v>8996.6</v>
      </c>
      <c r="Q77">
        <v>0</v>
      </c>
      <c r="R77">
        <v>0</v>
      </c>
      <c r="S77">
        <v>0</v>
      </c>
      <c r="T77">
        <v>0</v>
      </c>
      <c r="U77">
        <v>0</v>
      </c>
      <c r="V77">
        <v>1.1599999999999999</v>
      </c>
      <c r="W77">
        <v>3</v>
      </c>
      <c r="X77">
        <v>0.99999999999999989</v>
      </c>
      <c r="Y77">
        <v>0</v>
      </c>
      <c r="Z77">
        <v>0</v>
      </c>
      <c r="AA77">
        <v>0</v>
      </c>
      <c r="AB77">
        <v>0.16</v>
      </c>
      <c r="AC77">
        <v>0</v>
      </c>
      <c r="AD77">
        <v>0.79999999999999993</v>
      </c>
      <c r="AE77">
        <v>0.2</v>
      </c>
      <c r="AF77">
        <v>0.16</v>
      </c>
      <c r="AG77">
        <v>0.68965517241379304</v>
      </c>
      <c r="AH77">
        <v>1</v>
      </c>
      <c r="AI77">
        <v>3</v>
      </c>
      <c r="AJ77">
        <v>2023</v>
      </c>
      <c r="AK77">
        <v>2</v>
      </c>
      <c r="AL77">
        <v>0</v>
      </c>
      <c r="AM77">
        <v>0</v>
      </c>
      <c r="AN77">
        <v>0</v>
      </c>
    </row>
    <row r="78" spans="1:40" x14ac:dyDescent="0.25">
      <c r="A78">
        <v>77</v>
      </c>
      <c r="B78" t="s">
        <v>414</v>
      </c>
      <c r="C78" t="s">
        <v>415</v>
      </c>
      <c r="D78" t="s">
        <v>416</v>
      </c>
      <c r="E78" t="s">
        <v>417</v>
      </c>
      <c r="F78" t="s">
        <v>105</v>
      </c>
      <c r="G78">
        <v>2</v>
      </c>
      <c r="H78">
        <v>1</v>
      </c>
      <c r="I78">
        <v>827</v>
      </c>
      <c r="J78">
        <v>0</v>
      </c>
      <c r="K78">
        <v>1</v>
      </c>
      <c r="L78">
        <v>2082.5</v>
      </c>
      <c r="M78">
        <v>1257.4000000000001</v>
      </c>
      <c r="N78">
        <v>7886</v>
      </c>
      <c r="O78">
        <v>568.79999999999995</v>
      </c>
      <c r="P78">
        <v>9265.5</v>
      </c>
      <c r="Q78">
        <v>0</v>
      </c>
      <c r="R78">
        <v>0</v>
      </c>
      <c r="S78">
        <v>0</v>
      </c>
      <c r="T78">
        <v>0</v>
      </c>
      <c r="U78">
        <v>0</v>
      </c>
      <c r="V78">
        <v>0.52</v>
      </c>
      <c r="W78">
        <v>3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0.52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L78">
        <v>0</v>
      </c>
      <c r="AM78">
        <v>0</v>
      </c>
      <c r="AN78">
        <v>0</v>
      </c>
    </row>
    <row r="79" spans="1:40" x14ac:dyDescent="0.25">
      <c r="A79">
        <v>78</v>
      </c>
      <c r="B79" t="s">
        <v>418</v>
      </c>
      <c r="C79" t="s">
        <v>419</v>
      </c>
      <c r="D79" t="s">
        <v>420</v>
      </c>
      <c r="E79" t="s">
        <v>421</v>
      </c>
      <c r="F79" t="s">
        <v>315</v>
      </c>
      <c r="G79">
        <v>1</v>
      </c>
      <c r="H79">
        <v>1</v>
      </c>
      <c r="I79">
        <v>771</v>
      </c>
      <c r="J79">
        <v>0</v>
      </c>
      <c r="K79">
        <v>0</v>
      </c>
      <c r="L79">
        <v>2087.4</v>
      </c>
      <c r="M79">
        <v>657.1</v>
      </c>
      <c r="N79">
        <v>3045.9</v>
      </c>
      <c r="O79">
        <v>341.5</v>
      </c>
      <c r="P79">
        <v>29659</v>
      </c>
      <c r="Q79">
        <v>0</v>
      </c>
      <c r="R79">
        <v>0</v>
      </c>
      <c r="S79">
        <v>0</v>
      </c>
      <c r="T79">
        <v>0</v>
      </c>
      <c r="U79">
        <v>0</v>
      </c>
      <c r="V79">
        <v>0.24</v>
      </c>
      <c r="W79">
        <v>3.5</v>
      </c>
      <c r="X79">
        <v>0.24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0.24</v>
      </c>
      <c r="AG79">
        <v>0</v>
      </c>
      <c r="AH79">
        <v>0</v>
      </c>
      <c r="AI79">
        <v>0</v>
      </c>
      <c r="AL79">
        <v>0</v>
      </c>
      <c r="AM79">
        <v>0</v>
      </c>
      <c r="AN79">
        <v>0</v>
      </c>
    </row>
    <row r="80" spans="1:40" x14ac:dyDescent="0.25">
      <c r="A80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100</v>
      </c>
      <c r="G80">
        <v>1</v>
      </c>
      <c r="H80">
        <v>1</v>
      </c>
      <c r="I80">
        <v>630</v>
      </c>
      <c r="J80">
        <v>0</v>
      </c>
      <c r="K80">
        <v>0</v>
      </c>
      <c r="L80">
        <v>2508.6999999999998</v>
      </c>
      <c r="M80">
        <v>2658.7</v>
      </c>
      <c r="N80">
        <v>2185.1999999999998</v>
      </c>
      <c r="O80">
        <v>1236.8</v>
      </c>
      <c r="P80">
        <v>2363.6999999999998</v>
      </c>
      <c r="Q80">
        <v>0</v>
      </c>
      <c r="R80">
        <v>0</v>
      </c>
      <c r="S80">
        <v>0</v>
      </c>
      <c r="T80">
        <v>0</v>
      </c>
      <c r="U80">
        <v>0</v>
      </c>
      <c r="V80">
        <v>0.7</v>
      </c>
      <c r="W80">
        <v>3.5</v>
      </c>
      <c r="X80">
        <v>0.7</v>
      </c>
      <c r="Y80">
        <v>0</v>
      </c>
      <c r="Z80">
        <v>0</v>
      </c>
      <c r="AA80">
        <v>0</v>
      </c>
      <c r="AB80">
        <v>0</v>
      </c>
      <c r="AC80">
        <v>0.7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2024</v>
      </c>
      <c r="AK80">
        <v>1</v>
      </c>
      <c r="AL80">
        <v>0</v>
      </c>
      <c r="AM80">
        <v>0</v>
      </c>
      <c r="AN80">
        <v>0</v>
      </c>
    </row>
    <row r="81" spans="1:40" x14ac:dyDescent="0.25">
      <c r="A81">
        <v>80</v>
      </c>
      <c r="B81" t="s">
        <v>426</v>
      </c>
      <c r="C81" t="s">
        <v>427</v>
      </c>
      <c r="D81" t="s">
        <v>428</v>
      </c>
      <c r="E81" t="s">
        <v>429</v>
      </c>
      <c r="F81" t="s">
        <v>132</v>
      </c>
      <c r="G81">
        <v>2</v>
      </c>
      <c r="H81">
        <v>1</v>
      </c>
      <c r="I81">
        <v>1110</v>
      </c>
      <c r="J81">
        <v>0</v>
      </c>
      <c r="K81">
        <v>0</v>
      </c>
      <c r="L81">
        <v>8342.9</v>
      </c>
      <c r="M81">
        <v>2875.1</v>
      </c>
      <c r="N81">
        <v>16421.599999999999</v>
      </c>
      <c r="O81">
        <v>404.8</v>
      </c>
      <c r="P81">
        <v>14820.3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3</v>
      </c>
      <c r="X81">
        <v>4.9999999999999982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4.9999999999999982</v>
      </c>
      <c r="AE81">
        <v>0</v>
      </c>
      <c r="AF81">
        <v>0</v>
      </c>
      <c r="AG81">
        <v>1</v>
      </c>
      <c r="AH81">
        <v>1</v>
      </c>
      <c r="AI81">
        <v>2</v>
      </c>
      <c r="AJ81">
        <v>2024</v>
      </c>
      <c r="AK81">
        <v>1</v>
      </c>
      <c r="AL81">
        <v>1</v>
      </c>
      <c r="AM81">
        <v>1</v>
      </c>
      <c r="AN81">
        <v>0</v>
      </c>
    </row>
    <row r="82" spans="1:40" x14ac:dyDescent="0.25">
      <c r="A82">
        <v>81</v>
      </c>
      <c r="B82" t="s">
        <v>430</v>
      </c>
      <c r="C82" t="s">
        <v>431</v>
      </c>
      <c r="D82" t="s">
        <v>432</v>
      </c>
      <c r="E82" t="s">
        <v>433</v>
      </c>
      <c r="F82" t="s">
        <v>105</v>
      </c>
      <c r="G82">
        <v>3</v>
      </c>
      <c r="H82">
        <v>1</v>
      </c>
      <c r="I82">
        <v>1775</v>
      </c>
      <c r="J82">
        <v>0</v>
      </c>
      <c r="K82">
        <v>0</v>
      </c>
      <c r="L82">
        <v>4802.3999999999996</v>
      </c>
      <c r="M82">
        <v>2469.6</v>
      </c>
      <c r="N82">
        <v>6511.4</v>
      </c>
      <c r="O82">
        <v>1016.5</v>
      </c>
      <c r="P82">
        <v>6676</v>
      </c>
      <c r="Q82">
        <v>0</v>
      </c>
      <c r="R82">
        <v>0</v>
      </c>
      <c r="S82">
        <v>0</v>
      </c>
      <c r="T82">
        <v>0</v>
      </c>
      <c r="U82">
        <v>0</v>
      </c>
      <c r="V82">
        <v>0.62</v>
      </c>
      <c r="W82">
        <v>3</v>
      </c>
      <c r="X82">
        <v>0</v>
      </c>
      <c r="Y82">
        <v>0</v>
      </c>
      <c r="Z82">
        <v>0</v>
      </c>
      <c r="AA82">
        <v>0.62</v>
      </c>
      <c r="AB82">
        <v>0</v>
      </c>
      <c r="AC82">
        <v>0</v>
      </c>
      <c r="AD82">
        <v>0</v>
      </c>
      <c r="AE82">
        <v>0</v>
      </c>
      <c r="AF82">
        <v>0.62</v>
      </c>
      <c r="AG82">
        <v>0</v>
      </c>
      <c r="AH82">
        <v>0</v>
      </c>
      <c r="AI82">
        <v>0</v>
      </c>
      <c r="AL82">
        <v>0</v>
      </c>
      <c r="AM82">
        <v>0</v>
      </c>
      <c r="AN82">
        <v>0</v>
      </c>
    </row>
    <row r="83" spans="1:40" x14ac:dyDescent="0.25">
      <c r="A83">
        <v>82</v>
      </c>
      <c r="B83" t="s">
        <v>434</v>
      </c>
      <c r="C83" t="s">
        <v>435</v>
      </c>
      <c r="D83" t="s">
        <v>436</v>
      </c>
      <c r="E83" t="s">
        <v>437</v>
      </c>
      <c r="F83" t="s">
        <v>100</v>
      </c>
      <c r="G83">
        <v>1</v>
      </c>
      <c r="H83">
        <v>1</v>
      </c>
      <c r="I83">
        <v>576</v>
      </c>
      <c r="J83">
        <v>0</v>
      </c>
      <c r="K83">
        <v>1</v>
      </c>
      <c r="L83">
        <v>2541.1</v>
      </c>
      <c r="M83">
        <v>2421.3000000000002</v>
      </c>
      <c r="N83">
        <v>2900.2</v>
      </c>
      <c r="O83">
        <v>285.2</v>
      </c>
      <c r="P83">
        <v>2396.1999999999998</v>
      </c>
      <c r="Q83">
        <v>0</v>
      </c>
      <c r="R83">
        <v>0</v>
      </c>
      <c r="S83">
        <v>0</v>
      </c>
      <c r="T83">
        <v>0</v>
      </c>
      <c r="U83">
        <v>0</v>
      </c>
      <c r="V83">
        <v>0.12</v>
      </c>
      <c r="W83">
        <v>3</v>
      </c>
      <c r="X83">
        <v>0.12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0.12</v>
      </c>
      <c r="AE83">
        <v>0</v>
      </c>
      <c r="AF83">
        <v>0</v>
      </c>
      <c r="AG83">
        <v>1</v>
      </c>
      <c r="AH83">
        <v>0</v>
      </c>
      <c r="AI83">
        <v>0</v>
      </c>
      <c r="AL83">
        <v>0</v>
      </c>
      <c r="AM83">
        <v>0</v>
      </c>
      <c r="AN83">
        <v>0</v>
      </c>
    </row>
    <row r="84" spans="1:40" x14ac:dyDescent="0.25">
      <c r="A84">
        <v>83</v>
      </c>
      <c r="B84" t="s">
        <v>438</v>
      </c>
      <c r="C84" t="s">
        <v>439</v>
      </c>
      <c r="D84" t="s">
        <v>440</v>
      </c>
      <c r="E84" t="s">
        <v>413</v>
      </c>
      <c r="F84" t="s">
        <v>105</v>
      </c>
      <c r="G84">
        <v>1</v>
      </c>
      <c r="H84">
        <v>1</v>
      </c>
      <c r="I84">
        <v>313</v>
      </c>
      <c r="J84">
        <v>0</v>
      </c>
      <c r="K84">
        <v>0</v>
      </c>
      <c r="L84">
        <v>2110.9</v>
      </c>
      <c r="M84">
        <v>1506.2</v>
      </c>
      <c r="N84">
        <v>7867.3</v>
      </c>
      <c r="O84">
        <v>817.5</v>
      </c>
      <c r="P84">
        <v>9246.7999999999993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0.71</v>
      </c>
      <c r="W84">
        <v>3</v>
      </c>
      <c r="X84">
        <v>0.71</v>
      </c>
      <c r="Y84">
        <v>0</v>
      </c>
      <c r="Z84">
        <v>0</v>
      </c>
      <c r="AA84">
        <v>0</v>
      </c>
      <c r="AB84">
        <v>0</v>
      </c>
      <c r="AC84">
        <v>0.71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L84">
        <v>0</v>
      </c>
      <c r="AM84">
        <v>0</v>
      </c>
      <c r="AN84">
        <v>0</v>
      </c>
    </row>
    <row r="85" spans="1:40" x14ac:dyDescent="0.25">
      <c r="A85">
        <v>84</v>
      </c>
      <c r="B85" t="s">
        <v>441</v>
      </c>
      <c r="C85" t="s">
        <v>442</v>
      </c>
      <c r="D85" t="s">
        <v>443</v>
      </c>
      <c r="E85" t="s">
        <v>444</v>
      </c>
      <c r="F85" t="s">
        <v>363</v>
      </c>
      <c r="G85">
        <v>1</v>
      </c>
      <c r="H85">
        <v>1</v>
      </c>
      <c r="I85">
        <v>870</v>
      </c>
      <c r="J85">
        <v>1</v>
      </c>
      <c r="K85">
        <v>0</v>
      </c>
      <c r="L85">
        <v>2175.6999999999998</v>
      </c>
      <c r="M85">
        <v>1937.1</v>
      </c>
      <c r="N85">
        <v>3394.6</v>
      </c>
      <c r="O85">
        <v>0</v>
      </c>
      <c r="P85">
        <v>30007.7</v>
      </c>
      <c r="Q85">
        <v>0</v>
      </c>
      <c r="R85">
        <v>0</v>
      </c>
      <c r="S85">
        <v>0</v>
      </c>
      <c r="T85">
        <v>0</v>
      </c>
      <c r="U85">
        <v>0</v>
      </c>
      <c r="V85">
        <v>0.35</v>
      </c>
      <c r="W85">
        <v>3</v>
      </c>
      <c r="X85">
        <v>0.35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0.2</v>
      </c>
      <c r="AF85">
        <v>0.15</v>
      </c>
      <c r="AG85">
        <v>0</v>
      </c>
      <c r="AH85">
        <v>0</v>
      </c>
      <c r="AI85">
        <v>0</v>
      </c>
      <c r="AL85">
        <v>0</v>
      </c>
      <c r="AM85">
        <v>0</v>
      </c>
      <c r="AN85">
        <v>0</v>
      </c>
    </row>
    <row r="86" spans="1:40" x14ac:dyDescent="0.25">
      <c r="A86">
        <v>85</v>
      </c>
      <c r="B86" t="s">
        <v>445</v>
      </c>
      <c r="C86" t="s">
        <v>446</v>
      </c>
      <c r="D86" t="s">
        <v>447</v>
      </c>
      <c r="E86" t="s">
        <v>448</v>
      </c>
      <c r="F86" t="s">
        <v>315</v>
      </c>
      <c r="G86">
        <v>1</v>
      </c>
      <c r="H86">
        <v>1</v>
      </c>
      <c r="I86">
        <v>706</v>
      </c>
      <c r="J86">
        <v>0</v>
      </c>
      <c r="K86">
        <v>0</v>
      </c>
      <c r="L86">
        <v>1239.3</v>
      </c>
      <c r="M86">
        <v>413.9</v>
      </c>
      <c r="N86">
        <v>2322</v>
      </c>
      <c r="O86">
        <v>75.5</v>
      </c>
      <c r="P86">
        <v>28935.1</v>
      </c>
      <c r="Q86">
        <v>0</v>
      </c>
      <c r="R86">
        <v>0</v>
      </c>
      <c r="S86">
        <v>0</v>
      </c>
      <c r="T86">
        <v>0</v>
      </c>
      <c r="U86">
        <v>0</v>
      </c>
      <c r="V86">
        <v>0.32</v>
      </c>
      <c r="W86">
        <v>3</v>
      </c>
      <c r="X86">
        <v>0.32000000000000012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0.32000000000000012</v>
      </c>
      <c r="AF86">
        <v>0</v>
      </c>
      <c r="AG86">
        <v>0</v>
      </c>
      <c r="AH86">
        <v>0</v>
      </c>
      <c r="AI86">
        <v>0</v>
      </c>
      <c r="AL86">
        <v>0</v>
      </c>
      <c r="AM86">
        <v>0</v>
      </c>
      <c r="AN86">
        <v>0</v>
      </c>
    </row>
    <row r="87" spans="1:40" x14ac:dyDescent="0.25">
      <c r="A87">
        <v>86</v>
      </c>
      <c r="B87" t="s">
        <v>449</v>
      </c>
      <c r="C87" t="s">
        <v>450</v>
      </c>
      <c r="D87" t="s">
        <v>451</v>
      </c>
      <c r="E87" t="s">
        <v>452</v>
      </c>
      <c r="F87" t="s">
        <v>363</v>
      </c>
      <c r="G87">
        <v>1</v>
      </c>
      <c r="H87">
        <v>1</v>
      </c>
      <c r="I87">
        <v>489</v>
      </c>
      <c r="J87">
        <v>1</v>
      </c>
      <c r="K87">
        <v>0</v>
      </c>
      <c r="L87">
        <v>609.29999999999995</v>
      </c>
      <c r="M87">
        <v>370.6</v>
      </c>
      <c r="N87">
        <v>1828.1</v>
      </c>
      <c r="O87">
        <v>75</v>
      </c>
      <c r="P87">
        <v>28441.3</v>
      </c>
      <c r="Q87">
        <v>0</v>
      </c>
      <c r="R87">
        <v>0</v>
      </c>
      <c r="S87">
        <v>0</v>
      </c>
      <c r="T87">
        <v>0</v>
      </c>
      <c r="U87">
        <v>0</v>
      </c>
      <c r="V87">
        <v>0.17</v>
      </c>
      <c r="W87">
        <v>3</v>
      </c>
      <c r="X87">
        <v>0.17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0.17</v>
      </c>
      <c r="AG87">
        <v>0</v>
      </c>
      <c r="AH87">
        <v>0</v>
      </c>
      <c r="AI87">
        <v>0</v>
      </c>
      <c r="AL87">
        <v>1</v>
      </c>
      <c r="AM87">
        <v>0</v>
      </c>
      <c r="AN87">
        <v>1</v>
      </c>
    </row>
    <row r="88" spans="1:40" x14ac:dyDescent="0.25">
      <c r="A88">
        <v>87</v>
      </c>
      <c r="B88" t="s">
        <v>453</v>
      </c>
      <c r="C88" t="s">
        <v>454</v>
      </c>
      <c r="D88" t="s">
        <v>455</v>
      </c>
      <c r="E88" t="s">
        <v>456</v>
      </c>
      <c r="F88" t="s">
        <v>363</v>
      </c>
      <c r="G88">
        <v>1</v>
      </c>
      <c r="H88">
        <v>1</v>
      </c>
      <c r="I88">
        <v>670</v>
      </c>
      <c r="J88">
        <v>0</v>
      </c>
      <c r="K88">
        <v>0</v>
      </c>
      <c r="L88">
        <v>9408.8282999999992</v>
      </c>
      <c r="M88">
        <v>9355</v>
      </c>
      <c r="N88">
        <v>14749.7</v>
      </c>
      <c r="O88">
        <v>139.69999999999999</v>
      </c>
      <c r="P88">
        <v>41472.5</v>
      </c>
      <c r="Q88">
        <v>0</v>
      </c>
      <c r="R88">
        <v>0</v>
      </c>
      <c r="S88">
        <v>0</v>
      </c>
      <c r="T88">
        <v>0</v>
      </c>
      <c r="U88">
        <v>0</v>
      </c>
      <c r="V88">
        <v>0.56999999999999995</v>
      </c>
      <c r="W88">
        <v>3</v>
      </c>
      <c r="X88">
        <v>0</v>
      </c>
      <c r="Y88">
        <v>0</v>
      </c>
      <c r="Z88">
        <v>0.57000000000000006</v>
      </c>
      <c r="AA88">
        <v>0</v>
      </c>
      <c r="AB88">
        <v>0</v>
      </c>
      <c r="AC88">
        <v>0</v>
      </c>
      <c r="AD88">
        <v>0.17</v>
      </c>
      <c r="AE88">
        <v>0.2</v>
      </c>
      <c r="AF88">
        <v>0.2</v>
      </c>
      <c r="AG88">
        <v>0.2982456140350877</v>
      </c>
      <c r="AH88">
        <v>0</v>
      </c>
      <c r="AI88">
        <v>0</v>
      </c>
      <c r="AL88">
        <v>0</v>
      </c>
      <c r="AM88">
        <v>0</v>
      </c>
      <c r="AN88">
        <v>0</v>
      </c>
    </row>
    <row r="89" spans="1:40" x14ac:dyDescent="0.25">
      <c r="A89">
        <v>88</v>
      </c>
      <c r="B89" t="s">
        <v>457</v>
      </c>
      <c r="C89" t="s">
        <v>458</v>
      </c>
      <c r="D89" t="s">
        <v>459</v>
      </c>
      <c r="E89" t="s">
        <v>460</v>
      </c>
      <c r="F89" t="s">
        <v>105</v>
      </c>
      <c r="G89">
        <v>2</v>
      </c>
      <c r="H89">
        <v>1</v>
      </c>
      <c r="I89">
        <v>903</v>
      </c>
      <c r="J89">
        <v>0</v>
      </c>
      <c r="K89">
        <v>0</v>
      </c>
      <c r="L89">
        <v>2999</v>
      </c>
      <c r="M89">
        <v>3569.4</v>
      </c>
      <c r="N89">
        <v>8755.4</v>
      </c>
      <c r="O89">
        <v>786</v>
      </c>
      <c r="P89">
        <v>9035.9</v>
      </c>
      <c r="Q89">
        <v>0</v>
      </c>
      <c r="R89">
        <v>0</v>
      </c>
      <c r="S89">
        <v>0</v>
      </c>
      <c r="T89">
        <v>0</v>
      </c>
      <c r="U89">
        <v>0</v>
      </c>
      <c r="V89">
        <v>2.12</v>
      </c>
      <c r="W89">
        <v>3.5</v>
      </c>
      <c r="X89">
        <v>1.6</v>
      </c>
      <c r="Y89">
        <v>0</v>
      </c>
      <c r="Z89">
        <v>0</v>
      </c>
      <c r="AA89">
        <v>0.52</v>
      </c>
      <c r="AB89">
        <v>0</v>
      </c>
      <c r="AC89">
        <v>0</v>
      </c>
      <c r="AD89">
        <v>0</v>
      </c>
      <c r="AE89">
        <v>0.6</v>
      </c>
      <c r="AF89">
        <v>1.52</v>
      </c>
      <c r="AG89">
        <v>0</v>
      </c>
      <c r="AH89">
        <v>1</v>
      </c>
      <c r="AI89">
        <v>3</v>
      </c>
      <c r="AJ89">
        <v>2023</v>
      </c>
      <c r="AK89">
        <v>2</v>
      </c>
      <c r="AL89">
        <v>0</v>
      </c>
      <c r="AM89">
        <v>0</v>
      </c>
      <c r="AN89">
        <v>0</v>
      </c>
    </row>
    <row r="90" spans="1:40" x14ac:dyDescent="0.25">
      <c r="A90">
        <v>89</v>
      </c>
      <c r="B90" t="s">
        <v>461</v>
      </c>
      <c r="C90" t="s">
        <v>462</v>
      </c>
      <c r="D90" t="s">
        <v>463</v>
      </c>
      <c r="E90" t="s">
        <v>464</v>
      </c>
      <c r="F90" t="s">
        <v>105</v>
      </c>
      <c r="G90">
        <v>2</v>
      </c>
      <c r="H90">
        <v>1</v>
      </c>
      <c r="I90">
        <v>1354</v>
      </c>
      <c r="J90">
        <v>0</v>
      </c>
      <c r="K90">
        <v>0</v>
      </c>
      <c r="L90">
        <v>2693.7</v>
      </c>
      <c r="M90">
        <v>1953.7</v>
      </c>
      <c r="N90">
        <v>5995.5</v>
      </c>
      <c r="O90">
        <v>1377.9</v>
      </c>
      <c r="P90">
        <v>6160.2</v>
      </c>
      <c r="Q90">
        <v>0</v>
      </c>
      <c r="R90">
        <v>0</v>
      </c>
      <c r="S90">
        <v>0</v>
      </c>
      <c r="T90">
        <v>0</v>
      </c>
      <c r="U90">
        <v>0</v>
      </c>
      <c r="V90">
        <v>1.91</v>
      </c>
      <c r="W90">
        <v>3</v>
      </c>
      <c r="X90">
        <v>1.910000000000001</v>
      </c>
      <c r="Y90">
        <v>0</v>
      </c>
      <c r="Z90">
        <v>0</v>
      </c>
      <c r="AA90">
        <v>0</v>
      </c>
      <c r="AB90">
        <v>0</v>
      </c>
      <c r="AC90">
        <v>1.910000000000001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4</v>
      </c>
      <c r="AJ90">
        <v>2024</v>
      </c>
      <c r="AK90">
        <v>1</v>
      </c>
      <c r="AL90">
        <v>0</v>
      </c>
      <c r="AM90">
        <v>0</v>
      </c>
      <c r="AN90">
        <v>0</v>
      </c>
    </row>
    <row r="91" spans="1:40" x14ac:dyDescent="0.25">
      <c r="A91">
        <v>90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  <c r="G91">
        <v>3</v>
      </c>
      <c r="H91">
        <v>2</v>
      </c>
      <c r="I91">
        <v>810</v>
      </c>
      <c r="J91">
        <v>0</v>
      </c>
      <c r="K91">
        <v>1</v>
      </c>
      <c r="L91">
        <v>18029.7</v>
      </c>
      <c r="M91">
        <v>13987</v>
      </c>
      <c r="N91">
        <v>20240.099999999999</v>
      </c>
      <c r="O91">
        <v>409.1</v>
      </c>
      <c r="P91">
        <v>20142.5</v>
      </c>
      <c r="Q91">
        <v>0</v>
      </c>
      <c r="R91">
        <v>0</v>
      </c>
      <c r="S91">
        <v>0</v>
      </c>
      <c r="T91">
        <v>0</v>
      </c>
      <c r="U91">
        <v>0</v>
      </c>
      <c r="V91">
        <v>7.78</v>
      </c>
      <c r="W91">
        <v>3</v>
      </c>
      <c r="X91">
        <v>5.8799999999999946</v>
      </c>
      <c r="Y91">
        <v>0</v>
      </c>
      <c r="Z91">
        <v>0</v>
      </c>
      <c r="AA91">
        <v>0</v>
      </c>
      <c r="AB91">
        <v>1.900000000000001</v>
      </c>
      <c r="AC91">
        <v>0</v>
      </c>
      <c r="AD91">
        <v>4.58</v>
      </c>
      <c r="AE91">
        <v>1.3</v>
      </c>
      <c r="AF91">
        <v>1.900000000000001</v>
      </c>
      <c r="AG91">
        <v>0.58868894601542421</v>
      </c>
      <c r="AH91">
        <v>1</v>
      </c>
      <c r="AI91">
        <v>1</v>
      </c>
      <c r="AJ91">
        <v>2024</v>
      </c>
      <c r="AK91">
        <v>1</v>
      </c>
      <c r="AL91">
        <v>0</v>
      </c>
      <c r="AM91">
        <v>0</v>
      </c>
      <c r="AN91">
        <v>0</v>
      </c>
    </row>
    <row r="92" spans="1:40" x14ac:dyDescent="0.2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132</v>
      </c>
      <c r="G92">
        <v>1</v>
      </c>
      <c r="H92">
        <v>1</v>
      </c>
      <c r="I92">
        <v>166</v>
      </c>
      <c r="J92">
        <v>0</v>
      </c>
      <c r="K92">
        <v>0</v>
      </c>
      <c r="L92">
        <v>23529</v>
      </c>
      <c r="M92">
        <v>19486.3</v>
      </c>
      <c r="N92">
        <v>25739.4</v>
      </c>
      <c r="O92">
        <v>2928.3</v>
      </c>
      <c r="P92">
        <v>25641.8</v>
      </c>
      <c r="Q92">
        <v>0</v>
      </c>
      <c r="R92">
        <v>0</v>
      </c>
      <c r="S92">
        <v>0</v>
      </c>
      <c r="T92">
        <v>0</v>
      </c>
      <c r="U92">
        <v>0</v>
      </c>
      <c r="V92">
        <v>0.97</v>
      </c>
      <c r="W92">
        <v>1.5</v>
      </c>
      <c r="X92">
        <v>0</v>
      </c>
      <c r="Y92">
        <v>0</v>
      </c>
      <c r="Z92">
        <v>0.97</v>
      </c>
      <c r="AA92">
        <v>0</v>
      </c>
      <c r="AB92">
        <v>0</v>
      </c>
      <c r="AC92">
        <v>0.3</v>
      </c>
      <c r="AD92">
        <v>0</v>
      </c>
      <c r="AE92">
        <v>0</v>
      </c>
      <c r="AF92">
        <v>0.66999999999999993</v>
      </c>
      <c r="AG92">
        <v>0.30927835051546398</v>
      </c>
      <c r="AH92">
        <v>1</v>
      </c>
      <c r="AI92">
        <v>1</v>
      </c>
      <c r="AJ92">
        <v>2023</v>
      </c>
      <c r="AK92">
        <v>2</v>
      </c>
      <c r="AL92">
        <v>0</v>
      </c>
      <c r="AM92">
        <v>0</v>
      </c>
      <c r="AN92">
        <v>0</v>
      </c>
    </row>
    <row r="93" spans="1:40" x14ac:dyDescent="0.25">
      <c r="A93">
        <v>92</v>
      </c>
      <c r="B93" t="s">
        <v>474</v>
      </c>
      <c r="C93" t="s">
        <v>475</v>
      </c>
      <c r="D93" t="s">
        <v>476</v>
      </c>
      <c r="E93" t="s">
        <v>477</v>
      </c>
      <c r="F93" t="s">
        <v>132</v>
      </c>
      <c r="G93">
        <v>2</v>
      </c>
      <c r="H93">
        <v>1</v>
      </c>
      <c r="I93">
        <v>622</v>
      </c>
      <c r="J93">
        <v>0</v>
      </c>
      <c r="K93">
        <v>0</v>
      </c>
      <c r="L93">
        <v>20707.8</v>
      </c>
      <c r="M93">
        <v>16665</v>
      </c>
      <c r="N93">
        <v>22918.2</v>
      </c>
      <c r="O93">
        <v>1957.6</v>
      </c>
      <c r="P93">
        <v>22820.5</v>
      </c>
      <c r="Q93">
        <v>0</v>
      </c>
      <c r="R93">
        <v>0</v>
      </c>
      <c r="S93">
        <v>0</v>
      </c>
      <c r="T93">
        <v>0</v>
      </c>
      <c r="U93">
        <v>0</v>
      </c>
      <c r="V93">
        <v>4.1900000000000004</v>
      </c>
      <c r="W93">
        <v>3</v>
      </c>
      <c r="X93">
        <v>4.1900000000000013</v>
      </c>
      <c r="Y93">
        <v>0</v>
      </c>
      <c r="Z93">
        <v>0</v>
      </c>
      <c r="AA93">
        <v>0</v>
      </c>
      <c r="AB93">
        <v>0</v>
      </c>
      <c r="AC93">
        <v>1.9900000000000011</v>
      </c>
      <c r="AD93">
        <v>2.2000000000000011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2024</v>
      </c>
      <c r="AK93">
        <v>1</v>
      </c>
      <c r="AL93">
        <v>0</v>
      </c>
      <c r="AM93">
        <v>0</v>
      </c>
      <c r="AN93">
        <v>0</v>
      </c>
    </row>
    <row r="94" spans="1:40" x14ac:dyDescent="0.25">
      <c r="A94">
        <v>93</v>
      </c>
      <c r="B94" t="s">
        <v>238</v>
      </c>
      <c r="C94" t="s">
        <v>478</v>
      </c>
      <c r="D94" t="s">
        <v>479</v>
      </c>
      <c r="E94" t="s">
        <v>480</v>
      </c>
      <c r="F94" t="s">
        <v>132</v>
      </c>
      <c r="G94">
        <v>1</v>
      </c>
      <c r="H94">
        <v>1</v>
      </c>
      <c r="I94">
        <v>251</v>
      </c>
      <c r="J94">
        <v>0</v>
      </c>
      <c r="K94">
        <v>0</v>
      </c>
      <c r="L94">
        <v>17179.099999999999</v>
      </c>
      <c r="M94">
        <v>13136.4</v>
      </c>
      <c r="N94">
        <v>19389.5</v>
      </c>
      <c r="O94">
        <v>558.29999999999995</v>
      </c>
      <c r="P94">
        <v>19291.8</v>
      </c>
      <c r="Q94">
        <v>0</v>
      </c>
      <c r="R94">
        <v>0</v>
      </c>
      <c r="S94">
        <v>0</v>
      </c>
      <c r="T94">
        <v>0</v>
      </c>
      <c r="U94">
        <v>0</v>
      </c>
      <c r="V94">
        <v>0.3</v>
      </c>
      <c r="W94">
        <v>3</v>
      </c>
      <c r="X94">
        <v>0</v>
      </c>
      <c r="Y94">
        <v>0</v>
      </c>
      <c r="Z94">
        <v>0.1</v>
      </c>
      <c r="AA94">
        <v>0.2</v>
      </c>
      <c r="AB94">
        <v>0</v>
      </c>
      <c r="AC94">
        <v>0</v>
      </c>
      <c r="AD94">
        <v>0</v>
      </c>
      <c r="AE94">
        <v>0.1</v>
      </c>
      <c r="AF94">
        <v>0.2</v>
      </c>
      <c r="AG94">
        <v>0</v>
      </c>
      <c r="AH94">
        <v>0</v>
      </c>
      <c r="AI94">
        <v>0</v>
      </c>
      <c r="AL94">
        <v>0</v>
      </c>
      <c r="AM94">
        <v>0</v>
      </c>
      <c r="AN94">
        <v>0</v>
      </c>
    </row>
    <row r="95" spans="1:40" x14ac:dyDescent="0.25">
      <c r="A95">
        <v>94</v>
      </c>
      <c r="B95" t="s">
        <v>481</v>
      </c>
      <c r="C95" t="s">
        <v>482</v>
      </c>
      <c r="D95" t="s">
        <v>483</v>
      </c>
      <c r="E95" t="s">
        <v>484</v>
      </c>
      <c r="F95" t="s">
        <v>176</v>
      </c>
      <c r="G95">
        <v>2</v>
      </c>
      <c r="H95">
        <v>1</v>
      </c>
      <c r="I95">
        <v>1505</v>
      </c>
      <c r="J95">
        <v>0</v>
      </c>
      <c r="K95">
        <v>0</v>
      </c>
      <c r="L95">
        <v>2537.1999999999998</v>
      </c>
      <c r="M95">
        <v>2687.3</v>
      </c>
      <c r="N95">
        <v>910.5</v>
      </c>
      <c r="O95">
        <v>858.4</v>
      </c>
      <c r="P95">
        <v>2582.3000000000002</v>
      </c>
      <c r="Q95">
        <v>0</v>
      </c>
      <c r="R95">
        <v>0</v>
      </c>
      <c r="S95">
        <v>0</v>
      </c>
      <c r="T95">
        <v>0</v>
      </c>
      <c r="U95">
        <v>0</v>
      </c>
      <c r="V95">
        <v>0.9</v>
      </c>
      <c r="W95">
        <v>3</v>
      </c>
      <c r="X95">
        <v>0.89999999999999991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0.7</v>
      </c>
      <c r="AE95">
        <v>0.2</v>
      </c>
      <c r="AF95">
        <v>0</v>
      </c>
      <c r="AG95">
        <v>0.77777777777777779</v>
      </c>
      <c r="AH95">
        <v>1</v>
      </c>
      <c r="AI95">
        <v>2</v>
      </c>
      <c r="AJ95">
        <v>2024</v>
      </c>
      <c r="AK95">
        <v>1</v>
      </c>
      <c r="AL95">
        <v>1</v>
      </c>
      <c r="AM95">
        <v>1</v>
      </c>
      <c r="AN95">
        <v>0</v>
      </c>
    </row>
    <row r="96" spans="1:40" x14ac:dyDescent="0.25">
      <c r="A96">
        <v>95</v>
      </c>
      <c r="B96" t="s">
        <v>485</v>
      </c>
      <c r="C96" t="s">
        <v>486</v>
      </c>
      <c r="D96" t="s">
        <v>487</v>
      </c>
      <c r="E96" t="s">
        <v>488</v>
      </c>
      <c r="F96" t="s">
        <v>489</v>
      </c>
      <c r="G96">
        <v>2</v>
      </c>
      <c r="H96">
        <v>2</v>
      </c>
      <c r="I96">
        <v>1298</v>
      </c>
      <c r="J96">
        <v>0</v>
      </c>
      <c r="K96">
        <v>0</v>
      </c>
      <c r="L96">
        <v>2325.9</v>
      </c>
      <c r="M96">
        <v>2475.9</v>
      </c>
      <c r="N96">
        <v>1443.4</v>
      </c>
      <c r="O96">
        <v>1418.4</v>
      </c>
      <c r="P96">
        <v>2371</v>
      </c>
      <c r="Q96">
        <v>0</v>
      </c>
      <c r="R96">
        <v>0</v>
      </c>
      <c r="S96">
        <v>0</v>
      </c>
      <c r="T96">
        <v>0</v>
      </c>
      <c r="U96">
        <v>0</v>
      </c>
      <c r="V96">
        <v>1.43</v>
      </c>
      <c r="W96">
        <v>3</v>
      </c>
      <c r="X96">
        <v>1.43</v>
      </c>
      <c r="Y96">
        <v>0</v>
      </c>
      <c r="Z96">
        <v>0</v>
      </c>
      <c r="AA96">
        <v>0</v>
      </c>
      <c r="AB96">
        <v>0</v>
      </c>
      <c r="AC96">
        <v>1.23</v>
      </c>
      <c r="AD96">
        <v>0.2</v>
      </c>
      <c r="AE96">
        <v>0</v>
      </c>
      <c r="AF96">
        <v>0</v>
      </c>
      <c r="AG96">
        <v>1</v>
      </c>
      <c r="AH96">
        <v>0</v>
      </c>
      <c r="AI96">
        <v>0</v>
      </c>
      <c r="AL96">
        <v>1</v>
      </c>
      <c r="AM96">
        <v>1</v>
      </c>
      <c r="AN96">
        <v>0</v>
      </c>
    </row>
    <row r="97" spans="1:40" x14ac:dyDescent="0.25">
      <c r="A97">
        <v>96</v>
      </c>
      <c r="B97" t="s">
        <v>490</v>
      </c>
      <c r="C97" t="s">
        <v>491</v>
      </c>
      <c r="D97" t="s">
        <v>492</v>
      </c>
      <c r="E97" t="s">
        <v>493</v>
      </c>
      <c r="F97" t="s">
        <v>494</v>
      </c>
      <c r="G97">
        <v>3</v>
      </c>
      <c r="H97">
        <v>3</v>
      </c>
      <c r="I97">
        <v>2554</v>
      </c>
      <c r="J97">
        <v>0</v>
      </c>
      <c r="K97">
        <v>0</v>
      </c>
      <c r="L97">
        <v>2409.4</v>
      </c>
      <c r="M97">
        <v>2559.5</v>
      </c>
      <c r="N97">
        <v>1239.3</v>
      </c>
      <c r="O97">
        <v>370.5</v>
      </c>
      <c r="P97">
        <v>2727.8</v>
      </c>
      <c r="Q97">
        <v>0</v>
      </c>
      <c r="R97">
        <v>0</v>
      </c>
      <c r="S97">
        <v>0</v>
      </c>
      <c r="T97">
        <v>0</v>
      </c>
      <c r="U97">
        <v>0</v>
      </c>
      <c r="V97">
        <v>1.17</v>
      </c>
      <c r="W97">
        <v>3.5</v>
      </c>
      <c r="X97">
        <v>1.17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0.2</v>
      </c>
      <c r="AE97">
        <v>0.97</v>
      </c>
      <c r="AF97">
        <v>0</v>
      </c>
      <c r="AG97">
        <v>0.170940170940171</v>
      </c>
      <c r="AH97">
        <v>1</v>
      </c>
      <c r="AI97">
        <v>2</v>
      </c>
      <c r="AJ97">
        <v>2024</v>
      </c>
      <c r="AK97">
        <v>1</v>
      </c>
      <c r="AL97">
        <v>0</v>
      </c>
      <c r="AM97">
        <v>0</v>
      </c>
      <c r="AN97">
        <v>0</v>
      </c>
    </row>
    <row r="98" spans="1:40" x14ac:dyDescent="0.25">
      <c r="A98">
        <v>97</v>
      </c>
      <c r="B98" t="s">
        <v>495</v>
      </c>
      <c r="C98" t="s">
        <v>496</v>
      </c>
      <c r="D98" t="s">
        <v>497</v>
      </c>
      <c r="E98" t="s">
        <v>498</v>
      </c>
      <c r="F98" t="s">
        <v>176</v>
      </c>
      <c r="G98">
        <v>2</v>
      </c>
      <c r="H98">
        <v>1</v>
      </c>
      <c r="I98">
        <v>1245</v>
      </c>
      <c r="J98">
        <v>0</v>
      </c>
      <c r="K98">
        <v>1</v>
      </c>
      <c r="L98">
        <v>2781.2</v>
      </c>
      <c r="M98">
        <v>2931.3</v>
      </c>
      <c r="N98">
        <v>1637.8</v>
      </c>
      <c r="O98">
        <v>705.9</v>
      </c>
      <c r="P98">
        <v>3099.5</v>
      </c>
      <c r="Q98">
        <v>0</v>
      </c>
      <c r="R98">
        <v>0</v>
      </c>
      <c r="S98">
        <v>0</v>
      </c>
      <c r="T98">
        <v>0</v>
      </c>
      <c r="U98">
        <v>0</v>
      </c>
      <c r="V98">
        <v>0.78</v>
      </c>
      <c r="W98">
        <v>3.5</v>
      </c>
      <c r="X98">
        <v>0.77999999999999992</v>
      </c>
      <c r="Y98">
        <v>0</v>
      </c>
      <c r="Z98">
        <v>0</v>
      </c>
      <c r="AA98">
        <v>0</v>
      </c>
      <c r="AB98">
        <v>0</v>
      </c>
      <c r="AC98">
        <v>0.77999999999999992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2024</v>
      </c>
      <c r="AK98">
        <v>1</v>
      </c>
      <c r="AL98">
        <v>0</v>
      </c>
      <c r="AM98">
        <v>0</v>
      </c>
      <c r="AN98">
        <v>0</v>
      </c>
    </row>
    <row r="99" spans="1:40" x14ac:dyDescent="0.25">
      <c r="A99">
        <v>98</v>
      </c>
      <c r="B99" t="s">
        <v>499</v>
      </c>
      <c r="C99" t="s">
        <v>500</v>
      </c>
      <c r="D99" t="s">
        <v>501</v>
      </c>
      <c r="E99" t="s">
        <v>502</v>
      </c>
      <c r="F99" t="s">
        <v>503</v>
      </c>
      <c r="G99">
        <v>4</v>
      </c>
      <c r="H99">
        <v>2</v>
      </c>
      <c r="I99">
        <v>2916</v>
      </c>
      <c r="J99">
        <v>0</v>
      </c>
      <c r="K99">
        <v>1</v>
      </c>
      <c r="L99">
        <v>2573.5</v>
      </c>
      <c r="M99">
        <v>2569.4</v>
      </c>
      <c r="N99">
        <v>3230</v>
      </c>
      <c r="O99">
        <v>535.6</v>
      </c>
      <c r="P99">
        <v>4628.6000000000004</v>
      </c>
      <c r="Q99">
        <v>0</v>
      </c>
      <c r="R99">
        <v>0</v>
      </c>
      <c r="S99">
        <v>0</v>
      </c>
      <c r="T99">
        <v>0</v>
      </c>
      <c r="U99">
        <v>0</v>
      </c>
      <c r="V99">
        <v>4.9400000000000004</v>
      </c>
      <c r="W99">
        <v>5</v>
      </c>
      <c r="X99">
        <v>4.9399999999999986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3.5400000000000018</v>
      </c>
      <c r="AE99">
        <v>1.4</v>
      </c>
      <c r="AF99">
        <v>0</v>
      </c>
      <c r="AG99">
        <v>0.71659919028340091</v>
      </c>
      <c r="AH99">
        <v>1</v>
      </c>
      <c r="AI99">
        <v>1</v>
      </c>
      <c r="AJ99">
        <v>2023</v>
      </c>
      <c r="AK99">
        <v>2</v>
      </c>
      <c r="AL99">
        <v>0</v>
      </c>
      <c r="AM99">
        <v>0</v>
      </c>
      <c r="AN99">
        <v>0</v>
      </c>
    </row>
    <row r="100" spans="1:40" x14ac:dyDescent="0.25">
      <c r="A100">
        <v>99</v>
      </c>
      <c r="B100" t="s">
        <v>504</v>
      </c>
      <c r="C100" t="s">
        <v>505</v>
      </c>
      <c r="D100" t="s">
        <v>506</v>
      </c>
      <c r="E100" t="s">
        <v>507</v>
      </c>
      <c r="F100" t="s">
        <v>363</v>
      </c>
      <c r="G100">
        <v>2</v>
      </c>
      <c r="H100">
        <v>1</v>
      </c>
      <c r="I100">
        <v>1435</v>
      </c>
      <c r="J100">
        <v>1</v>
      </c>
      <c r="K100">
        <v>0</v>
      </c>
      <c r="L100">
        <v>9408.7999999999993</v>
      </c>
      <c r="M100">
        <v>11892.5</v>
      </c>
      <c r="N100">
        <v>17293.2</v>
      </c>
      <c r="O100">
        <v>87.8</v>
      </c>
      <c r="P100">
        <v>43906.3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4.0999999999999996</v>
      </c>
      <c r="W100">
        <v>3</v>
      </c>
      <c r="X100">
        <v>0</v>
      </c>
      <c r="Y100">
        <v>0</v>
      </c>
      <c r="Z100">
        <v>2.4000000000000008</v>
      </c>
      <c r="AA100">
        <v>0</v>
      </c>
      <c r="AB100">
        <v>1.7</v>
      </c>
      <c r="AC100">
        <v>0</v>
      </c>
      <c r="AD100">
        <v>0.4</v>
      </c>
      <c r="AE100">
        <v>2</v>
      </c>
      <c r="AF100">
        <v>1.7</v>
      </c>
      <c r="AG100">
        <v>9.7560975609756087E-2</v>
      </c>
      <c r="AH100">
        <v>1</v>
      </c>
      <c r="AI100">
        <v>2</v>
      </c>
      <c r="AJ100">
        <v>2023</v>
      </c>
      <c r="AK100">
        <v>2</v>
      </c>
      <c r="AL100">
        <v>0</v>
      </c>
      <c r="AM100">
        <v>0</v>
      </c>
      <c r="AN100">
        <v>0</v>
      </c>
    </row>
    <row r="101" spans="1:40" x14ac:dyDescent="0.25">
      <c r="A101">
        <v>100</v>
      </c>
      <c r="B101" t="s">
        <v>508</v>
      </c>
      <c r="C101" t="s">
        <v>509</v>
      </c>
      <c r="D101" t="s">
        <v>510</v>
      </c>
      <c r="E101" t="s">
        <v>511</v>
      </c>
      <c r="F101" t="s">
        <v>315</v>
      </c>
      <c r="G101">
        <v>1</v>
      </c>
      <c r="H101">
        <v>1</v>
      </c>
      <c r="I101">
        <v>741</v>
      </c>
      <c r="J101">
        <v>0</v>
      </c>
      <c r="K101">
        <v>0</v>
      </c>
      <c r="L101">
        <v>2252</v>
      </c>
      <c r="M101">
        <v>901.6</v>
      </c>
      <c r="N101">
        <v>3290.5</v>
      </c>
      <c r="O101">
        <v>0</v>
      </c>
      <c r="P101">
        <v>29903.599999999999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0.21</v>
      </c>
      <c r="W101">
        <v>3</v>
      </c>
      <c r="X101">
        <v>0.21</v>
      </c>
      <c r="Y101">
        <v>0</v>
      </c>
      <c r="Z101">
        <v>0</v>
      </c>
      <c r="AA101">
        <v>0</v>
      </c>
      <c r="AB101">
        <v>0</v>
      </c>
      <c r="AC101">
        <v>0.21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L101">
        <v>0</v>
      </c>
      <c r="AM101">
        <v>0</v>
      </c>
      <c r="AN101">
        <v>0</v>
      </c>
    </row>
    <row r="102" spans="1:40" x14ac:dyDescent="0.25">
      <c r="A102">
        <v>101</v>
      </c>
      <c r="B102" t="s">
        <v>512</v>
      </c>
      <c r="C102" t="s">
        <v>513</v>
      </c>
      <c r="D102" t="s">
        <v>514</v>
      </c>
      <c r="E102" t="s">
        <v>515</v>
      </c>
      <c r="F102" t="s">
        <v>310</v>
      </c>
      <c r="G102">
        <v>2</v>
      </c>
      <c r="H102">
        <v>1</v>
      </c>
      <c r="I102">
        <v>501</v>
      </c>
      <c r="J102">
        <v>0</v>
      </c>
      <c r="K102">
        <v>0</v>
      </c>
      <c r="L102">
        <v>38688.800000000003</v>
      </c>
      <c r="M102">
        <v>4781.2</v>
      </c>
      <c r="N102">
        <v>40899.199999999997</v>
      </c>
      <c r="O102">
        <v>918.1</v>
      </c>
      <c r="P102">
        <v>40801.599999999999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2.7</v>
      </c>
      <c r="W102">
        <v>2</v>
      </c>
      <c r="X102">
        <v>0</v>
      </c>
      <c r="Y102">
        <v>0</v>
      </c>
      <c r="Z102">
        <v>2.3000000000000012</v>
      </c>
      <c r="AA102">
        <v>0.4</v>
      </c>
      <c r="AB102">
        <v>0</v>
      </c>
      <c r="AC102">
        <v>0</v>
      </c>
      <c r="AD102">
        <v>1.6</v>
      </c>
      <c r="AE102">
        <v>0</v>
      </c>
      <c r="AF102">
        <v>1.1000000000000001</v>
      </c>
      <c r="AG102">
        <v>0.59259259259259267</v>
      </c>
      <c r="AH102">
        <v>1</v>
      </c>
      <c r="AI102">
        <v>2</v>
      </c>
      <c r="AJ102">
        <v>2024</v>
      </c>
      <c r="AK102">
        <v>1</v>
      </c>
      <c r="AL102">
        <v>0</v>
      </c>
      <c r="AM102">
        <v>0</v>
      </c>
      <c r="AN102">
        <v>0</v>
      </c>
    </row>
    <row r="103" spans="1:40" x14ac:dyDescent="0.25">
      <c r="A103">
        <v>102</v>
      </c>
      <c r="B103" t="s">
        <v>516</v>
      </c>
      <c r="C103" t="s">
        <v>517</v>
      </c>
      <c r="D103" t="s">
        <v>518</v>
      </c>
      <c r="E103" t="s">
        <v>519</v>
      </c>
      <c r="F103" t="s">
        <v>310</v>
      </c>
      <c r="G103">
        <v>1</v>
      </c>
      <c r="H103">
        <v>1</v>
      </c>
      <c r="I103">
        <v>235</v>
      </c>
      <c r="J103">
        <v>0</v>
      </c>
      <c r="K103">
        <v>0</v>
      </c>
      <c r="L103">
        <v>41201.5</v>
      </c>
      <c r="M103">
        <v>7293.9</v>
      </c>
      <c r="N103">
        <v>43411.9</v>
      </c>
      <c r="O103">
        <v>1185.3</v>
      </c>
      <c r="P103">
        <v>43314.3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5.25</v>
      </c>
      <c r="W103">
        <v>2</v>
      </c>
      <c r="X103">
        <v>0</v>
      </c>
      <c r="Y103">
        <v>0</v>
      </c>
      <c r="Z103">
        <v>5.2499999999999973</v>
      </c>
      <c r="AA103">
        <v>0</v>
      </c>
      <c r="AB103">
        <v>0</v>
      </c>
      <c r="AC103">
        <v>0.99999999999999989</v>
      </c>
      <c r="AD103">
        <v>1.9500000000000011</v>
      </c>
      <c r="AE103">
        <v>1.6</v>
      </c>
      <c r="AF103">
        <v>0.7</v>
      </c>
      <c r="AG103">
        <v>0.56190476190476191</v>
      </c>
      <c r="AH103">
        <v>1</v>
      </c>
      <c r="AI103">
        <v>3</v>
      </c>
      <c r="AJ103">
        <v>2023</v>
      </c>
      <c r="AK103">
        <v>2</v>
      </c>
      <c r="AL103">
        <v>0</v>
      </c>
      <c r="AM103">
        <v>0</v>
      </c>
      <c r="AN103">
        <v>0</v>
      </c>
    </row>
    <row r="104" spans="1:40" x14ac:dyDescent="0.25">
      <c r="A104">
        <v>103</v>
      </c>
      <c r="B104" t="s">
        <v>520</v>
      </c>
      <c r="C104" t="s">
        <v>521</v>
      </c>
      <c r="D104" t="s">
        <v>522</v>
      </c>
      <c r="E104" t="s">
        <v>523</v>
      </c>
      <c r="F104" t="s">
        <v>176</v>
      </c>
      <c r="G104">
        <v>2</v>
      </c>
      <c r="H104">
        <v>1</v>
      </c>
      <c r="I104">
        <v>424</v>
      </c>
      <c r="J104">
        <v>0</v>
      </c>
      <c r="K104">
        <v>1</v>
      </c>
      <c r="L104">
        <v>3313.7</v>
      </c>
      <c r="M104">
        <v>1973.7</v>
      </c>
      <c r="N104">
        <v>6467.9</v>
      </c>
      <c r="O104">
        <v>0</v>
      </c>
      <c r="P104">
        <v>8139.8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0.64</v>
      </c>
      <c r="W104">
        <v>3</v>
      </c>
      <c r="X104">
        <v>0.64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0.64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2021</v>
      </c>
      <c r="AK104">
        <v>4</v>
      </c>
      <c r="AL104">
        <v>0</v>
      </c>
      <c r="AM104">
        <v>0</v>
      </c>
      <c r="AN104">
        <v>0</v>
      </c>
    </row>
    <row r="105" spans="1:40" x14ac:dyDescent="0.25">
      <c r="A105">
        <v>104</v>
      </c>
      <c r="B105" t="s">
        <v>524</v>
      </c>
      <c r="C105" t="s">
        <v>525</v>
      </c>
      <c r="D105" t="s">
        <v>526</v>
      </c>
      <c r="E105" t="s">
        <v>527</v>
      </c>
      <c r="F105" t="s">
        <v>176</v>
      </c>
      <c r="G105">
        <v>3</v>
      </c>
      <c r="H105">
        <v>1</v>
      </c>
      <c r="I105">
        <v>1055</v>
      </c>
      <c r="J105">
        <v>0</v>
      </c>
      <c r="K105">
        <v>1</v>
      </c>
      <c r="L105">
        <v>3751.3</v>
      </c>
      <c r="M105">
        <v>3431.5</v>
      </c>
      <c r="N105">
        <v>7925.7</v>
      </c>
      <c r="O105">
        <v>1826.6</v>
      </c>
      <c r="P105">
        <v>9597.5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2.66</v>
      </c>
      <c r="W105">
        <v>3</v>
      </c>
      <c r="X105">
        <v>0.79999999999999993</v>
      </c>
      <c r="Y105">
        <v>0</v>
      </c>
      <c r="Z105">
        <v>0</v>
      </c>
      <c r="AA105">
        <v>1.860000000000001</v>
      </c>
      <c r="AB105">
        <v>0</v>
      </c>
      <c r="AC105">
        <v>0</v>
      </c>
      <c r="AD105">
        <v>0.4</v>
      </c>
      <c r="AE105">
        <v>0.3</v>
      </c>
      <c r="AF105">
        <v>1.9600000000000011</v>
      </c>
      <c r="AG105">
        <v>0.150375939849624</v>
      </c>
      <c r="AH105">
        <v>1</v>
      </c>
      <c r="AI105">
        <v>1</v>
      </c>
      <c r="AJ105">
        <v>2024</v>
      </c>
      <c r="AK105">
        <v>1</v>
      </c>
      <c r="AL105">
        <v>0</v>
      </c>
      <c r="AM105">
        <v>0</v>
      </c>
      <c r="AN105">
        <v>0</v>
      </c>
    </row>
    <row r="106" spans="1:40" x14ac:dyDescent="0.25">
      <c r="A106">
        <v>105</v>
      </c>
      <c r="B106" t="s">
        <v>528</v>
      </c>
      <c r="C106" t="s">
        <v>529</v>
      </c>
      <c r="D106" t="s">
        <v>530</v>
      </c>
      <c r="E106" t="s">
        <v>531</v>
      </c>
      <c r="F106" t="s">
        <v>310</v>
      </c>
      <c r="G106">
        <v>1</v>
      </c>
      <c r="H106">
        <v>1</v>
      </c>
      <c r="I106">
        <v>238</v>
      </c>
      <c r="J106">
        <v>0</v>
      </c>
      <c r="K106">
        <v>0</v>
      </c>
      <c r="L106">
        <v>33381.9</v>
      </c>
      <c r="M106">
        <v>3247.9</v>
      </c>
      <c r="N106">
        <v>35592.300000000003</v>
      </c>
      <c r="O106">
        <v>1965.4</v>
      </c>
      <c r="P106">
        <v>35494.699999999997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7</v>
      </c>
      <c r="W106">
        <v>1.5</v>
      </c>
      <c r="X106">
        <v>0.3</v>
      </c>
      <c r="Y106">
        <v>0</v>
      </c>
      <c r="Z106">
        <v>6.6999999999999922</v>
      </c>
      <c r="AA106">
        <v>0</v>
      </c>
      <c r="AB106">
        <v>0</v>
      </c>
      <c r="AC106">
        <v>0</v>
      </c>
      <c r="AD106">
        <v>5.3999999999999968</v>
      </c>
      <c r="AE106">
        <v>1.6</v>
      </c>
      <c r="AF106">
        <v>0</v>
      </c>
      <c r="AG106">
        <v>0.77142857142857124</v>
      </c>
      <c r="AH106">
        <v>0</v>
      </c>
      <c r="AI106">
        <v>0</v>
      </c>
      <c r="AL106">
        <v>0</v>
      </c>
      <c r="AM106">
        <v>0</v>
      </c>
      <c r="AN106">
        <v>0</v>
      </c>
    </row>
    <row r="107" spans="1:40" x14ac:dyDescent="0.25">
      <c r="A107">
        <v>106</v>
      </c>
      <c r="B107" t="s">
        <v>532</v>
      </c>
      <c r="C107" t="s">
        <v>533</v>
      </c>
      <c r="D107" t="s">
        <v>534</v>
      </c>
      <c r="E107" t="s">
        <v>358</v>
      </c>
      <c r="F107" t="s">
        <v>310</v>
      </c>
      <c r="G107">
        <v>1</v>
      </c>
      <c r="H107">
        <v>1</v>
      </c>
      <c r="I107">
        <v>474</v>
      </c>
      <c r="J107">
        <v>1</v>
      </c>
      <c r="K107">
        <v>0</v>
      </c>
      <c r="L107">
        <v>25538.1</v>
      </c>
      <c r="M107">
        <v>10172.5</v>
      </c>
      <c r="N107">
        <v>27748.5</v>
      </c>
      <c r="O107">
        <v>827.3</v>
      </c>
      <c r="P107">
        <v>27650.9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1.79</v>
      </c>
      <c r="W107">
        <v>3</v>
      </c>
      <c r="X107">
        <v>1.79</v>
      </c>
      <c r="Y107">
        <v>0</v>
      </c>
      <c r="Z107">
        <v>0</v>
      </c>
      <c r="AA107">
        <v>0</v>
      </c>
      <c r="AB107">
        <v>0</v>
      </c>
      <c r="AC107">
        <v>1.59</v>
      </c>
      <c r="AD107">
        <v>0.2</v>
      </c>
      <c r="AE107">
        <v>0</v>
      </c>
      <c r="AF107">
        <v>0</v>
      </c>
      <c r="AG107">
        <v>1</v>
      </c>
      <c r="AH107">
        <v>0</v>
      </c>
      <c r="AI107">
        <v>0</v>
      </c>
      <c r="AL107">
        <v>0</v>
      </c>
      <c r="AM107">
        <v>0</v>
      </c>
      <c r="AN107">
        <v>0</v>
      </c>
    </row>
    <row r="108" spans="1:40" x14ac:dyDescent="0.25">
      <c r="A108">
        <v>107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  <c r="G108">
        <v>2</v>
      </c>
      <c r="H108">
        <v>2</v>
      </c>
      <c r="I108">
        <v>1048</v>
      </c>
      <c r="J108">
        <v>0</v>
      </c>
      <c r="K108">
        <v>1</v>
      </c>
      <c r="L108">
        <v>4947.1000000000004</v>
      </c>
      <c r="M108">
        <v>4916.3999999999996</v>
      </c>
      <c r="N108">
        <v>10139.1</v>
      </c>
      <c r="O108">
        <v>2876.1</v>
      </c>
      <c r="P108">
        <v>11810.9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3.69</v>
      </c>
      <c r="W108">
        <v>3.5</v>
      </c>
      <c r="X108">
        <v>2.8000000000000012</v>
      </c>
      <c r="Y108">
        <v>0</v>
      </c>
      <c r="Z108">
        <v>0</v>
      </c>
      <c r="AA108">
        <v>0.8899999999999999</v>
      </c>
      <c r="AB108">
        <v>0</v>
      </c>
      <c r="AC108">
        <v>0</v>
      </c>
      <c r="AD108">
        <v>0.99999999999999989</v>
      </c>
      <c r="AE108">
        <v>1.2</v>
      </c>
      <c r="AF108">
        <v>1.49</v>
      </c>
      <c r="AG108">
        <v>0.27100271002710019</v>
      </c>
      <c r="AH108">
        <v>0</v>
      </c>
      <c r="AI108">
        <v>0</v>
      </c>
      <c r="AL108">
        <v>0</v>
      </c>
      <c r="AM108">
        <v>0</v>
      </c>
      <c r="AN108">
        <v>0</v>
      </c>
    </row>
    <row r="109" spans="1:40" x14ac:dyDescent="0.25">
      <c r="A109">
        <v>108</v>
      </c>
      <c r="B109" t="s">
        <v>540</v>
      </c>
      <c r="C109" t="s">
        <v>541</v>
      </c>
      <c r="D109" t="s">
        <v>542</v>
      </c>
      <c r="E109" t="s">
        <v>421</v>
      </c>
      <c r="F109" t="s">
        <v>315</v>
      </c>
      <c r="G109">
        <v>1</v>
      </c>
      <c r="H109">
        <v>1</v>
      </c>
      <c r="I109">
        <v>771</v>
      </c>
      <c r="J109">
        <v>0</v>
      </c>
      <c r="K109">
        <v>0</v>
      </c>
      <c r="L109">
        <v>1594.2</v>
      </c>
      <c r="M109">
        <v>320.5</v>
      </c>
      <c r="N109">
        <v>2709.3</v>
      </c>
      <c r="O109">
        <v>294.8</v>
      </c>
      <c r="P109">
        <v>29322.400000000001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0.26</v>
      </c>
      <c r="W109">
        <v>3.5</v>
      </c>
      <c r="X109">
        <v>0.26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0.26</v>
      </c>
      <c r="AE109">
        <v>0</v>
      </c>
      <c r="AF109">
        <v>0</v>
      </c>
      <c r="AG109">
        <v>1</v>
      </c>
      <c r="AH109">
        <v>0</v>
      </c>
      <c r="AI109">
        <v>0</v>
      </c>
      <c r="AL109">
        <v>0</v>
      </c>
      <c r="AM109">
        <v>0</v>
      </c>
      <c r="AN109">
        <v>0</v>
      </c>
    </row>
    <row r="110" spans="1:40" x14ac:dyDescent="0.25">
      <c r="A110">
        <v>109</v>
      </c>
      <c r="B110" t="s">
        <v>543</v>
      </c>
      <c r="C110" t="s">
        <v>544</v>
      </c>
      <c r="D110" t="s">
        <v>545</v>
      </c>
      <c r="E110" t="s">
        <v>546</v>
      </c>
      <c r="F110" t="s">
        <v>100</v>
      </c>
      <c r="G110">
        <v>3</v>
      </c>
      <c r="H110">
        <v>1</v>
      </c>
      <c r="I110">
        <v>1747</v>
      </c>
      <c r="J110">
        <v>0</v>
      </c>
      <c r="K110">
        <v>0</v>
      </c>
      <c r="L110">
        <v>1961.9</v>
      </c>
      <c r="M110">
        <v>2111.9</v>
      </c>
      <c r="N110">
        <v>2320.9</v>
      </c>
      <c r="O110">
        <v>690</v>
      </c>
      <c r="P110">
        <v>1816.9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1.07</v>
      </c>
      <c r="W110" t="s">
        <v>547</v>
      </c>
      <c r="X110">
        <v>1.07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0.66999999999999993</v>
      </c>
      <c r="AE110">
        <v>0.4</v>
      </c>
      <c r="AF110">
        <v>0</v>
      </c>
      <c r="AG110">
        <v>0.62616822429906549</v>
      </c>
      <c r="AH110">
        <v>1</v>
      </c>
      <c r="AI110">
        <v>1</v>
      </c>
      <c r="AJ110">
        <v>2023</v>
      </c>
      <c r="AK110">
        <v>2</v>
      </c>
      <c r="AL110">
        <v>1</v>
      </c>
      <c r="AM110">
        <v>1</v>
      </c>
      <c r="AN110">
        <v>0</v>
      </c>
    </row>
    <row r="111" spans="1:40" x14ac:dyDescent="0.25">
      <c r="A111">
        <v>110</v>
      </c>
      <c r="B111" t="s">
        <v>548</v>
      </c>
      <c r="C111" t="s">
        <v>549</v>
      </c>
      <c r="D111" t="s">
        <v>550</v>
      </c>
      <c r="E111" t="s">
        <v>551</v>
      </c>
      <c r="F111" t="s">
        <v>127</v>
      </c>
      <c r="G111">
        <v>1</v>
      </c>
      <c r="H111">
        <v>1</v>
      </c>
      <c r="I111">
        <v>551</v>
      </c>
      <c r="J111">
        <v>0</v>
      </c>
      <c r="K111">
        <v>0</v>
      </c>
      <c r="L111">
        <v>3614.8</v>
      </c>
      <c r="M111">
        <v>2775.1</v>
      </c>
      <c r="N111">
        <v>5309.1</v>
      </c>
      <c r="O111">
        <v>942.1</v>
      </c>
      <c r="P111">
        <v>5462.2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1.62</v>
      </c>
      <c r="W111">
        <v>3</v>
      </c>
      <c r="X111">
        <v>1.62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1.62</v>
      </c>
      <c r="AE111">
        <v>0</v>
      </c>
      <c r="AF111">
        <v>0</v>
      </c>
      <c r="AG111">
        <v>1</v>
      </c>
      <c r="AH111">
        <v>0</v>
      </c>
      <c r="AI111">
        <v>0</v>
      </c>
      <c r="AL111">
        <v>0</v>
      </c>
      <c r="AM111">
        <v>0</v>
      </c>
      <c r="AN111">
        <v>0</v>
      </c>
    </row>
    <row r="112" spans="1:40" x14ac:dyDescent="0.25">
      <c r="A112">
        <v>111</v>
      </c>
      <c r="B112" t="s">
        <v>552</v>
      </c>
      <c r="C112" t="s">
        <v>553</v>
      </c>
      <c r="D112" t="s">
        <v>554</v>
      </c>
      <c r="E112" t="s">
        <v>555</v>
      </c>
      <c r="F112" t="s">
        <v>105</v>
      </c>
      <c r="G112">
        <v>1</v>
      </c>
      <c r="H112">
        <v>1</v>
      </c>
      <c r="I112">
        <v>729</v>
      </c>
      <c r="J112">
        <v>0</v>
      </c>
      <c r="K112">
        <v>1</v>
      </c>
      <c r="L112">
        <v>373.9</v>
      </c>
      <c r="M112">
        <v>1215.8</v>
      </c>
      <c r="N112">
        <v>6177.5</v>
      </c>
      <c r="O112">
        <v>446.5</v>
      </c>
      <c r="P112">
        <v>7557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0.34</v>
      </c>
      <c r="W112">
        <v>3</v>
      </c>
      <c r="X112">
        <v>0.34</v>
      </c>
      <c r="Y112">
        <v>0</v>
      </c>
      <c r="Z112">
        <v>0</v>
      </c>
      <c r="AA112">
        <v>0</v>
      </c>
      <c r="AB112">
        <v>0</v>
      </c>
      <c r="AC112">
        <v>0.34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L112">
        <v>0</v>
      </c>
      <c r="AM112">
        <v>0</v>
      </c>
      <c r="AN112">
        <v>0</v>
      </c>
    </row>
    <row r="113" spans="1:40" x14ac:dyDescent="0.25">
      <c r="A113">
        <v>112</v>
      </c>
      <c r="B113" t="s">
        <v>556</v>
      </c>
      <c r="C113" t="s">
        <v>557</v>
      </c>
      <c r="D113" t="s">
        <v>558</v>
      </c>
      <c r="E113" t="s">
        <v>559</v>
      </c>
      <c r="F113" t="s">
        <v>118</v>
      </c>
      <c r="G113">
        <v>3</v>
      </c>
      <c r="H113">
        <v>2</v>
      </c>
      <c r="I113">
        <v>2070</v>
      </c>
      <c r="J113">
        <v>0</v>
      </c>
      <c r="K113">
        <v>0</v>
      </c>
      <c r="L113">
        <v>5873</v>
      </c>
      <c r="M113">
        <v>4693.3999999999996</v>
      </c>
      <c r="N113">
        <v>6888.2</v>
      </c>
      <c r="O113">
        <v>966.9</v>
      </c>
      <c r="P113">
        <v>5554.7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1.69</v>
      </c>
      <c r="W113">
        <v>3</v>
      </c>
      <c r="X113">
        <v>1.39</v>
      </c>
      <c r="Y113">
        <v>0</v>
      </c>
      <c r="Z113">
        <v>0</v>
      </c>
      <c r="AA113">
        <v>0.3</v>
      </c>
      <c r="AB113">
        <v>0</v>
      </c>
      <c r="AC113">
        <v>0.7</v>
      </c>
      <c r="AD113">
        <v>0.4</v>
      </c>
      <c r="AE113">
        <v>0</v>
      </c>
      <c r="AF113">
        <v>0.59</v>
      </c>
      <c r="AG113">
        <v>0.65088757396449715</v>
      </c>
      <c r="AH113">
        <v>1</v>
      </c>
      <c r="AI113">
        <v>2</v>
      </c>
      <c r="AJ113">
        <v>2023</v>
      </c>
      <c r="AK113">
        <v>2</v>
      </c>
      <c r="AL113">
        <v>0</v>
      </c>
      <c r="AM113">
        <v>0</v>
      </c>
      <c r="AN113">
        <v>0</v>
      </c>
    </row>
    <row r="114" spans="1:40" x14ac:dyDescent="0.25">
      <c r="A114">
        <v>113</v>
      </c>
      <c r="B114" t="s">
        <v>560</v>
      </c>
      <c r="C114" t="s">
        <v>561</v>
      </c>
      <c r="D114" t="s">
        <v>562</v>
      </c>
      <c r="E114" t="s">
        <v>563</v>
      </c>
      <c r="F114" t="s">
        <v>176</v>
      </c>
      <c r="G114">
        <v>1</v>
      </c>
      <c r="H114">
        <v>1</v>
      </c>
      <c r="I114">
        <v>483</v>
      </c>
      <c r="J114">
        <v>0</v>
      </c>
      <c r="K114">
        <v>0</v>
      </c>
      <c r="L114">
        <v>3231.6</v>
      </c>
      <c r="M114">
        <v>3262.3</v>
      </c>
      <c r="N114">
        <v>9659.2000000000007</v>
      </c>
      <c r="O114">
        <v>724.1</v>
      </c>
      <c r="P114">
        <v>11331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</v>
      </c>
      <c r="W114">
        <v>3</v>
      </c>
      <c r="X114">
        <v>0.7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0.2</v>
      </c>
      <c r="AF114">
        <v>0.5</v>
      </c>
      <c r="AG114">
        <v>0</v>
      </c>
      <c r="AH114">
        <v>1</v>
      </c>
      <c r="AI114">
        <v>1</v>
      </c>
      <c r="AJ114">
        <v>2024</v>
      </c>
      <c r="AK114">
        <v>1</v>
      </c>
      <c r="AL114">
        <v>0</v>
      </c>
      <c r="AM114">
        <v>0</v>
      </c>
      <c r="AN114">
        <v>0</v>
      </c>
    </row>
    <row r="115" spans="1:40" x14ac:dyDescent="0.25">
      <c r="A115">
        <v>114</v>
      </c>
      <c r="B115" t="s">
        <v>564</v>
      </c>
      <c r="C115" t="s">
        <v>565</v>
      </c>
      <c r="D115" t="s">
        <v>566</v>
      </c>
      <c r="E115" t="s">
        <v>567</v>
      </c>
      <c r="F115" t="s">
        <v>489</v>
      </c>
      <c r="G115">
        <v>2</v>
      </c>
      <c r="H115">
        <v>2</v>
      </c>
      <c r="I115">
        <v>1775</v>
      </c>
      <c r="J115">
        <v>0</v>
      </c>
      <c r="K115">
        <v>1</v>
      </c>
      <c r="L115">
        <v>1696.8</v>
      </c>
      <c r="M115">
        <v>1846.9</v>
      </c>
      <c r="N115">
        <v>121</v>
      </c>
      <c r="O115">
        <v>789.3</v>
      </c>
      <c r="P115">
        <v>1741.9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2.44</v>
      </c>
      <c r="W115">
        <v>8</v>
      </c>
      <c r="X115">
        <v>2.4400000000000008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2.4400000000000008</v>
      </c>
      <c r="AE115">
        <v>0</v>
      </c>
      <c r="AF115">
        <v>0</v>
      </c>
      <c r="AG115">
        <v>1</v>
      </c>
      <c r="AH115">
        <v>0</v>
      </c>
      <c r="AI115">
        <v>0</v>
      </c>
      <c r="AL115">
        <v>0</v>
      </c>
      <c r="AM115">
        <v>0</v>
      </c>
      <c r="AN115">
        <v>0</v>
      </c>
    </row>
    <row r="116" spans="1:40" x14ac:dyDescent="0.25">
      <c r="A116">
        <v>115</v>
      </c>
      <c r="B116" t="s">
        <v>568</v>
      </c>
      <c r="C116" t="s">
        <v>569</v>
      </c>
      <c r="D116" t="s">
        <v>570</v>
      </c>
      <c r="E116" t="s">
        <v>571</v>
      </c>
      <c r="F116" t="s">
        <v>203</v>
      </c>
      <c r="G116">
        <v>2</v>
      </c>
      <c r="H116">
        <v>2</v>
      </c>
      <c r="I116">
        <v>2100</v>
      </c>
      <c r="J116">
        <v>0</v>
      </c>
      <c r="K116">
        <v>0</v>
      </c>
      <c r="L116">
        <v>37625</v>
      </c>
      <c r="M116">
        <v>16570.900000000001</v>
      </c>
      <c r="N116">
        <v>39835.4</v>
      </c>
      <c r="O116">
        <v>3384.4</v>
      </c>
      <c r="P116">
        <v>39737.800000000003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2.08</v>
      </c>
      <c r="W116">
        <v>1.5</v>
      </c>
      <c r="X116">
        <v>0</v>
      </c>
      <c r="Y116">
        <v>0</v>
      </c>
      <c r="Z116">
        <v>1.8</v>
      </c>
      <c r="AA116">
        <v>0</v>
      </c>
      <c r="AB116">
        <v>0.28000000000000003</v>
      </c>
      <c r="AC116">
        <v>0</v>
      </c>
      <c r="AD116">
        <v>0</v>
      </c>
      <c r="AE116">
        <v>1.8</v>
      </c>
      <c r="AF116">
        <v>0.28000000000000003</v>
      </c>
      <c r="AG116">
        <v>0</v>
      </c>
      <c r="AH116">
        <v>0</v>
      </c>
      <c r="AI116">
        <v>0</v>
      </c>
      <c r="AL116">
        <v>0</v>
      </c>
      <c r="AM116">
        <v>0</v>
      </c>
      <c r="AN116">
        <v>0</v>
      </c>
    </row>
    <row r="117" spans="1:40" x14ac:dyDescent="0.25">
      <c r="A117">
        <v>116</v>
      </c>
      <c r="B117" t="s">
        <v>572</v>
      </c>
      <c r="C117" t="s">
        <v>573</v>
      </c>
      <c r="D117" t="s">
        <v>574</v>
      </c>
      <c r="E117" t="s">
        <v>575</v>
      </c>
      <c r="F117" t="s">
        <v>310</v>
      </c>
      <c r="G117">
        <v>1</v>
      </c>
      <c r="H117">
        <v>1</v>
      </c>
      <c r="I117">
        <v>266</v>
      </c>
      <c r="J117">
        <v>0</v>
      </c>
      <c r="K117">
        <v>0</v>
      </c>
      <c r="L117">
        <v>35944</v>
      </c>
      <c r="M117">
        <v>14889.9</v>
      </c>
      <c r="N117">
        <v>38154.400000000001</v>
      </c>
      <c r="O117">
        <v>1703.4</v>
      </c>
      <c r="P117">
        <v>38056.699999999997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0.83</v>
      </c>
      <c r="W117">
        <v>1.5</v>
      </c>
      <c r="X117">
        <v>0</v>
      </c>
      <c r="Y117">
        <v>0</v>
      </c>
      <c r="Z117">
        <v>0.83</v>
      </c>
      <c r="AA117">
        <v>0</v>
      </c>
      <c r="AB117">
        <v>0</v>
      </c>
      <c r="AC117">
        <v>0</v>
      </c>
      <c r="AD117">
        <v>0.2</v>
      </c>
      <c r="AE117">
        <v>0.63</v>
      </c>
      <c r="AF117">
        <v>0</v>
      </c>
      <c r="AG117">
        <v>0.24096385542168669</v>
      </c>
      <c r="AH117">
        <v>0</v>
      </c>
      <c r="AI117">
        <v>0</v>
      </c>
      <c r="AL117">
        <v>0</v>
      </c>
      <c r="AM117">
        <v>0</v>
      </c>
      <c r="AN117">
        <v>0</v>
      </c>
    </row>
    <row r="118" spans="1:40" x14ac:dyDescent="0.25">
      <c r="A118">
        <v>117</v>
      </c>
      <c r="B118" t="s">
        <v>576</v>
      </c>
      <c r="C118" t="s">
        <v>577</v>
      </c>
      <c r="D118" t="s">
        <v>578</v>
      </c>
      <c r="E118" t="s">
        <v>575</v>
      </c>
      <c r="F118" t="s">
        <v>310</v>
      </c>
      <c r="G118">
        <v>1</v>
      </c>
      <c r="H118">
        <v>1</v>
      </c>
      <c r="I118">
        <v>266</v>
      </c>
      <c r="J118">
        <v>0</v>
      </c>
      <c r="K118">
        <v>0</v>
      </c>
      <c r="L118">
        <v>4245.8</v>
      </c>
      <c r="M118">
        <v>1365.4</v>
      </c>
      <c r="N118">
        <v>3635.4</v>
      </c>
      <c r="O118">
        <v>287.10000000000002</v>
      </c>
      <c r="P118">
        <v>5307.2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0.43</v>
      </c>
      <c r="W118">
        <v>3</v>
      </c>
      <c r="X118">
        <v>0</v>
      </c>
      <c r="Y118">
        <v>0</v>
      </c>
      <c r="Z118">
        <v>0</v>
      </c>
      <c r="AA118">
        <v>0.43</v>
      </c>
      <c r="AB118">
        <v>0</v>
      </c>
      <c r="AC118">
        <v>0</v>
      </c>
      <c r="AD118">
        <v>0</v>
      </c>
      <c r="AE118">
        <v>0</v>
      </c>
      <c r="AF118">
        <v>0.43</v>
      </c>
      <c r="AG118">
        <v>0</v>
      </c>
      <c r="AH118">
        <v>1</v>
      </c>
      <c r="AI118">
        <v>2</v>
      </c>
      <c r="AJ118">
        <v>2024</v>
      </c>
      <c r="AK118">
        <v>1</v>
      </c>
      <c r="AL118">
        <v>0</v>
      </c>
      <c r="AM118">
        <v>0</v>
      </c>
      <c r="AN118">
        <v>0</v>
      </c>
    </row>
    <row r="119" spans="1:40" x14ac:dyDescent="0.25">
      <c r="A119">
        <v>118</v>
      </c>
      <c r="B119" t="s">
        <v>579</v>
      </c>
      <c r="C119" t="s">
        <v>580</v>
      </c>
      <c r="D119" t="s">
        <v>581</v>
      </c>
      <c r="E119" t="s">
        <v>582</v>
      </c>
      <c r="F119" t="s">
        <v>176</v>
      </c>
      <c r="G119">
        <v>1</v>
      </c>
      <c r="H119">
        <v>1</v>
      </c>
      <c r="I119">
        <v>393</v>
      </c>
      <c r="J119">
        <v>0</v>
      </c>
      <c r="K119">
        <v>0</v>
      </c>
      <c r="L119">
        <v>1902.6</v>
      </c>
      <c r="M119">
        <v>2052.6999999999998</v>
      </c>
      <c r="N119">
        <v>1348.7</v>
      </c>
      <c r="O119">
        <v>1070.9000000000001</v>
      </c>
      <c r="P119">
        <v>2220.9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0.41</v>
      </c>
      <c r="W119">
        <v>3.5</v>
      </c>
      <c r="X119">
        <v>0.41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0.41</v>
      </c>
      <c r="AE119">
        <v>0</v>
      </c>
      <c r="AF119">
        <v>0</v>
      </c>
      <c r="AG119">
        <v>1</v>
      </c>
      <c r="AH119">
        <v>0</v>
      </c>
      <c r="AI119">
        <v>0</v>
      </c>
      <c r="AL119">
        <v>0</v>
      </c>
      <c r="AM119">
        <v>0</v>
      </c>
      <c r="AN119">
        <v>0</v>
      </c>
    </row>
    <row r="120" spans="1:40" x14ac:dyDescent="0.25">
      <c r="A120">
        <v>119</v>
      </c>
      <c r="B120" t="s">
        <v>583</v>
      </c>
      <c r="C120" t="s">
        <v>584</v>
      </c>
      <c r="D120" t="s">
        <v>585</v>
      </c>
      <c r="E120" t="s">
        <v>586</v>
      </c>
      <c r="F120" t="s">
        <v>176</v>
      </c>
      <c r="G120">
        <v>1</v>
      </c>
      <c r="H120">
        <v>1</v>
      </c>
      <c r="I120">
        <v>837</v>
      </c>
      <c r="J120">
        <v>0</v>
      </c>
      <c r="K120">
        <v>0</v>
      </c>
      <c r="L120">
        <v>742.3</v>
      </c>
      <c r="M120">
        <v>2005.6</v>
      </c>
      <c r="N120">
        <v>6498.7</v>
      </c>
      <c r="O120">
        <v>37.5</v>
      </c>
      <c r="P120">
        <v>7878.2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</v>
      </c>
      <c r="W120">
        <v>3.5</v>
      </c>
      <c r="X120">
        <v>0.89999999999999991</v>
      </c>
      <c r="Y120">
        <v>0</v>
      </c>
      <c r="Z120">
        <v>0</v>
      </c>
      <c r="AA120">
        <v>0</v>
      </c>
      <c r="AB120">
        <v>0</v>
      </c>
      <c r="AC120">
        <v>0.89999999999999991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L120">
        <v>0</v>
      </c>
      <c r="AM120">
        <v>0</v>
      </c>
      <c r="AN120">
        <v>0</v>
      </c>
    </row>
    <row r="121" spans="1:40" x14ac:dyDescent="0.25">
      <c r="A121">
        <v>120</v>
      </c>
      <c r="B121" t="s">
        <v>587</v>
      </c>
      <c r="C121" t="s">
        <v>588</v>
      </c>
      <c r="D121" t="s">
        <v>589</v>
      </c>
      <c r="E121" t="s">
        <v>590</v>
      </c>
      <c r="F121" t="s">
        <v>105</v>
      </c>
      <c r="G121">
        <v>2</v>
      </c>
      <c r="H121">
        <v>1</v>
      </c>
      <c r="I121">
        <v>1042</v>
      </c>
      <c r="J121">
        <v>0</v>
      </c>
      <c r="K121">
        <v>1</v>
      </c>
      <c r="L121">
        <v>2835.6</v>
      </c>
      <c r="M121">
        <v>2319.8000000000002</v>
      </c>
      <c r="N121">
        <v>7322.6</v>
      </c>
      <c r="O121">
        <v>1408</v>
      </c>
      <c r="P121">
        <v>5721.3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4.5</v>
      </c>
      <c r="W121">
        <v>3</v>
      </c>
      <c r="X121">
        <v>4.5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3.4000000000000021</v>
      </c>
      <c r="AE121">
        <v>0.5</v>
      </c>
      <c r="AF121">
        <v>0.6</v>
      </c>
      <c r="AG121">
        <v>0.75555555555555565</v>
      </c>
      <c r="AH121">
        <v>0</v>
      </c>
      <c r="AI121">
        <v>0</v>
      </c>
      <c r="AL121">
        <v>0</v>
      </c>
      <c r="AM121">
        <v>0</v>
      </c>
      <c r="AN121">
        <v>0</v>
      </c>
    </row>
    <row r="122" spans="1:40" x14ac:dyDescent="0.25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127</v>
      </c>
      <c r="G122">
        <v>2</v>
      </c>
      <c r="H122">
        <v>1</v>
      </c>
      <c r="I122">
        <v>952</v>
      </c>
      <c r="J122">
        <v>0</v>
      </c>
      <c r="K122">
        <v>1</v>
      </c>
      <c r="L122">
        <v>5176.3</v>
      </c>
      <c r="M122">
        <v>2782.4</v>
      </c>
      <c r="N122">
        <v>15690</v>
      </c>
      <c r="O122">
        <v>1306.5999999999999</v>
      </c>
      <c r="P122">
        <v>17069.5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5.21</v>
      </c>
      <c r="W122">
        <v>3.5</v>
      </c>
      <c r="X122">
        <v>5.2099999999999973</v>
      </c>
      <c r="Y122">
        <v>0</v>
      </c>
      <c r="Z122">
        <v>0</v>
      </c>
      <c r="AA122">
        <v>0</v>
      </c>
      <c r="AB122">
        <v>0</v>
      </c>
      <c r="AC122">
        <v>5.2099999999999973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2</v>
      </c>
      <c r="AJ122">
        <v>2024</v>
      </c>
      <c r="AK122">
        <v>1</v>
      </c>
      <c r="AL122">
        <v>1</v>
      </c>
      <c r="AM122">
        <v>0</v>
      </c>
      <c r="AN122">
        <v>1</v>
      </c>
    </row>
    <row r="123" spans="1:40" x14ac:dyDescent="0.25">
      <c r="A123">
        <v>122</v>
      </c>
      <c r="B123" t="s">
        <v>595</v>
      </c>
      <c r="C123" t="s">
        <v>596</v>
      </c>
      <c r="D123" t="s">
        <v>597</v>
      </c>
      <c r="E123" t="s">
        <v>598</v>
      </c>
      <c r="F123" t="s">
        <v>190</v>
      </c>
      <c r="G123">
        <v>5</v>
      </c>
      <c r="H123">
        <v>1</v>
      </c>
      <c r="I123">
        <v>1270</v>
      </c>
      <c r="J123">
        <v>0</v>
      </c>
      <c r="K123">
        <v>1</v>
      </c>
      <c r="L123">
        <v>3242.8</v>
      </c>
      <c r="M123">
        <v>1603.3</v>
      </c>
      <c r="N123">
        <v>13554.9</v>
      </c>
      <c r="O123">
        <v>1216.0999999999999</v>
      </c>
      <c r="P123">
        <v>14934.4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2.72</v>
      </c>
      <c r="W123">
        <v>3</v>
      </c>
      <c r="X123">
        <v>2.7200000000000011</v>
      </c>
      <c r="Y123">
        <v>0</v>
      </c>
      <c r="Z123">
        <v>0</v>
      </c>
      <c r="AA123">
        <v>0</v>
      </c>
      <c r="AB123">
        <v>0</v>
      </c>
      <c r="AC123">
        <v>2.7200000000000011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1</v>
      </c>
      <c r="AJ123">
        <v>2021</v>
      </c>
      <c r="AK123">
        <v>4</v>
      </c>
      <c r="AL123">
        <v>0</v>
      </c>
      <c r="AM123">
        <v>0</v>
      </c>
      <c r="AN123">
        <v>0</v>
      </c>
    </row>
    <row r="124" spans="1:40" x14ac:dyDescent="0.25">
      <c r="A124">
        <v>123</v>
      </c>
      <c r="B124" t="s">
        <v>599</v>
      </c>
      <c r="C124" t="s">
        <v>600</v>
      </c>
      <c r="D124" t="s">
        <v>601</v>
      </c>
      <c r="E124" t="s">
        <v>602</v>
      </c>
      <c r="F124" t="s">
        <v>190</v>
      </c>
      <c r="G124">
        <v>2</v>
      </c>
      <c r="H124">
        <v>1</v>
      </c>
      <c r="I124">
        <v>716</v>
      </c>
      <c r="J124">
        <v>0</v>
      </c>
      <c r="K124">
        <v>0</v>
      </c>
      <c r="L124">
        <v>5758</v>
      </c>
      <c r="M124">
        <v>3364.1</v>
      </c>
      <c r="N124">
        <v>16271.6</v>
      </c>
      <c r="O124">
        <v>3221.9</v>
      </c>
      <c r="P124">
        <v>17651.2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5.69</v>
      </c>
      <c r="W124">
        <v>5</v>
      </c>
      <c r="X124">
        <v>0</v>
      </c>
      <c r="Y124">
        <v>0</v>
      </c>
      <c r="Z124">
        <v>0</v>
      </c>
      <c r="AA124">
        <v>0</v>
      </c>
      <c r="AB124">
        <v>5.6899999999999959</v>
      </c>
      <c r="AC124">
        <v>0</v>
      </c>
      <c r="AD124">
        <v>0</v>
      </c>
      <c r="AE124">
        <v>0</v>
      </c>
      <c r="AF124">
        <v>5.6899999999999959</v>
      </c>
      <c r="AG124">
        <v>0</v>
      </c>
      <c r="AH124">
        <v>1</v>
      </c>
      <c r="AI124">
        <v>1</v>
      </c>
      <c r="AJ124">
        <v>2023</v>
      </c>
      <c r="AK124">
        <v>2</v>
      </c>
      <c r="AL124">
        <v>0</v>
      </c>
      <c r="AM124">
        <v>0</v>
      </c>
      <c r="AN124">
        <v>0</v>
      </c>
    </row>
    <row r="125" spans="1:40" x14ac:dyDescent="0.25">
      <c r="A125">
        <v>124</v>
      </c>
      <c r="B125" t="s">
        <v>603</v>
      </c>
      <c r="C125" t="s">
        <v>604</v>
      </c>
      <c r="D125" t="s">
        <v>605</v>
      </c>
      <c r="E125" t="s">
        <v>606</v>
      </c>
      <c r="F125" t="s">
        <v>190</v>
      </c>
      <c r="G125">
        <v>2</v>
      </c>
      <c r="H125">
        <v>1</v>
      </c>
      <c r="I125">
        <v>570</v>
      </c>
      <c r="J125">
        <v>0</v>
      </c>
      <c r="K125">
        <v>0</v>
      </c>
      <c r="L125">
        <v>6068.8</v>
      </c>
      <c r="M125">
        <v>5264.4</v>
      </c>
      <c r="N125">
        <v>12201.7</v>
      </c>
      <c r="O125">
        <v>1096</v>
      </c>
      <c r="P125">
        <v>13600.3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0.82</v>
      </c>
      <c r="W125">
        <v>3</v>
      </c>
      <c r="X125">
        <v>0</v>
      </c>
      <c r="Y125">
        <v>0</v>
      </c>
      <c r="Z125">
        <v>0.82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0.82</v>
      </c>
      <c r="AG125">
        <v>0</v>
      </c>
      <c r="AH125">
        <v>0</v>
      </c>
      <c r="AI125">
        <v>0</v>
      </c>
      <c r="AL125">
        <v>0</v>
      </c>
      <c r="AM125">
        <v>0</v>
      </c>
      <c r="AN125">
        <v>0</v>
      </c>
    </row>
    <row r="126" spans="1:40" x14ac:dyDescent="0.25">
      <c r="A126">
        <v>125</v>
      </c>
      <c r="B126" t="s">
        <v>607</v>
      </c>
      <c r="C126" t="s">
        <v>608</v>
      </c>
      <c r="D126" t="s">
        <v>609</v>
      </c>
      <c r="E126" t="s">
        <v>175</v>
      </c>
      <c r="F126" t="s">
        <v>176</v>
      </c>
      <c r="G126">
        <v>2</v>
      </c>
      <c r="H126">
        <v>1</v>
      </c>
      <c r="I126">
        <v>797</v>
      </c>
      <c r="J126">
        <v>0</v>
      </c>
      <c r="K126">
        <v>0</v>
      </c>
      <c r="L126">
        <v>1683.8</v>
      </c>
      <c r="M126">
        <v>112.4</v>
      </c>
      <c r="N126">
        <v>3382.1</v>
      </c>
      <c r="O126">
        <v>85</v>
      </c>
      <c r="P126">
        <v>1519.2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0.21</v>
      </c>
      <c r="W126">
        <v>4</v>
      </c>
      <c r="X126">
        <v>0.21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0.21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2023</v>
      </c>
      <c r="AK126">
        <v>2</v>
      </c>
      <c r="AL126">
        <v>0</v>
      </c>
      <c r="AM126">
        <v>0</v>
      </c>
      <c r="AN126">
        <v>0</v>
      </c>
    </row>
    <row r="127" spans="1:40" x14ac:dyDescent="0.25">
      <c r="A127">
        <v>126</v>
      </c>
      <c r="B127" t="s">
        <v>610</v>
      </c>
      <c r="C127" t="s">
        <v>611</v>
      </c>
      <c r="D127" t="s">
        <v>612</v>
      </c>
      <c r="E127" t="s">
        <v>367</v>
      </c>
      <c r="F127" t="s">
        <v>100</v>
      </c>
      <c r="G127">
        <v>1</v>
      </c>
      <c r="H127">
        <v>1</v>
      </c>
      <c r="I127">
        <v>1142</v>
      </c>
      <c r="J127">
        <v>0</v>
      </c>
      <c r="K127">
        <v>0</v>
      </c>
      <c r="L127">
        <v>2008.7</v>
      </c>
      <c r="M127">
        <v>1250.2</v>
      </c>
      <c r="N127">
        <v>3227.5</v>
      </c>
      <c r="O127">
        <v>0</v>
      </c>
      <c r="P127">
        <v>29840.7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0.35</v>
      </c>
      <c r="W127">
        <v>3</v>
      </c>
      <c r="X127">
        <v>0.35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0.15</v>
      </c>
      <c r="AF127">
        <v>0.2</v>
      </c>
      <c r="AG127">
        <v>0</v>
      </c>
      <c r="AH127">
        <v>1</v>
      </c>
      <c r="AI127">
        <v>1</v>
      </c>
      <c r="AJ127">
        <v>2021</v>
      </c>
      <c r="AK127">
        <v>4</v>
      </c>
      <c r="AL127">
        <v>0</v>
      </c>
      <c r="AM127">
        <v>0</v>
      </c>
      <c r="AN127">
        <v>0</v>
      </c>
    </row>
    <row r="128" spans="1:40" x14ac:dyDescent="0.25">
      <c r="A128">
        <v>127</v>
      </c>
      <c r="B128" t="s">
        <v>613</v>
      </c>
      <c r="C128" t="s">
        <v>614</v>
      </c>
      <c r="D128" t="s">
        <v>615</v>
      </c>
      <c r="E128" t="s">
        <v>616</v>
      </c>
      <c r="F128" t="s">
        <v>363</v>
      </c>
      <c r="G128">
        <v>1</v>
      </c>
      <c r="H128">
        <v>1</v>
      </c>
      <c r="I128">
        <v>925</v>
      </c>
      <c r="J128">
        <v>0</v>
      </c>
      <c r="K128">
        <v>0</v>
      </c>
      <c r="L128">
        <v>1881.5</v>
      </c>
      <c r="M128">
        <v>1417.9</v>
      </c>
      <c r="N128">
        <v>3100.4</v>
      </c>
      <c r="O128">
        <v>215</v>
      </c>
      <c r="P128">
        <v>29713.5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0.33</v>
      </c>
      <c r="W128">
        <v>3</v>
      </c>
      <c r="X128">
        <v>0.33000000000000013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0.33000000000000013</v>
      </c>
      <c r="AG128">
        <v>0</v>
      </c>
      <c r="AH128">
        <v>0</v>
      </c>
      <c r="AI128">
        <v>0</v>
      </c>
      <c r="AL128">
        <v>0</v>
      </c>
      <c r="AM128">
        <v>0</v>
      </c>
      <c r="AN128">
        <v>0</v>
      </c>
    </row>
    <row r="129" spans="1:40" x14ac:dyDescent="0.25">
      <c r="A129">
        <v>128</v>
      </c>
      <c r="B129" t="s">
        <v>617</v>
      </c>
      <c r="C129" t="s">
        <v>618</v>
      </c>
      <c r="D129" t="s">
        <v>619</v>
      </c>
      <c r="E129" t="s">
        <v>620</v>
      </c>
      <c r="F129" t="s">
        <v>213</v>
      </c>
      <c r="G129">
        <v>3</v>
      </c>
      <c r="H129">
        <v>2</v>
      </c>
      <c r="I129">
        <v>4379</v>
      </c>
      <c r="J129">
        <v>0</v>
      </c>
      <c r="K129">
        <v>1</v>
      </c>
      <c r="L129">
        <v>1075.3</v>
      </c>
      <c r="M129">
        <v>1905.9</v>
      </c>
      <c r="N129">
        <v>3266.5</v>
      </c>
      <c r="O129">
        <v>952</v>
      </c>
      <c r="P129">
        <v>1533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1.25</v>
      </c>
      <c r="W129">
        <v>3.5</v>
      </c>
      <c r="X129">
        <v>1.25</v>
      </c>
      <c r="Y129">
        <v>0</v>
      </c>
      <c r="Z129">
        <v>0</v>
      </c>
      <c r="AA129">
        <v>0</v>
      </c>
      <c r="AB129">
        <v>0</v>
      </c>
      <c r="AC129">
        <v>0.2</v>
      </c>
      <c r="AD129">
        <v>0</v>
      </c>
      <c r="AE129">
        <v>1.05</v>
      </c>
      <c r="AF129">
        <v>0</v>
      </c>
      <c r="AG129">
        <v>0.16</v>
      </c>
      <c r="AH129">
        <v>1</v>
      </c>
      <c r="AI129">
        <v>3</v>
      </c>
      <c r="AJ129">
        <v>2024</v>
      </c>
      <c r="AK129">
        <v>1</v>
      </c>
      <c r="AL129">
        <v>0</v>
      </c>
      <c r="AM129">
        <v>0</v>
      </c>
      <c r="AN129">
        <v>0</v>
      </c>
    </row>
    <row r="130" spans="1:40" x14ac:dyDescent="0.25">
      <c r="A130">
        <v>129</v>
      </c>
      <c r="B130" t="s">
        <v>621</v>
      </c>
      <c r="C130" t="s">
        <v>622</v>
      </c>
      <c r="D130" t="s">
        <v>623</v>
      </c>
      <c r="E130" t="s">
        <v>624</v>
      </c>
      <c r="F130" t="s">
        <v>315</v>
      </c>
      <c r="G130">
        <v>1</v>
      </c>
      <c r="H130">
        <v>1</v>
      </c>
      <c r="I130">
        <v>923</v>
      </c>
      <c r="J130">
        <v>1</v>
      </c>
      <c r="K130">
        <v>0</v>
      </c>
      <c r="L130">
        <v>988.6</v>
      </c>
      <c r="M130">
        <v>1168.8</v>
      </c>
      <c r="N130">
        <v>1546.7</v>
      </c>
      <c r="O130">
        <v>496.2</v>
      </c>
      <c r="P130">
        <v>28159.8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0.32</v>
      </c>
      <c r="W130">
        <v>4</v>
      </c>
      <c r="X130">
        <v>0.32000000000000012</v>
      </c>
      <c r="Y130">
        <v>0</v>
      </c>
      <c r="Z130">
        <v>0</v>
      </c>
      <c r="AA130">
        <v>0</v>
      </c>
      <c r="AB130">
        <v>0</v>
      </c>
      <c r="AC130">
        <v>0.32000000000000012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L130">
        <v>0</v>
      </c>
      <c r="AM130">
        <v>0</v>
      </c>
      <c r="AN130">
        <v>0</v>
      </c>
    </row>
    <row r="131" spans="1:40" x14ac:dyDescent="0.25">
      <c r="A131">
        <v>130</v>
      </c>
      <c r="B131" t="s">
        <v>625</v>
      </c>
      <c r="C131" t="s">
        <v>626</v>
      </c>
      <c r="D131" t="s">
        <v>627</v>
      </c>
      <c r="E131" t="s">
        <v>310</v>
      </c>
      <c r="F131" t="s">
        <v>310</v>
      </c>
      <c r="G131">
        <v>1</v>
      </c>
      <c r="H131">
        <v>1</v>
      </c>
      <c r="I131">
        <v>346</v>
      </c>
      <c r="J131">
        <v>0</v>
      </c>
      <c r="K131">
        <v>0</v>
      </c>
      <c r="L131">
        <v>33609.800000000003</v>
      </c>
      <c r="M131">
        <v>408.9</v>
      </c>
      <c r="N131">
        <v>35820.199999999997</v>
      </c>
      <c r="O131">
        <v>333.5</v>
      </c>
      <c r="P131">
        <v>35722.5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0.12</v>
      </c>
      <c r="W131">
        <v>3.5</v>
      </c>
      <c r="X131">
        <v>0</v>
      </c>
      <c r="Y131">
        <v>0</v>
      </c>
      <c r="Z131">
        <v>0.12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0.12</v>
      </c>
      <c r="AG131">
        <v>0</v>
      </c>
      <c r="AH131">
        <v>0</v>
      </c>
      <c r="AI131">
        <v>0</v>
      </c>
      <c r="AL131">
        <v>1</v>
      </c>
      <c r="AM131">
        <v>1</v>
      </c>
      <c r="AN131">
        <v>0</v>
      </c>
    </row>
    <row r="132" spans="1:40" x14ac:dyDescent="0.25">
      <c r="A132">
        <v>131</v>
      </c>
      <c r="B132" t="s">
        <v>628</v>
      </c>
      <c r="C132" t="s">
        <v>629</v>
      </c>
      <c r="D132" t="s">
        <v>630</v>
      </c>
      <c r="E132" t="s">
        <v>378</v>
      </c>
      <c r="F132" t="s">
        <v>105</v>
      </c>
      <c r="G132">
        <v>2</v>
      </c>
      <c r="H132">
        <v>1</v>
      </c>
      <c r="I132">
        <v>1247</v>
      </c>
      <c r="J132">
        <v>0</v>
      </c>
      <c r="K132">
        <v>0</v>
      </c>
      <c r="L132">
        <v>2374.3000000000002</v>
      </c>
      <c r="M132">
        <v>2616.4</v>
      </c>
      <c r="N132">
        <v>3485.1</v>
      </c>
      <c r="O132">
        <v>485.4</v>
      </c>
      <c r="P132">
        <v>4883.7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</v>
      </c>
      <c r="W132">
        <v>3</v>
      </c>
      <c r="X132">
        <v>0.52</v>
      </c>
      <c r="Y132">
        <v>0</v>
      </c>
      <c r="Z132">
        <v>0</v>
      </c>
      <c r="AA132">
        <v>0</v>
      </c>
      <c r="AB132">
        <v>0</v>
      </c>
      <c r="AC132">
        <v>0.52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L132">
        <v>0</v>
      </c>
      <c r="AM132">
        <v>0</v>
      </c>
      <c r="AN132">
        <v>0</v>
      </c>
    </row>
    <row r="133" spans="1:40" x14ac:dyDescent="0.25">
      <c r="A133">
        <v>132</v>
      </c>
      <c r="B133" t="s">
        <v>524</v>
      </c>
      <c r="C133" t="s">
        <v>631</v>
      </c>
      <c r="D133" t="s">
        <v>632</v>
      </c>
      <c r="E133" t="s">
        <v>633</v>
      </c>
      <c r="F133" t="s">
        <v>176</v>
      </c>
      <c r="G133">
        <v>2</v>
      </c>
      <c r="H133">
        <v>1</v>
      </c>
      <c r="I133">
        <v>1083</v>
      </c>
      <c r="J133">
        <v>0</v>
      </c>
      <c r="K133">
        <v>1</v>
      </c>
      <c r="L133">
        <v>3995.5</v>
      </c>
      <c r="M133">
        <v>586.70000000000005</v>
      </c>
      <c r="N133">
        <v>4976.3999999999996</v>
      </c>
      <c r="O133">
        <v>1315.3</v>
      </c>
      <c r="P133">
        <v>6648.2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1.1100000000000001</v>
      </c>
      <c r="W133">
        <v>3</v>
      </c>
      <c r="X133">
        <v>1.1100000000000001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1.1100000000000001</v>
      </c>
      <c r="AE133">
        <v>0</v>
      </c>
      <c r="AF133">
        <v>0</v>
      </c>
      <c r="AG133">
        <v>1</v>
      </c>
      <c r="AH133">
        <v>0</v>
      </c>
      <c r="AI133">
        <v>0</v>
      </c>
      <c r="AL133">
        <v>0</v>
      </c>
      <c r="AM133">
        <v>0</v>
      </c>
      <c r="AN133">
        <v>0</v>
      </c>
    </row>
    <row r="134" spans="1:40" x14ac:dyDescent="0.25">
      <c r="A134">
        <v>133</v>
      </c>
      <c r="B134" t="s">
        <v>634</v>
      </c>
      <c r="C134" t="s">
        <v>635</v>
      </c>
      <c r="D134" t="s">
        <v>636</v>
      </c>
      <c r="E134" t="s">
        <v>637</v>
      </c>
      <c r="F134" t="s">
        <v>127</v>
      </c>
      <c r="G134">
        <v>4</v>
      </c>
      <c r="H134">
        <v>1</v>
      </c>
      <c r="I134">
        <v>2294</v>
      </c>
      <c r="J134">
        <v>0</v>
      </c>
      <c r="K134">
        <v>0</v>
      </c>
      <c r="L134">
        <v>1919.7</v>
      </c>
      <c r="M134">
        <v>2759.4</v>
      </c>
      <c r="N134">
        <v>6664.3</v>
      </c>
      <c r="O134">
        <v>812.9</v>
      </c>
      <c r="P134">
        <v>5063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4.04</v>
      </c>
      <c r="W134">
        <v>3.5</v>
      </c>
      <c r="X134">
        <v>4.0400000000000018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2.4400000000000008</v>
      </c>
      <c r="AE134">
        <v>1.6</v>
      </c>
      <c r="AF134">
        <v>0</v>
      </c>
      <c r="AG134">
        <v>0.60396039603960405</v>
      </c>
      <c r="AH134">
        <v>1</v>
      </c>
      <c r="AI134">
        <v>4</v>
      </c>
      <c r="AJ134">
        <v>2024</v>
      </c>
      <c r="AK134">
        <v>1</v>
      </c>
      <c r="AL134">
        <v>0</v>
      </c>
      <c r="AM134">
        <v>0</v>
      </c>
      <c r="AN134">
        <v>0</v>
      </c>
    </row>
    <row r="135" spans="1:40" x14ac:dyDescent="0.25">
      <c r="A135">
        <v>134</v>
      </c>
      <c r="B135" t="s">
        <v>638</v>
      </c>
      <c r="C135" t="s">
        <v>639</v>
      </c>
      <c r="D135" t="s">
        <v>640</v>
      </c>
      <c r="E135" t="s">
        <v>641</v>
      </c>
      <c r="F135" t="s">
        <v>176</v>
      </c>
      <c r="G135">
        <v>3</v>
      </c>
      <c r="H135">
        <v>1</v>
      </c>
      <c r="I135">
        <v>1457</v>
      </c>
      <c r="J135">
        <v>0</v>
      </c>
      <c r="K135">
        <v>1</v>
      </c>
      <c r="L135">
        <v>4210.3</v>
      </c>
      <c r="M135">
        <v>3585.8</v>
      </c>
      <c r="N135">
        <v>2583.6</v>
      </c>
      <c r="O135">
        <v>961.6</v>
      </c>
      <c r="P135">
        <v>4255.3999999999996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1.9</v>
      </c>
      <c r="W135">
        <v>3</v>
      </c>
      <c r="X135">
        <v>1.900000000000001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0.79999999999999993</v>
      </c>
      <c r="AE135">
        <v>0.5</v>
      </c>
      <c r="AF135">
        <v>0.6</v>
      </c>
      <c r="AG135">
        <v>0.42105263157894729</v>
      </c>
      <c r="AH135">
        <v>1</v>
      </c>
      <c r="AI135">
        <v>2</v>
      </c>
      <c r="AJ135">
        <v>2023</v>
      </c>
      <c r="AK135">
        <v>2</v>
      </c>
      <c r="AL135">
        <v>0</v>
      </c>
      <c r="AM135">
        <v>0</v>
      </c>
      <c r="AN135">
        <v>0</v>
      </c>
    </row>
    <row r="136" spans="1:40" x14ac:dyDescent="0.25">
      <c r="A136">
        <v>135</v>
      </c>
      <c r="B136" t="s">
        <v>642</v>
      </c>
      <c r="C136" t="s">
        <v>643</v>
      </c>
      <c r="D136" t="s">
        <v>644</v>
      </c>
      <c r="E136" t="s">
        <v>225</v>
      </c>
      <c r="F136" t="s">
        <v>190</v>
      </c>
      <c r="G136">
        <v>1</v>
      </c>
      <c r="H136">
        <v>1</v>
      </c>
      <c r="I136">
        <v>310</v>
      </c>
      <c r="J136">
        <v>0</v>
      </c>
      <c r="K136">
        <v>0</v>
      </c>
      <c r="L136">
        <v>7572.6</v>
      </c>
      <c r="M136">
        <v>5178.7</v>
      </c>
      <c r="N136">
        <v>18086.2</v>
      </c>
      <c r="O136">
        <v>716.1</v>
      </c>
      <c r="P136">
        <v>19465.7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</v>
      </c>
      <c r="W136">
        <v>5</v>
      </c>
      <c r="X136">
        <v>0</v>
      </c>
      <c r="Y136">
        <v>0</v>
      </c>
      <c r="Z136">
        <v>0</v>
      </c>
      <c r="AA136">
        <v>0.85999999999999988</v>
      </c>
      <c r="AB136">
        <v>0</v>
      </c>
      <c r="AC136">
        <v>0</v>
      </c>
      <c r="AD136">
        <v>0</v>
      </c>
      <c r="AE136">
        <v>0</v>
      </c>
      <c r="AF136">
        <v>0.85999999999999988</v>
      </c>
      <c r="AG136">
        <v>0</v>
      </c>
      <c r="AH136">
        <v>0</v>
      </c>
      <c r="AI136">
        <v>0</v>
      </c>
      <c r="AL136">
        <v>1</v>
      </c>
      <c r="AM136">
        <v>0</v>
      </c>
      <c r="AN136">
        <v>1</v>
      </c>
    </row>
    <row r="137" spans="1:40" x14ac:dyDescent="0.25">
      <c r="A137">
        <v>136</v>
      </c>
      <c r="B137" t="s">
        <v>645</v>
      </c>
      <c r="C137" t="s">
        <v>646</v>
      </c>
      <c r="D137" t="s">
        <v>647</v>
      </c>
      <c r="E137" t="s">
        <v>249</v>
      </c>
      <c r="F137" t="s">
        <v>149</v>
      </c>
      <c r="G137">
        <v>2</v>
      </c>
      <c r="H137">
        <v>1</v>
      </c>
      <c r="I137">
        <v>1286</v>
      </c>
      <c r="J137">
        <v>0</v>
      </c>
      <c r="K137">
        <v>0</v>
      </c>
      <c r="L137">
        <v>3487.3</v>
      </c>
      <c r="M137">
        <v>2758.9</v>
      </c>
      <c r="N137">
        <v>11780.9</v>
      </c>
      <c r="O137">
        <v>1002.5</v>
      </c>
      <c r="P137">
        <v>9918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0.98</v>
      </c>
      <c r="W137">
        <v>3</v>
      </c>
      <c r="X137">
        <v>0</v>
      </c>
      <c r="Y137">
        <v>0</v>
      </c>
      <c r="Z137">
        <v>0.97999999999999987</v>
      </c>
      <c r="AA137">
        <v>0</v>
      </c>
      <c r="AB137">
        <v>0</v>
      </c>
      <c r="AC137">
        <v>0</v>
      </c>
      <c r="AD137">
        <v>0.4</v>
      </c>
      <c r="AE137">
        <v>0</v>
      </c>
      <c r="AF137">
        <v>0.57999999999999996</v>
      </c>
      <c r="AG137">
        <v>0.40816326530612251</v>
      </c>
      <c r="AH137">
        <v>0</v>
      </c>
      <c r="AI137">
        <v>0</v>
      </c>
      <c r="AL137">
        <v>0</v>
      </c>
      <c r="AM137">
        <v>0</v>
      </c>
      <c r="AN137">
        <v>0</v>
      </c>
    </row>
    <row r="138" spans="1:40" x14ac:dyDescent="0.25">
      <c r="A138">
        <v>137</v>
      </c>
      <c r="B138" t="s">
        <v>648</v>
      </c>
      <c r="C138" t="s">
        <v>649</v>
      </c>
      <c r="D138" t="s">
        <v>650</v>
      </c>
      <c r="E138" t="s">
        <v>651</v>
      </c>
      <c r="F138" t="s">
        <v>149</v>
      </c>
      <c r="G138">
        <v>1</v>
      </c>
      <c r="H138">
        <v>1</v>
      </c>
      <c r="I138">
        <v>787</v>
      </c>
      <c r="J138">
        <v>0</v>
      </c>
      <c r="K138">
        <v>0</v>
      </c>
      <c r="L138">
        <v>2912</v>
      </c>
      <c r="M138">
        <v>3645.1</v>
      </c>
      <c r="N138">
        <v>11001.8</v>
      </c>
      <c r="O138">
        <v>714.4</v>
      </c>
      <c r="P138">
        <v>9138.9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</v>
      </c>
      <c r="W138">
        <v>3</v>
      </c>
      <c r="X138">
        <v>0.7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0.3</v>
      </c>
      <c r="AE138">
        <v>0.4</v>
      </c>
      <c r="AF138">
        <v>0</v>
      </c>
      <c r="AG138">
        <v>0.4285714285714286</v>
      </c>
      <c r="AH138">
        <v>0</v>
      </c>
      <c r="AI138">
        <v>0</v>
      </c>
      <c r="AL138">
        <v>0</v>
      </c>
      <c r="AM138">
        <v>0</v>
      </c>
      <c r="AN138">
        <v>0</v>
      </c>
    </row>
    <row r="139" spans="1:40" x14ac:dyDescent="0.25">
      <c r="A139">
        <v>138</v>
      </c>
      <c r="B139" t="s">
        <v>652</v>
      </c>
      <c r="C139" t="s">
        <v>653</v>
      </c>
      <c r="D139" t="s">
        <v>654</v>
      </c>
      <c r="E139" t="s">
        <v>367</v>
      </c>
      <c r="F139" t="s">
        <v>100</v>
      </c>
      <c r="G139">
        <v>1</v>
      </c>
      <c r="H139">
        <v>1</v>
      </c>
      <c r="I139">
        <v>1142</v>
      </c>
      <c r="J139">
        <v>0</v>
      </c>
      <c r="K139">
        <v>0</v>
      </c>
      <c r="L139">
        <v>781.6</v>
      </c>
      <c r="M139">
        <v>796.9</v>
      </c>
      <c r="N139">
        <v>2773.5</v>
      </c>
      <c r="O139">
        <v>196.3</v>
      </c>
      <c r="P139">
        <v>910.6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0.23</v>
      </c>
      <c r="W139">
        <v>3</v>
      </c>
      <c r="X139">
        <v>0.23</v>
      </c>
      <c r="Y139">
        <v>0</v>
      </c>
      <c r="Z139">
        <v>0</v>
      </c>
      <c r="AA139">
        <v>0</v>
      </c>
      <c r="AB139">
        <v>0</v>
      </c>
      <c r="AC139">
        <v>0.23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L139">
        <v>0</v>
      </c>
      <c r="AM139">
        <v>0</v>
      </c>
      <c r="AN139">
        <v>0</v>
      </c>
    </row>
    <row r="140" spans="1:40" x14ac:dyDescent="0.25">
      <c r="A140">
        <v>139</v>
      </c>
      <c r="B140" t="s">
        <v>655</v>
      </c>
      <c r="C140" t="s">
        <v>656</v>
      </c>
      <c r="D140" t="s">
        <v>657</v>
      </c>
      <c r="E140" t="s">
        <v>444</v>
      </c>
      <c r="F140" t="s">
        <v>363</v>
      </c>
      <c r="G140">
        <v>1</v>
      </c>
      <c r="H140">
        <v>1</v>
      </c>
      <c r="I140">
        <v>870</v>
      </c>
      <c r="J140">
        <v>1</v>
      </c>
      <c r="K140">
        <v>0</v>
      </c>
      <c r="L140">
        <v>1729.3</v>
      </c>
      <c r="M140">
        <v>1490.7</v>
      </c>
      <c r="N140">
        <v>2948.2</v>
      </c>
      <c r="O140">
        <v>0</v>
      </c>
      <c r="P140">
        <v>29561.3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0.31</v>
      </c>
      <c r="W140">
        <v>3</v>
      </c>
      <c r="X140">
        <v>0.31000000000000011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0.2</v>
      </c>
      <c r="AF140">
        <v>0.11</v>
      </c>
      <c r="AG140">
        <v>0</v>
      </c>
      <c r="AH140">
        <v>0</v>
      </c>
      <c r="AI140">
        <v>0</v>
      </c>
      <c r="AL140">
        <v>0</v>
      </c>
      <c r="AM140">
        <v>0</v>
      </c>
      <c r="AN140">
        <v>0</v>
      </c>
    </row>
    <row r="141" spans="1:40" x14ac:dyDescent="0.25">
      <c r="A141">
        <v>140</v>
      </c>
      <c r="B141" t="s">
        <v>658</v>
      </c>
      <c r="C141" t="s">
        <v>659</v>
      </c>
      <c r="D141" t="s">
        <v>660</v>
      </c>
      <c r="E141" t="s">
        <v>350</v>
      </c>
      <c r="F141" t="s">
        <v>105</v>
      </c>
      <c r="G141">
        <v>1</v>
      </c>
      <c r="H141">
        <v>1</v>
      </c>
      <c r="I141">
        <v>404</v>
      </c>
      <c r="J141">
        <v>0</v>
      </c>
      <c r="K141">
        <v>1</v>
      </c>
      <c r="L141">
        <v>2008.8</v>
      </c>
      <c r="M141">
        <v>2598.1</v>
      </c>
      <c r="N141">
        <v>9226.6</v>
      </c>
      <c r="O141">
        <v>816.8</v>
      </c>
      <c r="P141">
        <v>10606.1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0.69</v>
      </c>
      <c r="W141">
        <v>3</v>
      </c>
      <c r="X141">
        <v>0.69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0.69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2024</v>
      </c>
      <c r="AK141">
        <v>1</v>
      </c>
      <c r="AL141">
        <v>0</v>
      </c>
      <c r="AM141">
        <v>0</v>
      </c>
      <c r="AN141">
        <v>0</v>
      </c>
    </row>
    <row r="142" spans="1:40" x14ac:dyDescent="0.25">
      <c r="A142">
        <v>141</v>
      </c>
      <c r="B142" t="s">
        <v>661</v>
      </c>
      <c r="C142" t="s">
        <v>662</v>
      </c>
      <c r="D142" t="s">
        <v>663</v>
      </c>
      <c r="E142" t="s">
        <v>109</v>
      </c>
      <c r="F142" t="s">
        <v>100</v>
      </c>
      <c r="G142">
        <v>2</v>
      </c>
      <c r="H142">
        <v>1</v>
      </c>
      <c r="I142">
        <v>2315</v>
      </c>
      <c r="J142">
        <v>0</v>
      </c>
      <c r="K142">
        <v>1</v>
      </c>
      <c r="L142">
        <v>815.5</v>
      </c>
      <c r="M142">
        <v>1226.2</v>
      </c>
      <c r="N142">
        <v>1738.6</v>
      </c>
      <c r="O142">
        <v>437.7</v>
      </c>
      <c r="P142">
        <v>497.1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0.28000000000000003</v>
      </c>
      <c r="W142">
        <v>3.5</v>
      </c>
      <c r="X142">
        <v>0.28000000000000003</v>
      </c>
      <c r="Y142">
        <v>0</v>
      </c>
      <c r="Z142">
        <v>0</v>
      </c>
      <c r="AA142">
        <v>0</v>
      </c>
      <c r="AB142">
        <v>0</v>
      </c>
      <c r="AC142">
        <v>0.28000000000000003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L142">
        <v>0</v>
      </c>
      <c r="AM142">
        <v>0</v>
      </c>
      <c r="AN142">
        <v>0</v>
      </c>
    </row>
    <row r="143" spans="1:40" x14ac:dyDescent="0.25">
      <c r="A143">
        <v>142</v>
      </c>
      <c r="B143" t="s">
        <v>664</v>
      </c>
      <c r="C143" t="s">
        <v>665</v>
      </c>
      <c r="D143" t="s">
        <v>666</v>
      </c>
      <c r="E143" t="s">
        <v>667</v>
      </c>
      <c r="F143" t="s">
        <v>105</v>
      </c>
      <c r="G143">
        <v>1</v>
      </c>
      <c r="H143">
        <v>1</v>
      </c>
      <c r="I143">
        <v>590</v>
      </c>
      <c r="J143">
        <v>0</v>
      </c>
      <c r="K143">
        <v>0</v>
      </c>
      <c r="L143">
        <v>2561.3000000000002</v>
      </c>
      <c r="M143">
        <v>3131.7</v>
      </c>
      <c r="N143">
        <v>8317.7000000000007</v>
      </c>
      <c r="O143">
        <v>895.7</v>
      </c>
      <c r="P143">
        <v>8598.2000000000007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0.34</v>
      </c>
      <c r="W143">
        <v>3</v>
      </c>
      <c r="X143">
        <v>0.34</v>
      </c>
      <c r="Y143">
        <v>0</v>
      </c>
      <c r="Z143">
        <v>0</v>
      </c>
      <c r="AA143">
        <v>0</v>
      </c>
      <c r="AB143">
        <v>0</v>
      </c>
      <c r="AC143">
        <v>0.34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1</v>
      </c>
      <c r="AJ143">
        <v>2023</v>
      </c>
      <c r="AK143">
        <v>2</v>
      </c>
      <c r="AL143">
        <v>0</v>
      </c>
      <c r="AM143">
        <v>0</v>
      </c>
      <c r="AN143">
        <v>0</v>
      </c>
    </row>
    <row r="144" spans="1:40" x14ac:dyDescent="0.25">
      <c r="A144">
        <v>143</v>
      </c>
      <c r="B144" t="s">
        <v>668</v>
      </c>
      <c r="C144" t="s">
        <v>669</v>
      </c>
      <c r="D144" t="s">
        <v>670</v>
      </c>
      <c r="E144" t="s">
        <v>194</v>
      </c>
      <c r="F144" t="s">
        <v>100</v>
      </c>
      <c r="G144">
        <v>1</v>
      </c>
      <c r="H144">
        <v>1</v>
      </c>
      <c r="I144">
        <v>1874</v>
      </c>
      <c r="J144">
        <v>0</v>
      </c>
      <c r="K144">
        <v>0</v>
      </c>
      <c r="L144">
        <v>1289.5</v>
      </c>
      <c r="M144">
        <v>1832.6</v>
      </c>
      <c r="N144">
        <v>2664.3</v>
      </c>
      <c r="O144">
        <v>61.8</v>
      </c>
      <c r="P144">
        <v>971.2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0.22</v>
      </c>
      <c r="W144">
        <v>3</v>
      </c>
      <c r="X144">
        <v>0.22</v>
      </c>
      <c r="Y144">
        <v>0</v>
      </c>
      <c r="Z144">
        <v>0</v>
      </c>
      <c r="AA144">
        <v>0</v>
      </c>
      <c r="AB144">
        <v>0</v>
      </c>
      <c r="AC144">
        <v>0.22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2024</v>
      </c>
      <c r="AK144">
        <v>1</v>
      </c>
      <c r="AL144">
        <v>0</v>
      </c>
      <c r="AM144">
        <v>0</v>
      </c>
      <c r="AN144">
        <v>0</v>
      </c>
    </row>
    <row r="145" spans="1:40" x14ac:dyDescent="0.25">
      <c r="A145">
        <v>144</v>
      </c>
      <c r="B145" t="s">
        <v>671</v>
      </c>
      <c r="C145" t="s">
        <v>672</v>
      </c>
      <c r="D145" t="s">
        <v>673</v>
      </c>
      <c r="E145" t="s">
        <v>674</v>
      </c>
      <c r="F145" t="s">
        <v>100</v>
      </c>
      <c r="G145">
        <v>2</v>
      </c>
      <c r="H145">
        <v>1</v>
      </c>
      <c r="I145">
        <v>3016</v>
      </c>
      <c r="J145">
        <v>0</v>
      </c>
      <c r="K145">
        <v>1</v>
      </c>
      <c r="L145">
        <v>1258.5999999999999</v>
      </c>
      <c r="M145">
        <v>1191.3</v>
      </c>
      <c r="N145">
        <v>3413.4</v>
      </c>
      <c r="O145">
        <v>625.1</v>
      </c>
      <c r="P145">
        <v>1550.5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0.96</v>
      </c>
      <c r="W145">
        <v>3</v>
      </c>
      <c r="X145">
        <v>0.96</v>
      </c>
      <c r="Y145">
        <v>0</v>
      </c>
      <c r="Z145">
        <v>0</v>
      </c>
      <c r="AA145">
        <v>0</v>
      </c>
      <c r="AB145">
        <v>0</v>
      </c>
      <c r="AC145">
        <v>0.36</v>
      </c>
      <c r="AD145">
        <v>0.2</v>
      </c>
      <c r="AE145">
        <v>0.4</v>
      </c>
      <c r="AF145">
        <v>0</v>
      </c>
      <c r="AG145">
        <v>0.58333333333333337</v>
      </c>
      <c r="AH145">
        <v>1</v>
      </c>
      <c r="AI145">
        <v>1</v>
      </c>
      <c r="AJ145">
        <v>2023</v>
      </c>
      <c r="AK145">
        <v>2</v>
      </c>
      <c r="AL145">
        <v>0</v>
      </c>
      <c r="AM145">
        <v>0</v>
      </c>
      <c r="AN145">
        <v>0</v>
      </c>
    </row>
    <row r="146" spans="1:40" x14ac:dyDescent="0.25">
      <c r="A146">
        <v>145</v>
      </c>
      <c r="B146" t="s">
        <v>675</v>
      </c>
      <c r="C146" t="s">
        <v>676</v>
      </c>
      <c r="D146" t="s">
        <v>677</v>
      </c>
      <c r="E146" t="s">
        <v>531</v>
      </c>
      <c r="F146" t="s">
        <v>310</v>
      </c>
      <c r="G146">
        <v>1</v>
      </c>
      <c r="H146">
        <v>1</v>
      </c>
      <c r="I146">
        <v>238</v>
      </c>
      <c r="J146">
        <v>0</v>
      </c>
      <c r="K146">
        <v>0</v>
      </c>
      <c r="L146">
        <v>31022.2</v>
      </c>
      <c r="M146">
        <v>6215.7</v>
      </c>
      <c r="N146">
        <v>33232.6</v>
      </c>
      <c r="O146">
        <v>1002.3</v>
      </c>
      <c r="P146">
        <v>33135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0.67</v>
      </c>
      <c r="W146">
        <v>2</v>
      </c>
      <c r="X146">
        <v>0</v>
      </c>
      <c r="Y146">
        <v>0</v>
      </c>
      <c r="Z146">
        <v>0.66999999999999993</v>
      </c>
      <c r="AA146">
        <v>0</v>
      </c>
      <c r="AB146">
        <v>0</v>
      </c>
      <c r="AC146">
        <v>0</v>
      </c>
      <c r="AD146">
        <v>0.27</v>
      </c>
      <c r="AE146">
        <v>0.4</v>
      </c>
      <c r="AF146">
        <v>0</v>
      </c>
      <c r="AG146">
        <v>0.40298507462686572</v>
      </c>
      <c r="AH146">
        <v>1</v>
      </c>
      <c r="AI146">
        <v>1</v>
      </c>
      <c r="AJ146">
        <v>2023</v>
      </c>
      <c r="AK146">
        <v>2</v>
      </c>
      <c r="AL146">
        <v>0</v>
      </c>
      <c r="AM146">
        <v>0</v>
      </c>
      <c r="AN146">
        <v>0</v>
      </c>
    </row>
    <row r="147" spans="1:40" x14ac:dyDescent="0.25">
      <c r="A147">
        <v>146</v>
      </c>
      <c r="B147" t="s">
        <v>678</v>
      </c>
      <c r="C147" t="s">
        <v>679</v>
      </c>
      <c r="D147" t="s">
        <v>680</v>
      </c>
      <c r="E147" t="s">
        <v>681</v>
      </c>
      <c r="F147" t="s">
        <v>310</v>
      </c>
      <c r="G147">
        <v>3</v>
      </c>
      <c r="H147">
        <v>1</v>
      </c>
      <c r="I147">
        <v>521</v>
      </c>
      <c r="J147">
        <v>0</v>
      </c>
      <c r="K147">
        <v>0</v>
      </c>
      <c r="L147">
        <v>37536.6</v>
      </c>
      <c r="M147">
        <v>5049.7</v>
      </c>
      <c r="N147">
        <v>39747</v>
      </c>
      <c r="O147">
        <v>636.29999999999995</v>
      </c>
      <c r="P147">
        <v>39649.4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6.82</v>
      </c>
      <c r="W147">
        <v>2</v>
      </c>
      <c r="X147">
        <v>0</v>
      </c>
      <c r="Y147">
        <v>0</v>
      </c>
      <c r="Z147">
        <v>6.3999999999999932</v>
      </c>
      <c r="AA147">
        <v>0</v>
      </c>
      <c r="AB147">
        <v>0.42</v>
      </c>
      <c r="AC147">
        <v>0</v>
      </c>
      <c r="AD147">
        <v>1.8</v>
      </c>
      <c r="AE147">
        <v>0</v>
      </c>
      <c r="AF147">
        <v>5.0199999999999978</v>
      </c>
      <c r="AG147">
        <v>0.2639296187683286</v>
      </c>
      <c r="AH147">
        <v>1</v>
      </c>
      <c r="AI147">
        <v>3</v>
      </c>
      <c r="AJ147">
        <v>2024</v>
      </c>
      <c r="AK147">
        <v>1</v>
      </c>
      <c r="AL147">
        <v>1</v>
      </c>
      <c r="AM147">
        <v>0</v>
      </c>
      <c r="AN147">
        <v>1</v>
      </c>
    </row>
    <row r="148" spans="1:40" x14ac:dyDescent="0.25">
      <c r="A148">
        <v>147</v>
      </c>
      <c r="B148" t="s">
        <v>682</v>
      </c>
      <c r="C148" t="s">
        <v>683</v>
      </c>
      <c r="D148" t="s">
        <v>684</v>
      </c>
      <c r="E148" t="s">
        <v>685</v>
      </c>
      <c r="F148" t="s">
        <v>310</v>
      </c>
      <c r="G148">
        <v>1</v>
      </c>
      <c r="H148">
        <v>1</v>
      </c>
      <c r="I148">
        <v>138</v>
      </c>
      <c r="J148">
        <v>0</v>
      </c>
      <c r="K148">
        <v>0</v>
      </c>
      <c r="L148">
        <v>35235</v>
      </c>
      <c r="M148">
        <v>2018.5</v>
      </c>
      <c r="N148">
        <v>37445.4</v>
      </c>
      <c r="O148">
        <v>413.6</v>
      </c>
      <c r="P148">
        <v>37347.800000000003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0.81</v>
      </c>
      <c r="W148">
        <v>3.5</v>
      </c>
      <c r="X148">
        <v>0</v>
      </c>
      <c r="Y148">
        <v>0</v>
      </c>
      <c r="Z148">
        <v>0.80999999999999994</v>
      </c>
      <c r="AA148">
        <v>0</v>
      </c>
      <c r="AB148">
        <v>0</v>
      </c>
      <c r="AC148">
        <v>0</v>
      </c>
      <c r="AD148">
        <v>0.21</v>
      </c>
      <c r="AE148">
        <v>0</v>
      </c>
      <c r="AF148">
        <v>0.6</v>
      </c>
      <c r="AG148">
        <v>0.25925925925925919</v>
      </c>
      <c r="AH148">
        <v>1</v>
      </c>
      <c r="AI148">
        <v>2</v>
      </c>
      <c r="AJ148">
        <v>2024</v>
      </c>
      <c r="AK148">
        <v>1</v>
      </c>
      <c r="AL148">
        <v>0</v>
      </c>
      <c r="AM148">
        <v>0</v>
      </c>
      <c r="AN148">
        <v>0</v>
      </c>
    </row>
    <row r="149" spans="1:40" x14ac:dyDescent="0.25">
      <c r="A149">
        <v>148</v>
      </c>
      <c r="B149" t="s">
        <v>686</v>
      </c>
      <c r="C149" t="s">
        <v>687</v>
      </c>
      <c r="D149" t="s">
        <v>688</v>
      </c>
      <c r="E149" t="s">
        <v>689</v>
      </c>
      <c r="F149" t="s">
        <v>310</v>
      </c>
      <c r="G149">
        <v>2</v>
      </c>
      <c r="H149">
        <v>1</v>
      </c>
      <c r="I149">
        <v>581</v>
      </c>
      <c r="J149">
        <v>1</v>
      </c>
      <c r="K149">
        <v>0</v>
      </c>
      <c r="L149">
        <v>37205.699999999997</v>
      </c>
      <c r="M149">
        <v>3298.1</v>
      </c>
      <c r="N149">
        <v>39416.1</v>
      </c>
      <c r="O149">
        <v>2401.1999999999998</v>
      </c>
      <c r="P149">
        <v>39318.400000000001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7.17</v>
      </c>
      <c r="W149">
        <v>2</v>
      </c>
      <c r="X149">
        <v>0.2</v>
      </c>
      <c r="Y149">
        <v>0</v>
      </c>
      <c r="Z149">
        <v>6.9699999999999918</v>
      </c>
      <c r="AA149">
        <v>0</v>
      </c>
      <c r="AB149">
        <v>0</v>
      </c>
      <c r="AC149">
        <v>0</v>
      </c>
      <c r="AD149">
        <v>0.2</v>
      </c>
      <c r="AE149">
        <v>0</v>
      </c>
      <c r="AF149">
        <v>6.9699999999999918</v>
      </c>
      <c r="AG149">
        <v>2.789400278940031E-2</v>
      </c>
      <c r="AH149">
        <v>1</v>
      </c>
      <c r="AI149">
        <v>1</v>
      </c>
      <c r="AJ149">
        <v>2024</v>
      </c>
      <c r="AK149">
        <v>1</v>
      </c>
      <c r="AL149">
        <v>0</v>
      </c>
      <c r="AM149">
        <v>0</v>
      </c>
      <c r="AN149">
        <v>0</v>
      </c>
    </row>
    <row r="150" spans="1:40" x14ac:dyDescent="0.25">
      <c r="A150">
        <v>149</v>
      </c>
      <c r="B150" t="s">
        <v>690</v>
      </c>
      <c r="C150" t="s">
        <v>691</v>
      </c>
      <c r="D150" t="s">
        <v>692</v>
      </c>
      <c r="E150" t="s">
        <v>693</v>
      </c>
      <c r="F150" t="s">
        <v>310</v>
      </c>
      <c r="G150">
        <v>2</v>
      </c>
      <c r="H150">
        <v>1</v>
      </c>
      <c r="I150">
        <v>484</v>
      </c>
      <c r="J150">
        <v>1</v>
      </c>
      <c r="K150">
        <v>0</v>
      </c>
      <c r="L150">
        <v>34216.6</v>
      </c>
      <c r="M150">
        <v>1000</v>
      </c>
      <c r="N150">
        <v>36427</v>
      </c>
      <c r="O150">
        <v>307.10000000000002</v>
      </c>
      <c r="P150">
        <v>36329.4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1.28</v>
      </c>
      <c r="W150">
        <v>3</v>
      </c>
      <c r="X150">
        <v>1.28</v>
      </c>
      <c r="Y150">
        <v>0</v>
      </c>
      <c r="Z150">
        <v>0</v>
      </c>
      <c r="AA150">
        <v>0</v>
      </c>
      <c r="AB150">
        <v>0</v>
      </c>
      <c r="AC150">
        <v>1.08</v>
      </c>
      <c r="AD150">
        <v>0.2</v>
      </c>
      <c r="AE150">
        <v>0</v>
      </c>
      <c r="AF150">
        <v>0</v>
      </c>
      <c r="AG150">
        <v>1</v>
      </c>
      <c r="AH150">
        <v>0</v>
      </c>
      <c r="AI150">
        <v>0</v>
      </c>
      <c r="AL150">
        <v>0</v>
      </c>
      <c r="AM150">
        <v>0</v>
      </c>
      <c r="AN150">
        <v>0</v>
      </c>
    </row>
    <row r="151" spans="1:40" x14ac:dyDescent="0.25">
      <c r="A151">
        <v>150</v>
      </c>
      <c r="B151" t="s">
        <v>694</v>
      </c>
      <c r="C151" t="s">
        <v>695</v>
      </c>
      <c r="D151" t="s">
        <v>696</v>
      </c>
      <c r="E151" t="s">
        <v>697</v>
      </c>
      <c r="F151" t="s">
        <v>310</v>
      </c>
      <c r="G151">
        <v>2</v>
      </c>
      <c r="H151">
        <v>1</v>
      </c>
      <c r="I151">
        <v>584</v>
      </c>
      <c r="J151">
        <v>1</v>
      </c>
      <c r="K151">
        <v>0</v>
      </c>
      <c r="L151">
        <v>34399.4</v>
      </c>
      <c r="M151">
        <v>1719.1</v>
      </c>
      <c r="N151">
        <v>36609.800000000003</v>
      </c>
      <c r="O151">
        <v>1643.7</v>
      </c>
      <c r="P151">
        <v>36512.199999999997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</v>
      </c>
      <c r="W151">
        <v>1.5</v>
      </c>
      <c r="X151">
        <v>0</v>
      </c>
      <c r="Y151">
        <v>0</v>
      </c>
      <c r="Z151">
        <v>2.27</v>
      </c>
      <c r="AA151">
        <v>0</v>
      </c>
      <c r="AB151">
        <v>0</v>
      </c>
      <c r="AC151">
        <v>0</v>
      </c>
      <c r="AD151">
        <v>0</v>
      </c>
      <c r="AE151">
        <v>2.27</v>
      </c>
      <c r="AF151">
        <v>0</v>
      </c>
      <c r="AG151">
        <v>0</v>
      </c>
      <c r="AH151">
        <v>0</v>
      </c>
      <c r="AI151">
        <v>0</v>
      </c>
      <c r="AL151">
        <v>0</v>
      </c>
      <c r="AM151">
        <v>0</v>
      </c>
      <c r="AN151">
        <v>0</v>
      </c>
    </row>
    <row r="152" spans="1:40" x14ac:dyDescent="0.25">
      <c r="A152">
        <v>151</v>
      </c>
      <c r="B152" t="s">
        <v>698</v>
      </c>
      <c r="C152" t="s">
        <v>699</v>
      </c>
      <c r="D152" t="s">
        <v>700</v>
      </c>
      <c r="E152" t="s">
        <v>701</v>
      </c>
      <c r="F152" t="s">
        <v>132</v>
      </c>
      <c r="G152">
        <v>2</v>
      </c>
      <c r="H152">
        <v>1</v>
      </c>
      <c r="I152">
        <v>912</v>
      </c>
      <c r="J152">
        <v>0</v>
      </c>
      <c r="K152">
        <v>0</v>
      </c>
      <c r="L152">
        <v>6121.3</v>
      </c>
      <c r="M152">
        <v>3023</v>
      </c>
      <c r="N152">
        <v>15880.5</v>
      </c>
      <c r="O152">
        <v>292</v>
      </c>
      <c r="P152">
        <v>14017.6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1.66</v>
      </c>
      <c r="W152">
        <v>3.5</v>
      </c>
      <c r="X152">
        <v>1.66</v>
      </c>
      <c r="Y152">
        <v>0</v>
      </c>
      <c r="Z152">
        <v>0</v>
      </c>
      <c r="AA152">
        <v>0</v>
      </c>
      <c r="AB152">
        <v>0</v>
      </c>
      <c r="AC152">
        <v>1.2</v>
      </c>
      <c r="AD152">
        <v>0.46</v>
      </c>
      <c r="AE152">
        <v>0</v>
      </c>
      <c r="AF152">
        <v>0</v>
      </c>
      <c r="AG152">
        <v>1</v>
      </c>
      <c r="AH152">
        <v>1</v>
      </c>
      <c r="AI152">
        <v>2</v>
      </c>
      <c r="AJ152">
        <v>2024</v>
      </c>
      <c r="AK152">
        <v>1</v>
      </c>
      <c r="AL152">
        <v>1</v>
      </c>
      <c r="AM152">
        <v>1</v>
      </c>
      <c r="AN152">
        <v>0</v>
      </c>
    </row>
    <row r="153" spans="1:40" x14ac:dyDescent="0.25">
      <c r="A153">
        <v>152</v>
      </c>
      <c r="B153" t="s">
        <v>702</v>
      </c>
      <c r="C153" t="s">
        <v>703</v>
      </c>
      <c r="D153" t="s">
        <v>704</v>
      </c>
      <c r="E153" t="s">
        <v>705</v>
      </c>
      <c r="F153" t="s">
        <v>100</v>
      </c>
      <c r="G153">
        <v>1</v>
      </c>
      <c r="H153">
        <v>1</v>
      </c>
      <c r="I153">
        <v>3189</v>
      </c>
      <c r="J153">
        <v>0</v>
      </c>
      <c r="K153">
        <v>0</v>
      </c>
      <c r="L153">
        <v>575.9</v>
      </c>
      <c r="M153">
        <v>1149.0999999999999</v>
      </c>
      <c r="N153">
        <v>2120.5</v>
      </c>
      <c r="O153">
        <v>0</v>
      </c>
      <c r="P153">
        <v>257.60000000000002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0.39</v>
      </c>
      <c r="W153">
        <v>3</v>
      </c>
      <c r="X153">
        <v>0.39</v>
      </c>
      <c r="Y153">
        <v>0</v>
      </c>
      <c r="Z153">
        <v>0</v>
      </c>
      <c r="AA153">
        <v>0</v>
      </c>
      <c r="AB153">
        <v>0</v>
      </c>
      <c r="AC153">
        <v>0.2</v>
      </c>
      <c r="AD153">
        <v>0.19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2023</v>
      </c>
      <c r="AK153">
        <v>2</v>
      </c>
      <c r="AL153">
        <v>0</v>
      </c>
      <c r="AM153">
        <v>0</v>
      </c>
      <c r="AN153">
        <v>0</v>
      </c>
    </row>
    <row r="154" spans="1:40" x14ac:dyDescent="0.25">
      <c r="A154">
        <v>153</v>
      </c>
      <c r="B154" t="s">
        <v>706</v>
      </c>
      <c r="C154" t="s">
        <v>707</v>
      </c>
      <c r="D154" t="s">
        <v>708</v>
      </c>
      <c r="E154" t="s">
        <v>709</v>
      </c>
      <c r="F154" t="s">
        <v>710</v>
      </c>
      <c r="G154">
        <v>2</v>
      </c>
      <c r="H154">
        <v>2</v>
      </c>
      <c r="I154">
        <v>700</v>
      </c>
      <c r="J154">
        <v>0</v>
      </c>
      <c r="K154">
        <v>0</v>
      </c>
      <c r="L154">
        <v>4661.3999999999996</v>
      </c>
      <c r="M154">
        <v>4844.3999999999996</v>
      </c>
      <c r="N154">
        <v>9406.1</v>
      </c>
      <c r="O154">
        <v>1615.3</v>
      </c>
      <c r="P154">
        <v>7804.8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2.94</v>
      </c>
      <c r="W154">
        <v>3.5</v>
      </c>
      <c r="X154">
        <v>2.9400000000000008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2.9400000000000008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2023</v>
      </c>
      <c r="AK154">
        <v>2</v>
      </c>
      <c r="AL154">
        <v>0</v>
      </c>
      <c r="AM154">
        <v>0</v>
      </c>
      <c r="AN154">
        <v>0</v>
      </c>
    </row>
    <row r="155" spans="1:40" x14ac:dyDescent="0.25">
      <c r="A155">
        <v>154</v>
      </c>
      <c r="B155" t="s">
        <v>711</v>
      </c>
      <c r="C155" t="s">
        <v>712</v>
      </c>
      <c r="D155" t="s">
        <v>713</v>
      </c>
      <c r="E155" t="s">
        <v>714</v>
      </c>
      <c r="F155" t="s">
        <v>310</v>
      </c>
      <c r="G155">
        <v>1</v>
      </c>
      <c r="H155">
        <v>1</v>
      </c>
      <c r="I155">
        <v>385</v>
      </c>
      <c r="J155">
        <v>1</v>
      </c>
      <c r="K155">
        <v>1</v>
      </c>
      <c r="L155">
        <v>21094.2</v>
      </c>
      <c r="M155">
        <v>8100.1</v>
      </c>
      <c r="N155">
        <v>23304.6</v>
      </c>
      <c r="O155">
        <v>219.7</v>
      </c>
      <c r="P155">
        <v>23207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0.38</v>
      </c>
      <c r="W155">
        <v>1.5</v>
      </c>
      <c r="X155">
        <v>0</v>
      </c>
      <c r="Y155">
        <v>0</v>
      </c>
      <c r="Z155">
        <v>0.38000000000000012</v>
      </c>
      <c r="AA155">
        <v>0</v>
      </c>
      <c r="AB155">
        <v>0</v>
      </c>
      <c r="AC155">
        <v>0</v>
      </c>
      <c r="AD155">
        <v>0.38000000000000012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2021</v>
      </c>
      <c r="AK155">
        <v>4</v>
      </c>
      <c r="AL155">
        <v>0</v>
      </c>
      <c r="AM155">
        <v>0</v>
      </c>
      <c r="AN155">
        <v>0</v>
      </c>
    </row>
    <row r="156" spans="1:40" x14ac:dyDescent="0.25">
      <c r="A156">
        <v>155</v>
      </c>
      <c r="B156" t="s">
        <v>715</v>
      </c>
      <c r="C156" t="s">
        <v>716</v>
      </c>
      <c r="D156" t="s">
        <v>717</v>
      </c>
      <c r="E156" t="s">
        <v>685</v>
      </c>
      <c r="F156" t="s">
        <v>310</v>
      </c>
      <c r="G156">
        <v>1</v>
      </c>
      <c r="H156">
        <v>1</v>
      </c>
      <c r="I156">
        <v>138</v>
      </c>
      <c r="J156">
        <v>0</v>
      </c>
      <c r="K156">
        <v>0</v>
      </c>
      <c r="L156">
        <v>790352350</v>
      </c>
      <c r="M156">
        <v>79020185</v>
      </c>
      <c r="N156">
        <v>37445.478999999999</v>
      </c>
      <c r="O156">
        <v>413.67899999999997</v>
      </c>
      <c r="P156">
        <v>38542.800000000003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1.58</v>
      </c>
      <c r="W156">
        <v>1.5</v>
      </c>
      <c r="X156">
        <v>0</v>
      </c>
      <c r="Y156">
        <v>0</v>
      </c>
      <c r="Z156">
        <v>1.58</v>
      </c>
      <c r="AA156">
        <v>0</v>
      </c>
      <c r="AB156">
        <v>0</v>
      </c>
      <c r="AC156">
        <v>0</v>
      </c>
      <c r="AD156">
        <v>0.18</v>
      </c>
      <c r="AE156">
        <v>1.4</v>
      </c>
      <c r="AF156">
        <v>0</v>
      </c>
      <c r="AG156">
        <v>0.1139240506329114</v>
      </c>
      <c r="AH156">
        <v>0</v>
      </c>
      <c r="AI156">
        <v>0</v>
      </c>
      <c r="AL156">
        <v>0</v>
      </c>
      <c r="AM156">
        <v>0</v>
      </c>
      <c r="AN156">
        <v>0</v>
      </c>
    </row>
    <row r="157" spans="1:40" x14ac:dyDescent="0.25">
      <c r="A157">
        <v>156</v>
      </c>
      <c r="B157" t="s">
        <v>718</v>
      </c>
      <c r="C157" t="s">
        <v>719</v>
      </c>
      <c r="D157" t="s">
        <v>720</v>
      </c>
      <c r="E157" t="s">
        <v>721</v>
      </c>
      <c r="F157" t="s">
        <v>127</v>
      </c>
      <c r="G157">
        <v>1</v>
      </c>
      <c r="H157">
        <v>1</v>
      </c>
      <c r="I157">
        <v>371</v>
      </c>
      <c r="J157">
        <v>0</v>
      </c>
      <c r="K157">
        <v>0</v>
      </c>
      <c r="L157">
        <v>18164.7</v>
      </c>
      <c r="M157">
        <v>14215</v>
      </c>
      <c r="N157">
        <v>20375.099999999999</v>
      </c>
      <c r="O157">
        <v>802.2</v>
      </c>
      <c r="P157">
        <v>20277.5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10.66</v>
      </c>
      <c r="W157">
        <v>3</v>
      </c>
      <c r="X157">
        <v>7.599999999999989</v>
      </c>
      <c r="Y157">
        <v>0</v>
      </c>
      <c r="Z157">
        <v>0</v>
      </c>
      <c r="AA157">
        <v>3.0600000000000009</v>
      </c>
      <c r="AB157">
        <v>0</v>
      </c>
      <c r="AC157">
        <v>7.599999999999989</v>
      </c>
      <c r="AD157">
        <v>0</v>
      </c>
      <c r="AE157">
        <v>0</v>
      </c>
      <c r="AF157">
        <v>3.0600000000000009</v>
      </c>
      <c r="AG157">
        <v>0.71294559099437116</v>
      </c>
      <c r="AH157">
        <v>1</v>
      </c>
      <c r="AI157">
        <v>2</v>
      </c>
      <c r="AJ157">
        <v>2024</v>
      </c>
      <c r="AK157">
        <v>1</v>
      </c>
      <c r="AL157">
        <v>0</v>
      </c>
      <c r="AM157">
        <v>0</v>
      </c>
      <c r="AN157">
        <v>0</v>
      </c>
    </row>
    <row r="158" spans="1:40" x14ac:dyDescent="0.25">
      <c r="A158">
        <v>157</v>
      </c>
      <c r="B158" t="s">
        <v>722</v>
      </c>
      <c r="C158" t="s">
        <v>723</v>
      </c>
      <c r="D158" t="s">
        <v>724</v>
      </c>
      <c r="E158" t="s">
        <v>725</v>
      </c>
      <c r="F158" t="s">
        <v>127</v>
      </c>
      <c r="G158">
        <v>2</v>
      </c>
      <c r="H158">
        <v>1</v>
      </c>
      <c r="I158">
        <v>1090</v>
      </c>
      <c r="J158">
        <v>0</v>
      </c>
      <c r="K158">
        <v>0</v>
      </c>
      <c r="L158">
        <v>15110.7</v>
      </c>
      <c r="M158">
        <v>11161</v>
      </c>
      <c r="N158">
        <v>17321.099999999999</v>
      </c>
      <c r="O158">
        <v>858.1</v>
      </c>
      <c r="P158">
        <v>17223.5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4.57</v>
      </c>
      <c r="W158">
        <v>4</v>
      </c>
      <c r="X158">
        <v>0</v>
      </c>
      <c r="Y158">
        <v>0</v>
      </c>
      <c r="Z158">
        <v>0</v>
      </c>
      <c r="AA158">
        <v>0</v>
      </c>
      <c r="AB158">
        <v>4.57</v>
      </c>
      <c r="AC158">
        <v>0</v>
      </c>
      <c r="AD158">
        <v>0</v>
      </c>
      <c r="AE158">
        <v>0</v>
      </c>
      <c r="AF158">
        <v>4.57</v>
      </c>
      <c r="AG158">
        <v>0</v>
      </c>
      <c r="AH158">
        <v>0</v>
      </c>
      <c r="AI158">
        <v>0</v>
      </c>
      <c r="AL158">
        <v>0</v>
      </c>
      <c r="AM158">
        <v>0</v>
      </c>
      <c r="AN158">
        <v>0</v>
      </c>
    </row>
    <row r="159" spans="1:40" x14ac:dyDescent="0.25">
      <c r="A159">
        <v>158</v>
      </c>
      <c r="B159" t="s">
        <v>726</v>
      </c>
      <c r="C159" t="s">
        <v>727</v>
      </c>
      <c r="D159" t="s">
        <v>728</v>
      </c>
      <c r="E159" t="s">
        <v>729</v>
      </c>
      <c r="F159" t="s">
        <v>310</v>
      </c>
      <c r="G159">
        <v>2</v>
      </c>
      <c r="H159">
        <v>1</v>
      </c>
      <c r="I159">
        <v>746</v>
      </c>
      <c r="J159">
        <v>0</v>
      </c>
      <c r="K159">
        <v>1</v>
      </c>
      <c r="L159">
        <v>29795.599999999999</v>
      </c>
      <c r="M159">
        <v>3662.6</v>
      </c>
      <c r="N159">
        <v>32006</v>
      </c>
      <c r="O159">
        <v>2306.6</v>
      </c>
      <c r="P159">
        <v>31908.3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4.16</v>
      </c>
      <c r="W159">
        <v>1.5</v>
      </c>
      <c r="X159">
        <v>0</v>
      </c>
      <c r="Y159">
        <v>0</v>
      </c>
      <c r="Z159">
        <v>0.99999999999999989</v>
      </c>
      <c r="AA159">
        <v>0</v>
      </c>
      <c r="AB159">
        <v>3.160000000000001</v>
      </c>
      <c r="AC159">
        <v>0</v>
      </c>
      <c r="AD159">
        <v>0</v>
      </c>
      <c r="AE159">
        <v>0.6</v>
      </c>
      <c r="AF159">
        <v>3.5600000000000018</v>
      </c>
      <c r="AG159">
        <v>0</v>
      </c>
      <c r="AH159">
        <v>0</v>
      </c>
      <c r="AI159">
        <v>0</v>
      </c>
      <c r="AL159">
        <v>0</v>
      </c>
      <c r="AM159">
        <v>0</v>
      </c>
      <c r="AN159">
        <v>0</v>
      </c>
    </row>
    <row r="160" spans="1:40" x14ac:dyDescent="0.25">
      <c r="A160">
        <v>159</v>
      </c>
      <c r="B160" t="s">
        <v>730</v>
      </c>
      <c r="C160" t="s">
        <v>731</v>
      </c>
      <c r="D160" t="s">
        <v>732</v>
      </c>
      <c r="E160" t="s">
        <v>733</v>
      </c>
      <c r="F160" t="s">
        <v>310</v>
      </c>
      <c r="G160">
        <v>3</v>
      </c>
      <c r="H160">
        <v>1</v>
      </c>
      <c r="I160">
        <v>826</v>
      </c>
      <c r="J160">
        <v>0</v>
      </c>
      <c r="K160">
        <v>1</v>
      </c>
      <c r="L160">
        <v>32644</v>
      </c>
      <c r="M160">
        <v>5566</v>
      </c>
      <c r="N160">
        <v>34854.400000000001</v>
      </c>
      <c r="O160">
        <v>5215.3999999999996</v>
      </c>
      <c r="P160">
        <v>34756.800000000003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9.4600000000000009</v>
      </c>
      <c r="W160">
        <v>3</v>
      </c>
      <c r="X160">
        <v>4.6999999999999993</v>
      </c>
      <c r="Y160">
        <v>0</v>
      </c>
      <c r="Z160">
        <v>0</v>
      </c>
      <c r="AA160">
        <v>0.5</v>
      </c>
      <c r="AB160">
        <v>4.2600000000000007</v>
      </c>
      <c r="AC160">
        <v>0</v>
      </c>
      <c r="AD160">
        <v>4.6999999999999993</v>
      </c>
      <c r="AE160">
        <v>0</v>
      </c>
      <c r="AF160">
        <v>4.7599999999999989</v>
      </c>
      <c r="AG160">
        <v>0.49682875264270621</v>
      </c>
      <c r="AH160">
        <v>1</v>
      </c>
      <c r="AI160">
        <v>1</v>
      </c>
      <c r="AJ160">
        <v>2023</v>
      </c>
      <c r="AK160">
        <v>2</v>
      </c>
      <c r="AL160">
        <v>1</v>
      </c>
      <c r="AM160">
        <v>0</v>
      </c>
      <c r="AN160">
        <v>1</v>
      </c>
    </row>
    <row r="161" spans="1:40" x14ac:dyDescent="0.25">
      <c r="A161">
        <v>160</v>
      </c>
      <c r="B161" t="s">
        <v>734</v>
      </c>
      <c r="C161" t="s">
        <v>735</v>
      </c>
      <c r="D161" t="s">
        <v>736</v>
      </c>
      <c r="E161" t="s">
        <v>737</v>
      </c>
      <c r="F161" t="s">
        <v>132</v>
      </c>
      <c r="G161">
        <v>3</v>
      </c>
      <c r="H161">
        <v>1</v>
      </c>
      <c r="I161">
        <v>1073</v>
      </c>
      <c r="J161">
        <v>0</v>
      </c>
      <c r="K161">
        <v>0</v>
      </c>
      <c r="L161">
        <v>3842.4</v>
      </c>
      <c r="M161">
        <v>3621.9</v>
      </c>
      <c r="N161">
        <v>13601.6</v>
      </c>
      <c r="O161">
        <v>722.9</v>
      </c>
      <c r="P161">
        <v>11738.7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2.86</v>
      </c>
      <c r="W161">
        <v>3.5</v>
      </c>
      <c r="X161">
        <v>2.8600000000000012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2.8600000000000012</v>
      </c>
      <c r="AE161">
        <v>0</v>
      </c>
      <c r="AF161">
        <v>0</v>
      </c>
      <c r="AG161">
        <v>1</v>
      </c>
      <c r="AH161">
        <v>0</v>
      </c>
      <c r="AI161">
        <v>0</v>
      </c>
      <c r="AL161">
        <v>0</v>
      </c>
      <c r="AM161">
        <v>0</v>
      </c>
      <c r="AN161">
        <v>0</v>
      </c>
    </row>
    <row r="162" spans="1:40" x14ac:dyDescent="0.25">
      <c r="A162">
        <v>161</v>
      </c>
      <c r="B162" t="s">
        <v>738</v>
      </c>
      <c r="C162" t="s">
        <v>739</v>
      </c>
      <c r="D162" t="s">
        <v>740</v>
      </c>
      <c r="E162" t="s">
        <v>741</v>
      </c>
      <c r="F162" t="s">
        <v>127</v>
      </c>
      <c r="G162">
        <v>2</v>
      </c>
      <c r="H162">
        <v>1</v>
      </c>
      <c r="I162">
        <v>1167</v>
      </c>
      <c r="J162">
        <v>0</v>
      </c>
      <c r="K162">
        <v>1</v>
      </c>
      <c r="L162">
        <v>6152.3</v>
      </c>
      <c r="M162">
        <v>6491.7</v>
      </c>
      <c r="N162">
        <v>10897</v>
      </c>
      <c r="O162">
        <v>231.7</v>
      </c>
      <c r="P162">
        <v>9295.7000000000007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5.82</v>
      </c>
      <c r="W162">
        <v>3.5</v>
      </c>
      <c r="X162">
        <v>5.819999999999995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3.6200000000000019</v>
      </c>
      <c r="AE162">
        <v>1.900000000000001</v>
      </c>
      <c r="AF162">
        <v>0.3</v>
      </c>
      <c r="AG162">
        <v>0.62199312714776644</v>
      </c>
      <c r="AH162">
        <v>1</v>
      </c>
      <c r="AI162">
        <v>1</v>
      </c>
      <c r="AJ162">
        <v>2023</v>
      </c>
      <c r="AK162">
        <v>2</v>
      </c>
      <c r="AL162">
        <v>1</v>
      </c>
      <c r="AM162">
        <v>1</v>
      </c>
      <c r="AN162">
        <v>0</v>
      </c>
    </row>
    <row r="163" spans="1:40" x14ac:dyDescent="0.25">
      <c r="A163">
        <v>162</v>
      </c>
      <c r="B163" t="s">
        <v>742</v>
      </c>
      <c r="C163" t="s">
        <v>743</v>
      </c>
      <c r="D163" t="s">
        <v>744</v>
      </c>
      <c r="E163" t="s">
        <v>745</v>
      </c>
      <c r="F163" t="s">
        <v>105</v>
      </c>
      <c r="G163">
        <v>2</v>
      </c>
      <c r="H163">
        <v>1</v>
      </c>
      <c r="I163">
        <v>1333</v>
      </c>
      <c r="J163">
        <v>0</v>
      </c>
      <c r="K163">
        <v>0</v>
      </c>
      <c r="L163">
        <v>5072.3</v>
      </c>
      <c r="M163">
        <v>2739.5</v>
      </c>
      <c r="N163">
        <v>6781.3</v>
      </c>
      <c r="O163">
        <v>1099.5</v>
      </c>
      <c r="P163">
        <v>6945.9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0.69</v>
      </c>
      <c r="W163">
        <v>3</v>
      </c>
      <c r="X163">
        <v>0.69</v>
      </c>
      <c r="Y163">
        <v>0</v>
      </c>
      <c r="Z163">
        <v>0</v>
      </c>
      <c r="AA163">
        <v>0</v>
      </c>
      <c r="AB163">
        <v>0</v>
      </c>
      <c r="AC163">
        <v>0.69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1</v>
      </c>
      <c r="AJ163">
        <v>2024</v>
      </c>
      <c r="AK163">
        <v>1</v>
      </c>
      <c r="AL163">
        <v>0</v>
      </c>
      <c r="AM163">
        <v>0</v>
      </c>
      <c r="AN163">
        <v>0</v>
      </c>
    </row>
    <row r="164" spans="1:40" x14ac:dyDescent="0.25">
      <c r="A164">
        <v>163</v>
      </c>
      <c r="B164" t="s">
        <v>746</v>
      </c>
      <c r="C164" t="s">
        <v>747</v>
      </c>
      <c r="D164" t="s">
        <v>748</v>
      </c>
      <c r="E164" t="s">
        <v>749</v>
      </c>
      <c r="F164" t="s">
        <v>176</v>
      </c>
      <c r="G164">
        <v>2</v>
      </c>
      <c r="H164">
        <v>1</v>
      </c>
      <c r="I164">
        <v>699</v>
      </c>
      <c r="J164">
        <v>0</v>
      </c>
      <c r="K164">
        <v>1</v>
      </c>
      <c r="L164">
        <v>4079.9</v>
      </c>
      <c r="M164">
        <v>4049.2</v>
      </c>
      <c r="N164">
        <v>9016.5</v>
      </c>
      <c r="O164">
        <v>1953.1</v>
      </c>
      <c r="P164">
        <v>10688.3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4.0999999999999996</v>
      </c>
      <c r="W164">
        <v>3.5</v>
      </c>
      <c r="X164">
        <v>0</v>
      </c>
      <c r="Y164">
        <v>0</v>
      </c>
      <c r="Z164">
        <v>0</v>
      </c>
      <c r="AA164">
        <v>4.1000000000000014</v>
      </c>
      <c r="AB164">
        <v>0</v>
      </c>
      <c r="AC164">
        <v>0</v>
      </c>
      <c r="AD164">
        <v>0</v>
      </c>
      <c r="AE164">
        <v>0</v>
      </c>
      <c r="AF164">
        <v>4.1000000000000014</v>
      </c>
      <c r="AG164">
        <v>0</v>
      </c>
      <c r="AH164">
        <v>0</v>
      </c>
      <c r="AI164">
        <v>0</v>
      </c>
      <c r="AL164">
        <v>0</v>
      </c>
      <c r="AM164">
        <v>0</v>
      </c>
      <c r="AN164">
        <v>0</v>
      </c>
    </row>
    <row r="165" spans="1:40" x14ac:dyDescent="0.25">
      <c r="A165">
        <v>164</v>
      </c>
      <c r="B165" t="s">
        <v>750</v>
      </c>
      <c r="C165" t="s">
        <v>751</v>
      </c>
      <c r="D165" t="s">
        <v>752</v>
      </c>
      <c r="E165" t="s">
        <v>753</v>
      </c>
      <c r="F165" t="s">
        <v>176</v>
      </c>
      <c r="G165">
        <v>3</v>
      </c>
      <c r="H165">
        <v>1</v>
      </c>
      <c r="I165">
        <v>918</v>
      </c>
      <c r="J165">
        <v>0</v>
      </c>
      <c r="K165">
        <v>0</v>
      </c>
      <c r="L165">
        <v>3496.7</v>
      </c>
      <c r="M165">
        <v>2643.3</v>
      </c>
      <c r="N165">
        <v>9580.6</v>
      </c>
      <c r="O165">
        <v>1024</v>
      </c>
      <c r="P165">
        <v>10979.2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1.28</v>
      </c>
      <c r="W165">
        <v>3.5</v>
      </c>
      <c r="X165">
        <v>0</v>
      </c>
      <c r="Y165">
        <v>0</v>
      </c>
      <c r="Z165">
        <v>0</v>
      </c>
      <c r="AA165">
        <v>1.28</v>
      </c>
      <c r="AB165">
        <v>0</v>
      </c>
      <c r="AC165">
        <v>0</v>
      </c>
      <c r="AD165">
        <v>0</v>
      </c>
      <c r="AE165">
        <v>0</v>
      </c>
      <c r="AF165">
        <v>1.28</v>
      </c>
      <c r="AG165">
        <v>0</v>
      </c>
      <c r="AH165">
        <v>1</v>
      </c>
      <c r="AI165">
        <v>1</v>
      </c>
      <c r="AJ165">
        <v>2024</v>
      </c>
      <c r="AK165">
        <v>1</v>
      </c>
      <c r="AL165">
        <v>0</v>
      </c>
      <c r="AM165">
        <v>0</v>
      </c>
      <c r="AN165">
        <v>0</v>
      </c>
    </row>
    <row r="166" spans="1:40" x14ac:dyDescent="0.25">
      <c r="A166">
        <v>165</v>
      </c>
      <c r="B166" t="s">
        <v>754</v>
      </c>
      <c r="C166" t="s">
        <v>755</v>
      </c>
      <c r="D166" t="s">
        <v>756</v>
      </c>
      <c r="E166" t="s">
        <v>582</v>
      </c>
      <c r="F166" t="s">
        <v>176</v>
      </c>
      <c r="G166">
        <v>1</v>
      </c>
      <c r="H166">
        <v>1</v>
      </c>
      <c r="I166">
        <v>393</v>
      </c>
      <c r="J166">
        <v>0</v>
      </c>
      <c r="K166">
        <v>1</v>
      </c>
      <c r="L166">
        <v>4487.8999999999996</v>
      </c>
      <c r="M166">
        <v>1607.4</v>
      </c>
      <c r="N166">
        <v>3210.8</v>
      </c>
      <c r="O166">
        <v>580.70000000000005</v>
      </c>
      <c r="P166">
        <v>4882.7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0.7</v>
      </c>
      <c r="W166">
        <v>3</v>
      </c>
      <c r="X166">
        <v>0.7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0.7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2023</v>
      </c>
      <c r="AK166">
        <v>2</v>
      </c>
      <c r="AL166">
        <v>0</v>
      </c>
      <c r="AM166">
        <v>0</v>
      </c>
      <c r="AN166">
        <v>0</v>
      </c>
    </row>
    <row r="167" spans="1:40" x14ac:dyDescent="0.25">
      <c r="A167">
        <v>166</v>
      </c>
      <c r="B167" t="s">
        <v>757</v>
      </c>
      <c r="C167" t="s">
        <v>758</v>
      </c>
      <c r="D167" t="s">
        <v>759</v>
      </c>
      <c r="E167" t="s">
        <v>257</v>
      </c>
      <c r="F167" t="s">
        <v>176</v>
      </c>
      <c r="G167">
        <v>1</v>
      </c>
      <c r="H167">
        <v>1</v>
      </c>
      <c r="I167">
        <v>668</v>
      </c>
      <c r="J167">
        <v>0</v>
      </c>
      <c r="K167">
        <v>0</v>
      </c>
      <c r="L167">
        <v>4563</v>
      </c>
      <c r="M167">
        <v>3628.5</v>
      </c>
      <c r="N167">
        <v>2936.3</v>
      </c>
      <c r="O167">
        <v>1004.3</v>
      </c>
      <c r="P167">
        <v>4608.1000000000004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0.42</v>
      </c>
      <c r="W167">
        <v>3</v>
      </c>
      <c r="X167">
        <v>0.42</v>
      </c>
      <c r="Y167">
        <v>0</v>
      </c>
      <c r="Z167">
        <v>0</v>
      </c>
      <c r="AA167">
        <v>0</v>
      </c>
      <c r="AB167">
        <v>0</v>
      </c>
      <c r="AC167">
        <v>0.42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2024</v>
      </c>
      <c r="AK167">
        <v>1</v>
      </c>
      <c r="AL167">
        <v>0</v>
      </c>
      <c r="AM167">
        <v>0</v>
      </c>
      <c r="AN167">
        <v>0</v>
      </c>
    </row>
    <row r="168" spans="1:40" x14ac:dyDescent="0.25">
      <c r="A168">
        <v>167</v>
      </c>
      <c r="B168" t="s">
        <v>760</v>
      </c>
      <c r="C168" t="s">
        <v>761</v>
      </c>
      <c r="D168" t="s">
        <v>762</v>
      </c>
      <c r="E168" t="s">
        <v>763</v>
      </c>
      <c r="F168" t="s">
        <v>710</v>
      </c>
      <c r="G168">
        <v>4</v>
      </c>
      <c r="H168">
        <v>2</v>
      </c>
      <c r="I168">
        <v>1371</v>
      </c>
      <c r="J168">
        <v>0</v>
      </c>
      <c r="K168">
        <v>1</v>
      </c>
      <c r="L168">
        <v>17414.7</v>
      </c>
      <c r="M168">
        <v>13372</v>
      </c>
      <c r="N168">
        <v>19625.099999999999</v>
      </c>
      <c r="O168">
        <v>15.7</v>
      </c>
      <c r="P168">
        <v>19527.5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14.22</v>
      </c>
      <c r="W168">
        <v>4</v>
      </c>
      <c r="X168">
        <v>14.21999999999997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11.11999999999998</v>
      </c>
      <c r="AE168">
        <v>2</v>
      </c>
      <c r="AF168">
        <v>1.1000000000000001</v>
      </c>
      <c r="AG168">
        <v>0.78199718706047783</v>
      </c>
      <c r="AH168">
        <v>1</v>
      </c>
      <c r="AI168">
        <v>3</v>
      </c>
      <c r="AJ168">
        <v>2024</v>
      </c>
      <c r="AK168">
        <v>1</v>
      </c>
      <c r="AL168">
        <v>1</v>
      </c>
      <c r="AM168">
        <v>1</v>
      </c>
      <c r="AN168">
        <v>0</v>
      </c>
    </row>
    <row r="169" spans="1:40" x14ac:dyDescent="0.25">
      <c r="A169">
        <v>168</v>
      </c>
      <c r="B169" t="s">
        <v>764</v>
      </c>
      <c r="C169" t="s">
        <v>765</v>
      </c>
      <c r="D169" t="s">
        <v>766</v>
      </c>
      <c r="E169" t="s">
        <v>767</v>
      </c>
      <c r="F169" t="s">
        <v>127</v>
      </c>
      <c r="G169">
        <v>2</v>
      </c>
      <c r="H169">
        <v>1</v>
      </c>
      <c r="I169">
        <v>1137</v>
      </c>
      <c r="J169">
        <v>0</v>
      </c>
      <c r="K169">
        <v>1</v>
      </c>
      <c r="L169">
        <v>10447.4</v>
      </c>
      <c r="M169">
        <v>6404.7</v>
      </c>
      <c r="N169">
        <v>12657.8</v>
      </c>
      <c r="O169">
        <v>712</v>
      </c>
      <c r="P169">
        <v>12560.2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2.35</v>
      </c>
      <c r="W169">
        <v>3.5</v>
      </c>
      <c r="X169">
        <v>2.350000000000001</v>
      </c>
      <c r="Y169">
        <v>0</v>
      </c>
      <c r="Z169">
        <v>0</v>
      </c>
      <c r="AA169">
        <v>0</v>
      </c>
      <c r="AB169">
        <v>0</v>
      </c>
      <c r="AC169">
        <v>1.05</v>
      </c>
      <c r="AD169">
        <v>1.3</v>
      </c>
      <c r="AE169">
        <v>0</v>
      </c>
      <c r="AF169">
        <v>0</v>
      </c>
      <c r="AG169">
        <v>1</v>
      </c>
      <c r="AH169">
        <v>1</v>
      </c>
      <c r="AI169">
        <v>3</v>
      </c>
      <c r="AJ169">
        <v>2023</v>
      </c>
      <c r="AK169">
        <v>2</v>
      </c>
      <c r="AL169">
        <v>0</v>
      </c>
      <c r="AM169">
        <v>0</v>
      </c>
      <c r="AN169">
        <v>0</v>
      </c>
    </row>
    <row r="170" spans="1:40" x14ac:dyDescent="0.25">
      <c r="A170">
        <v>169</v>
      </c>
      <c r="B170" t="s">
        <v>768</v>
      </c>
      <c r="C170" t="s">
        <v>769</v>
      </c>
      <c r="D170" t="s">
        <v>770</v>
      </c>
      <c r="E170" t="s">
        <v>367</v>
      </c>
      <c r="F170" t="s">
        <v>100</v>
      </c>
      <c r="G170">
        <v>1</v>
      </c>
      <c r="H170">
        <v>1</v>
      </c>
      <c r="I170">
        <v>1142</v>
      </c>
      <c r="J170">
        <v>0</v>
      </c>
      <c r="K170">
        <v>0</v>
      </c>
      <c r="L170">
        <v>1047.5999999999999</v>
      </c>
      <c r="M170">
        <v>523.79999999999995</v>
      </c>
      <c r="N170">
        <v>2745.9</v>
      </c>
      <c r="O170">
        <v>76.8</v>
      </c>
      <c r="P170">
        <v>29136.3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0.23</v>
      </c>
      <c r="W170">
        <v>7</v>
      </c>
      <c r="X170">
        <v>0.23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0.23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2023</v>
      </c>
      <c r="AK170">
        <v>2</v>
      </c>
      <c r="AL170">
        <v>0</v>
      </c>
      <c r="AM170">
        <v>0</v>
      </c>
      <c r="AN170">
        <v>0</v>
      </c>
    </row>
    <row r="171" spans="1:40" x14ac:dyDescent="0.25">
      <c r="A171">
        <v>170</v>
      </c>
      <c r="B171" t="s">
        <v>771</v>
      </c>
      <c r="C171" t="s">
        <v>772</v>
      </c>
      <c r="D171" t="s">
        <v>773</v>
      </c>
      <c r="E171" t="s">
        <v>448</v>
      </c>
      <c r="F171" t="s">
        <v>315</v>
      </c>
      <c r="G171">
        <v>1</v>
      </c>
      <c r="H171">
        <v>1</v>
      </c>
      <c r="I171">
        <v>706</v>
      </c>
      <c r="J171">
        <v>0</v>
      </c>
      <c r="K171">
        <v>0</v>
      </c>
      <c r="L171">
        <v>1399.3</v>
      </c>
      <c r="M171">
        <v>205.3</v>
      </c>
      <c r="N171">
        <v>2523.1999999999998</v>
      </c>
      <c r="O171">
        <v>248.6</v>
      </c>
      <c r="P171">
        <v>883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0.27</v>
      </c>
      <c r="W171">
        <v>3.5</v>
      </c>
      <c r="X171">
        <v>0.27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0.27</v>
      </c>
      <c r="AF171">
        <v>0</v>
      </c>
      <c r="AG171">
        <v>0</v>
      </c>
      <c r="AH171">
        <v>0</v>
      </c>
      <c r="AI171">
        <v>0</v>
      </c>
      <c r="AL171">
        <v>0</v>
      </c>
      <c r="AM171">
        <v>0</v>
      </c>
      <c r="AN171">
        <v>0</v>
      </c>
    </row>
    <row r="172" spans="1:40" x14ac:dyDescent="0.25">
      <c r="A172">
        <v>171</v>
      </c>
      <c r="B172" t="s">
        <v>774</v>
      </c>
      <c r="C172" t="s">
        <v>775</v>
      </c>
      <c r="D172" t="s">
        <v>776</v>
      </c>
      <c r="E172" t="s">
        <v>777</v>
      </c>
      <c r="F172" t="s">
        <v>100</v>
      </c>
      <c r="G172">
        <v>3</v>
      </c>
      <c r="H172">
        <v>1</v>
      </c>
      <c r="I172">
        <v>1887</v>
      </c>
      <c r="J172">
        <v>1</v>
      </c>
      <c r="K172">
        <v>0</v>
      </c>
      <c r="L172">
        <v>4729.7</v>
      </c>
      <c r="M172">
        <v>3206.6</v>
      </c>
      <c r="N172">
        <v>6491.3</v>
      </c>
      <c r="O172">
        <v>314.10000000000002</v>
      </c>
      <c r="P172">
        <v>4628.3999999999996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3</v>
      </c>
      <c r="X172">
        <v>0.99999999999999989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0.6</v>
      </c>
      <c r="AE172">
        <v>0.4</v>
      </c>
      <c r="AF172">
        <v>0</v>
      </c>
      <c r="AG172">
        <v>0.6</v>
      </c>
      <c r="AH172">
        <v>0</v>
      </c>
      <c r="AI172">
        <v>0</v>
      </c>
      <c r="AL172">
        <v>0</v>
      </c>
      <c r="AM172">
        <v>0</v>
      </c>
      <c r="AN172">
        <v>0</v>
      </c>
    </row>
    <row r="173" spans="1:40" x14ac:dyDescent="0.25">
      <c r="A173">
        <v>172</v>
      </c>
      <c r="B173" t="s">
        <v>778</v>
      </c>
      <c r="C173" t="s">
        <v>779</v>
      </c>
      <c r="D173" t="s">
        <v>780</v>
      </c>
      <c r="E173" t="s">
        <v>721</v>
      </c>
      <c r="F173" t="s">
        <v>127</v>
      </c>
      <c r="G173">
        <v>1</v>
      </c>
      <c r="H173">
        <v>1</v>
      </c>
      <c r="I173">
        <v>371</v>
      </c>
      <c r="J173">
        <v>0</v>
      </c>
      <c r="K173">
        <v>0</v>
      </c>
      <c r="L173">
        <v>12975.4</v>
      </c>
      <c r="M173">
        <v>9025.7000000000007</v>
      </c>
      <c r="N173">
        <v>15185.8</v>
      </c>
      <c r="O173">
        <v>305.10000000000002</v>
      </c>
      <c r="P173">
        <v>15088.2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0.45</v>
      </c>
      <c r="W173">
        <v>3</v>
      </c>
      <c r="X173">
        <v>0.45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0.45</v>
      </c>
      <c r="AE173">
        <v>0</v>
      </c>
      <c r="AF173">
        <v>0</v>
      </c>
      <c r="AG173">
        <v>1</v>
      </c>
      <c r="AH173">
        <v>0</v>
      </c>
      <c r="AI173">
        <v>0</v>
      </c>
      <c r="AL173">
        <v>0</v>
      </c>
      <c r="AM173">
        <v>0</v>
      </c>
      <c r="AN173">
        <v>0</v>
      </c>
    </row>
    <row r="174" spans="1:40" x14ac:dyDescent="0.25">
      <c r="A174">
        <v>173</v>
      </c>
      <c r="B174" t="s">
        <v>781</v>
      </c>
      <c r="C174" t="s">
        <v>782</v>
      </c>
      <c r="D174" t="s">
        <v>783</v>
      </c>
      <c r="E174" t="s">
        <v>99</v>
      </c>
      <c r="F174" t="s">
        <v>100</v>
      </c>
      <c r="G174">
        <v>1</v>
      </c>
      <c r="H174">
        <v>1</v>
      </c>
      <c r="I174">
        <v>1377</v>
      </c>
      <c r="J174">
        <v>0</v>
      </c>
      <c r="K174">
        <v>1</v>
      </c>
      <c r="L174">
        <v>1857.9</v>
      </c>
      <c r="M174">
        <v>2008</v>
      </c>
      <c r="N174">
        <v>2128.1</v>
      </c>
      <c r="O174">
        <v>1110.0999999999999</v>
      </c>
      <c r="P174">
        <v>2176.1999999999998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0.28999999999999998</v>
      </c>
      <c r="W174">
        <v>12</v>
      </c>
      <c r="X174">
        <v>0.28999999999999998</v>
      </c>
      <c r="Y174">
        <v>0</v>
      </c>
      <c r="Z174">
        <v>0</v>
      </c>
      <c r="AA174">
        <v>0</v>
      </c>
      <c r="AB174">
        <v>0</v>
      </c>
      <c r="AC174">
        <v>0.28999999999999998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2</v>
      </c>
      <c r="AJ174">
        <v>2022</v>
      </c>
      <c r="AK174">
        <v>3</v>
      </c>
      <c r="AL174">
        <v>0</v>
      </c>
      <c r="AM174">
        <v>0</v>
      </c>
      <c r="AN174">
        <v>0</v>
      </c>
    </row>
    <row r="175" spans="1:40" x14ac:dyDescent="0.25">
      <c r="A175">
        <v>174</v>
      </c>
      <c r="B175" t="s">
        <v>784</v>
      </c>
      <c r="C175" t="s">
        <v>785</v>
      </c>
      <c r="D175" t="s">
        <v>786</v>
      </c>
      <c r="E175" t="s">
        <v>140</v>
      </c>
      <c r="F175" t="s">
        <v>100</v>
      </c>
      <c r="G175">
        <v>2</v>
      </c>
      <c r="H175">
        <v>1</v>
      </c>
      <c r="I175">
        <v>4331</v>
      </c>
      <c r="J175">
        <v>0</v>
      </c>
      <c r="K175">
        <v>1</v>
      </c>
      <c r="L175">
        <v>675.3</v>
      </c>
      <c r="M175">
        <v>916.5</v>
      </c>
      <c r="N175">
        <v>2386.1</v>
      </c>
      <c r="O175">
        <v>315.89999999999998</v>
      </c>
      <c r="P175">
        <v>523.20000000000005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0.82</v>
      </c>
      <c r="W175">
        <v>6</v>
      </c>
      <c r="X175">
        <v>0.82</v>
      </c>
      <c r="Y175">
        <v>0</v>
      </c>
      <c r="Z175">
        <v>0</v>
      </c>
      <c r="AA175">
        <v>0</v>
      </c>
      <c r="AB175">
        <v>0</v>
      </c>
      <c r="AC175">
        <v>0.82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2024</v>
      </c>
      <c r="AK175">
        <v>1</v>
      </c>
      <c r="AL175">
        <v>0</v>
      </c>
      <c r="AM175">
        <v>0</v>
      </c>
      <c r="AN175">
        <v>0</v>
      </c>
    </row>
    <row r="176" spans="1:40" x14ac:dyDescent="0.25">
      <c r="A176">
        <v>175</v>
      </c>
      <c r="B176" t="s">
        <v>787</v>
      </c>
      <c r="C176" t="s">
        <v>788</v>
      </c>
      <c r="D176" t="s">
        <v>789</v>
      </c>
      <c r="E176" t="s">
        <v>425</v>
      </c>
      <c r="F176" t="s">
        <v>100</v>
      </c>
      <c r="G176">
        <v>1</v>
      </c>
      <c r="H176">
        <v>1</v>
      </c>
      <c r="I176">
        <v>630</v>
      </c>
      <c r="J176">
        <v>0</v>
      </c>
      <c r="K176">
        <v>1</v>
      </c>
      <c r="L176">
        <v>1844.4</v>
      </c>
      <c r="M176">
        <v>1994.5</v>
      </c>
      <c r="N176">
        <v>2203.5</v>
      </c>
      <c r="O176">
        <v>572.6</v>
      </c>
      <c r="P176">
        <v>1699.5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0.21</v>
      </c>
      <c r="W176">
        <v>3.5</v>
      </c>
      <c r="X176">
        <v>0.21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0.21</v>
      </c>
      <c r="AE176">
        <v>0</v>
      </c>
      <c r="AF176">
        <v>0</v>
      </c>
      <c r="AG176">
        <v>1</v>
      </c>
      <c r="AH176">
        <v>0</v>
      </c>
      <c r="AI176">
        <v>0</v>
      </c>
      <c r="AL176">
        <v>0</v>
      </c>
      <c r="AM176">
        <v>0</v>
      </c>
      <c r="AN176">
        <v>0</v>
      </c>
    </row>
    <row r="177" spans="1:40" x14ac:dyDescent="0.25">
      <c r="A177">
        <v>176</v>
      </c>
      <c r="B177" t="s">
        <v>790</v>
      </c>
      <c r="C177" t="s">
        <v>791</v>
      </c>
      <c r="D177" t="s">
        <v>792</v>
      </c>
      <c r="E177" t="s">
        <v>793</v>
      </c>
      <c r="F177" t="s">
        <v>363</v>
      </c>
      <c r="G177">
        <v>2</v>
      </c>
      <c r="H177">
        <v>1</v>
      </c>
      <c r="I177">
        <v>1018</v>
      </c>
      <c r="J177">
        <v>0</v>
      </c>
      <c r="K177">
        <v>0</v>
      </c>
      <c r="L177">
        <v>3011.5</v>
      </c>
      <c r="M177">
        <v>2376.1999999999998</v>
      </c>
      <c r="N177">
        <v>4230.3999999999996</v>
      </c>
      <c r="O177">
        <v>719.4</v>
      </c>
      <c r="P177">
        <v>30843.5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0.3</v>
      </c>
      <c r="W177">
        <v>3</v>
      </c>
      <c r="X177">
        <v>0.1</v>
      </c>
      <c r="Y177">
        <v>0</v>
      </c>
      <c r="Z177">
        <v>0</v>
      </c>
      <c r="AA177">
        <v>0.2</v>
      </c>
      <c r="AB177">
        <v>0</v>
      </c>
      <c r="AC177">
        <v>0</v>
      </c>
      <c r="AD177">
        <v>0.1</v>
      </c>
      <c r="AE177">
        <v>0</v>
      </c>
      <c r="AF177">
        <v>0.2</v>
      </c>
      <c r="AG177">
        <v>0.33333333333333331</v>
      </c>
      <c r="AH177">
        <v>0</v>
      </c>
      <c r="AI177">
        <v>0</v>
      </c>
      <c r="AL177">
        <v>0</v>
      </c>
      <c r="AM177">
        <v>0</v>
      </c>
      <c r="AN177">
        <v>0</v>
      </c>
    </row>
    <row r="178" spans="1:40" x14ac:dyDescent="0.25">
      <c r="A178">
        <v>177</v>
      </c>
      <c r="B178" t="s">
        <v>794</v>
      </c>
      <c r="C178" t="s">
        <v>795</v>
      </c>
      <c r="D178" t="s">
        <v>796</v>
      </c>
      <c r="E178" t="s">
        <v>745</v>
      </c>
      <c r="F178" t="s">
        <v>105</v>
      </c>
      <c r="G178">
        <v>2</v>
      </c>
      <c r="H178">
        <v>1</v>
      </c>
      <c r="I178">
        <v>1333</v>
      </c>
      <c r="J178">
        <v>0</v>
      </c>
      <c r="K178">
        <v>0</v>
      </c>
      <c r="L178">
        <v>5003.7</v>
      </c>
      <c r="M178">
        <v>2670.9</v>
      </c>
      <c r="N178">
        <v>6712.7</v>
      </c>
      <c r="O178">
        <v>1226.5</v>
      </c>
      <c r="P178">
        <v>6877.3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1.86</v>
      </c>
      <c r="W178">
        <v>3.5</v>
      </c>
      <c r="X178">
        <v>1.860000000000001</v>
      </c>
      <c r="Y178">
        <v>0</v>
      </c>
      <c r="Z178">
        <v>0</v>
      </c>
      <c r="AA178">
        <v>0</v>
      </c>
      <c r="AB178">
        <v>0</v>
      </c>
      <c r="AC178">
        <v>1.860000000000001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2022</v>
      </c>
      <c r="AK178">
        <v>3</v>
      </c>
      <c r="AL178">
        <v>0</v>
      </c>
      <c r="AM178">
        <v>0</v>
      </c>
      <c r="AN178">
        <v>0</v>
      </c>
    </row>
    <row r="179" spans="1:40" x14ac:dyDescent="0.25">
      <c r="A179">
        <v>178</v>
      </c>
      <c r="B179" t="s">
        <v>797</v>
      </c>
      <c r="C179" t="s">
        <v>798</v>
      </c>
      <c r="D179" t="s">
        <v>799</v>
      </c>
      <c r="E179" t="s">
        <v>800</v>
      </c>
      <c r="F179" t="s">
        <v>127</v>
      </c>
      <c r="G179">
        <v>1</v>
      </c>
      <c r="H179">
        <v>1</v>
      </c>
      <c r="I179">
        <v>719</v>
      </c>
      <c r="J179">
        <v>0</v>
      </c>
      <c r="K179">
        <v>0</v>
      </c>
      <c r="L179">
        <v>7867.5</v>
      </c>
      <c r="M179">
        <v>3824.8</v>
      </c>
      <c r="N179">
        <v>10077.9</v>
      </c>
      <c r="O179">
        <v>1206.5999999999999</v>
      </c>
      <c r="P179">
        <v>9980.2999999999993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0.06</v>
      </c>
      <c r="W179">
        <v>3.5</v>
      </c>
      <c r="X179">
        <v>0.06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0.06</v>
      </c>
      <c r="AE179">
        <v>0</v>
      </c>
      <c r="AF179">
        <v>0</v>
      </c>
      <c r="AG179">
        <v>1</v>
      </c>
      <c r="AH179">
        <v>0</v>
      </c>
      <c r="AI179">
        <v>0</v>
      </c>
      <c r="AL179">
        <v>0</v>
      </c>
      <c r="AM179">
        <v>0</v>
      </c>
      <c r="AN179">
        <v>0</v>
      </c>
    </row>
    <row r="180" spans="1:40" x14ac:dyDescent="0.25">
      <c r="A180">
        <v>179</v>
      </c>
      <c r="B180" t="s">
        <v>801</v>
      </c>
      <c r="C180" t="s">
        <v>802</v>
      </c>
      <c r="D180" t="s">
        <v>803</v>
      </c>
      <c r="E180" t="s">
        <v>804</v>
      </c>
      <c r="F180" t="s">
        <v>213</v>
      </c>
      <c r="G180">
        <v>2</v>
      </c>
      <c r="H180">
        <v>2</v>
      </c>
      <c r="I180">
        <v>3708</v>
      </c>
      <c r="J180">
        <v>0</v>
      </c>
      <c r="K180">
        <v>1</v>
      </c>
      <c r="L180">
        <v>2252.4</v>
      </c>
      <c r="M180">
        <v>1999.5</v>
      </c>
      <c r="N180">
        <v>3967.4</v>
      </c>
      <c r="O180">
        <v>1087.9000000000001</v>
      </c>
      <c r="P180">
        <v>2366.1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1.59</v>
      </c>
      <c r="W180">
        <v>3</v>
      </c>
      <c r="X180">
        <v>1.59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1.59</v>
      </c>
      <c r="AE180">
        <v>0</v>
      </c>
      <c r="AF180">
        <v>0</v>
      </c>
      <c r="AG180">
        <v>1</v>
      </c>
      <c r="AH180">
        <v>0</v>
      </c>
      <c r="AI180">
        <v>0</v>
      </c>
      <c r="AL180">
        <v>0</v>
      </c>
      <c r="AM180">
        <v>0</v>
      </c>
      <c r="AN180">
        <v>0</v>
      </c>
    </row>
    <row r="181" spans="1:40" x14ac:dyDescent="0.25">
      <c r="A181">
        <v>180</v>
      </c>
      <c r="B181" t="s">
        <v>805</v>
      </c>
      <c r="C181" t="s">
        <v>806</v>
      </c>
      <c r="D181" t="s">
        <v>807</v>
      </c>
      <c r="E181" t="s">
        <v>808</v>
      </c>
      <c r="F181" t="s">
        <v>809</v>
      </c>
      <c r="G181">
        <v>2</v>
      </c>
      <c r="H181">
        <v>2</v>
      </c>
      <c r="I181">
        <v>1022</v>
      </c>
      <c r="J181">
        <v>0</v>
      </c>
      <c r="K181">
        <v>0</v>
      </c>
      <c r="L181">
        <v>12390.8</v>
      </c>
      <c r="M181">
        <v>8348.1</v>
      </c>
      <c r="N181">
        <v>14601.2</v>
      </c>
      <c r="O181">
        <v>2435.3000000000002</v>
      </c>
      <c r="P181">
        <v>14503.6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2</v>
      </c>
      <c r="X181">
        <v>0</v>
      </c>
      <c r="Y181">
        <v>0</v>
      </c>
      <c r="Z181">
        <v>0.3</v>
      </c>
      <c r="AA181">
        <v>0</v>
      </c>
      <c r="AB181">
        <v>3.700000000000002</v>
      </c>
      <c r="AC181">
        <v>0</v>
      </c>
      <c r="AD181">
        <v>0.3</v>
      </c>
      <c r="AE181">
        <v>0</v>
      </c>
      <c r="AF181">
        <v>3.700000000000002</v>
      </c>
      <c r="AG181">
        <v>7.4999999999999983E-2</v>
      </c>
      <c r="AH181">
        <v>1</v>
      </c>
      <c r="AI181">
        <v>1</v>
      </c>
      <c r="AJ181">
        <v>2023</v>
      </c>
      <c r="AK181">
        <v>2</v>
      </c>
      <c r="AL181">
        <v>0</v>
      </c>
      <c r="AM181">
        <v>0</v>
      </c>
      <c r="AN181">
        <v>0</v>
      </c>
    </row>
    <row r="182" spans="1:40" x14ac:dyDescent="0.25">
      <c r="A182">
        <v>181</v>
      </c>
      <c r="B182" t="s">
        <v>810</v>
      </c>
      <c r="C182" t="s">
        <v>811</v>
      </c>
      <c r="D182" t="s">
        <v>812</v>
      </c>
      <c r="E182" t="s">
        <v>714</v>
      </c>
      <c r="F182" t="s">
        <v>310</v>
      </c>
      <c r="G182">
        <v>1</v>
      </c>
      <c r="H182">
        <v>1</v>
      </c>
      <c r="I182">
        <v>385</v>
      </c>
      <c r="J182">
        <v>0</v>
      </c>
      <c r="K182">
        <v>1</v>
      </c>
      <c r="L182">
        <v>21696.1</v>
      </c>
      <c r="M182">
        <v>7530</v>
      </c>
      <c r="N182">
        <v>23906.5</v>
      </c>
      <c r="O182">
        <v>558.6</v>
      </c>
      <c r="P182">
        <v>23808.9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0.43</v>
      </c>
      <c r="W182">
        <v>3</v>
      </c>
      <c r="X182">
        <v>0.43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0.43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2023</v>
      </c>
      <c r="AK182">
        <v>2</v>
      </c>
      <c r="AL182">
        <v>0</v>
      </c>
      <c r="AM182">
        <v>0</v>
      </c>
      <c r="AN182">
        <v>0</v>
      </c>
    </row>
    <row r="183" spans="1:40" x14ac:dyDescent="0.25">
      <c r="A183">
        <v>182</v>
      </c>
      <c r="B183" t="s">
        <v>813</v>
      </c>
      <c r="C183" t="s">
        <v>814</v>
      </c>
      <c r="D183" t="s">
        <v>815</v>
      </c>
      <c r="E183" t="s">
        <v>305</v>
      </c>
      <c r="F183" t="s">
        <v>127</v>
      </c>
      <c r="G183">
        <v>1</v>
      </c>
      <c r="H183">
        <v>1</v>
      </c>
      <c r="I183">
        <v>507</v>
      </c>
      <c r="J183">
        <v>0</v>
      </c>
      <c r="K183">
        <v>0</v>
      </c>
      <c r="L183">
        <v>23282.2</v>
      </c>
      <c r="M183">
        <v>19332.400000000001</v>
      </c>
      <c r="N183">
        <v>25492.6</v>
      </c>
      <c r="O183">
        <v>37.200000000000003</v>
      </c>
      <c r="P183">
        <v>25394.9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4.6500000000000004</v>
      </c>
      <c r="W183">
        <v>3</v>
      </c>
      <c r="X183">
        <v>0.4</v>
      </c>
      <c r="Y183">
        <v>0</v>
      </c>
      <c r="Z183">
        <v>0.99999999999999989</v>
      </c>
      <c r="AA183">
        <v>3.2500000000000009</v>
      </c>
      <c r="AB183">
        <v>0</v>
      </c>
      <c r="AC183">
        <v>0</v>
      </c>
      <c r="AD183">
        <v>0</v>
      </c>
      <c r="AE183">
        <v>0.2</v>
      </c>
      <c r="AF183">
        <v>4.45</v>
      </c>
      <c r="AG183">
        <v>0</v>
      </c>
      <c r="AH183">
        <v>0</v>
      </c>
      <c r="AI183">
        <v>0</v>
      </c>
      <c r="AL183">
        <v>0</v>
      </c>
      <c r="AM183">
        <v>0</v>
      </c>
      <c r="AN183">
        <v>0</v>
      </c>
    </row>
    <row r="184" spans="1:40" x14ac:dyDescent="0.25">
      <c r="A184">
        <v>183</v>
      </c>
      <c r="B184" t="s">
        <v>816</v>
      </c>
      <c r="C184" t="s">
        <v>817</v>
      </c>
      <c r="D184" t="s">
        <v>818</v>
      </c>
      <c r="E184" t="s">
        <v>819</v>
      </c>
      <c r="F184" t="s">
        <v>176</v>
      </c>
      <c r="G184">
        <v>1</v>
      </c>
      <c r="H184">
        <v>1</v>
      </c>
      <c r="I184">
        <v>216</v>
      </c>
      <c r="J184">
        <v>0</v>
      </c>
      <c r="K184">
        <v>1</v>
      </c>
      <c r="L184">
        <v>2846.7</v>
      </c>
      <c r="M184">
        <v>2090.9</v>
      </c>
      <c r="N184">
        <v>6585.1</v>
      </c>
      <c r="O184">
        <v>910.7</v>
      </c>
      <c r="P184">
        <v>8256.9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</v>
      </c>
      <c r="W184">
        <v>3</v>
      </c>
      <c r="X184">
        <v>0.46</v>
      </c>
      <c r="Y184">
        <v>0</v>
      </c>
      <c r="Z184">
        <v>0</v>
      </c>
      <c r="AA184">
        <v>0</v>
      </c>
      <c r="AB184">
        <v>0</v>
      </c>
      <c r="AC184">
        <v>0.46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L184">
        <v>0</v>
      </c>
      <c r="AM184">
        <v>0</v>
      </c>
      <c r="AN184">
        <v>0</v>
      </c>
    </row>
    <row r="185" spans="1:40" x14ac:dyDescent="0.25">
      <c r="A185">
        <v>184</v>
      </c>
      <c r="B185" t="s">
        <v>820</v>
      </c>
      <c r="C185" t="s">
        <v>821</v>
      </c>
      <c r="D185" t="s">
        <v>822</v>
      </c>
      <c r="E185" t="s">
        <v>354</v>
      </c>
      <c r="F185" t="s">
        <v>176</v>
      </c>
      <c r="G185">
        <v>1</v>
      </c>
      <c r="H185">
        <v>1</v>
      </c>
      <c r="I185">
        <v>259</v>
      </c>
      <c r="J185">
        <v>0</v>
      </c>
      <c r="K185">
        <v>0</v>
      </c>
      <c r="L185">
        <v>5125.6000000000004</v>
      </c>
      <c r="M185">
        <v>5156.3</v>
      </c>
      <c r="N185">
        <v>12297.5</v>
      </c>
      <c r="O185">
        <v>431.3</v>
      </c>
      <c r="P185">
        <v>13969.3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0.71</v>
      </c>
      <c r="W185">
        <v>3</v>
      </c>
      <c r="X185">
        <v>0.71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0.2</v>
      </c>
      <c r="AE185">
        <v>0.51</v>
      </c>
      <c r="AF185">
        <v>0</v>
      </c>
      <c r="AG185">
        <v>0.28169014084507038</v>
      </c>
      <c r="AH185">
        <v>0</v>
      </c>
      <c r="AI185">
        <v>0</v>
      </c>
      <c r="AL185">
        <v>0</v>
      </c>
      <c r="AM185">
        <v>0</v>
      </c>
      <c r="AN185">
        <v>0</v>
      </c>
    </row>
    <row r="186" spans="1:40" x14ac:dyDescent="0.25">
      <c r="A186">
        <v>185</v>
      </c>
      <c r="B186" t="s">
        <v>823</v>
      </c>
      <c r="C186" t="s">
        <v>824</v>
      </c>
      <c r="D186" t="s">
        <v>825</v>
      </c>
      <c r="E186" t="s">
        <v>826</v>
      </c>
      <c r="F186" t="s">
        <v>315</v>
      </c>
      <c r="G186">
        <v>2</v>
      </c>
      <c r="H186">
        <v>1</v>
      </c>
      <c r="I186">
        <v>1509</v>
      </c>
      <c r="J186">
        <v>1</v>
      </c>
      <c r="K186">
        <v>0</v>
      </c>
      <c r="O186">
        <v>2414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5.26</v>
      </c>
      <c r="W186">
        <v>3</v>
      </c>
      <c r="X186">
        <v>0</v>
      </c>
      <c r="Y186">
        <v>0</v>
      </c>
      <c r="Z186">
        <v>0</v>
      </c>
      <c r="AA186">
        <v>0.3</v>
      </c>
      <c r="AB186">
        <v>4.9599999999999982</v>
      </c>
      <c r="AC186">
        <v>0</v>
      </c>
      <c r="AD186">
        <v>0</v>
      </c>
      <c r="AE186">
        <v>0</v>
      </c>
      <c r="AF186">
        <v>5.2599999999999971</v>
      </c>
      <c r="AG186">
        <v>0</v>
      </c>
      <c r="AH186">
        <v>1</v>
      </c>
      <c r="AI186">
        <v>1</v>
      </c>
      <c r="AJ186">
        <v>2021</v>
      </c>
      <c r="AK186">
        <v>4</v>
      </c>
      <c r="AL186">
        <v>0</v>
      </c>
      <c r="AM186">
        <v>0</v>
      </c>
      <c r="AN186">
        <v>0</v>
      </c>
    </row>
    <row r="187" spans="1:40" x14ac:dyDescent="0.25">
      <c r="A187">
        <v>186</v>
      </c>
      <c r="B187" t="s">
        <v>827</v>
      </c>
      <c r="C187" t="s">
        <v>828</v>
      </c>
      <c r="D187" t="s">
        <v>829</v>
      </c>
      <c r="E187" t="s">
        <v>830</v>
      </c>
      <c r="F187" t="s">
        <v>315</v>
      </c>
      <c r="G187">
        <v>2</v>
      </c>
      <c r="H187">
        <v>1</v>
      </c>
      <c r="I187">
        <v>702</v>
      </c>
      <c r="J187">
        <v>1</v>
      </c>
      <c r="K187">
        <v>0</v>
      </c>
      <c r="O187">
        <v>8055.3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17.11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17.109999999999971</v>
      </c>
      <c r="AC187">
        <v>0</v>
      </c>
      <c r="AD187">
        <v>0</v>
      </c>
      <c r="AE187">
        <v>0</v>
      </c>
      <c r="AF187">
        <v>17.109999999999971</v>
      </c>
      <c r="AG187">
        <v>0</v>
      </c>
      <c r="AH187">
        <v>1</v>
      </c>
      <c r="AI187">
        <v>1</v>
      </c>
      <c r="AJ187">
        <v>2024</v>
      </c>
      <c r="AK187">
        <v>1</v>
      </c>
      <c r="AL187">
        <v>0</v>
      </c>
      <c r="AM187">
        <v>0</v>
      </c>
      <c r="AN187">
        <v>0</v>
      </c>
    </row>
    <row r="188" spans="1:40" x14ac:dyDescent="0.25">
      <c r="A188">
        <v>187</v>
      </c>
      <c r="B188" t="s">
        <v>831</v>
      </c>
      <c r="C188" t="s">
        <v>832</v>
      </c>
      <c r="D188" t="s">
        <v>833</v>
      </c>
      <c r="E188" t="s">
        <v>834</v>
      </c>
      <c r="F188" t="s">
        <v>100</v>
      </c>
      <c r="G188">
        <v>2</v>
      </c>
      <c r="H188">
        <v>1</v>
      </c>
      <c r="I188">
        <v>5063</v>
      </c>
      <c r="J188">
        <v>0</v>
      </c>
      <c r="K188">
        <v>1</v>
      </c>
      <c r="L188">
        <v>868.8</v>
      </c>
      <c r="M188">
        <v>979.1</v>
      </c>
      <c r="N188">
        <v>2413.4</v>
      </c>
      <c r="O188">
        <v>126.3</v>
      </c>
      <c r="P188">
        <v>28513.599999999999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0.32</v>
      </c>
      <c r="W188">
        <v>6</v>
      </c>
      <c r="X188">
        <v>0.32000000000000012</v>
      </c>
      <c r="Y188">
        <v>0</v>
      </c>
      <c r="Z188">
        <v>0</v>
      </c>
      <c r="AA188">
        <v>0</v>
      </c>
      <c r="AB188">
        <v>0</v>
      </c>
      <c r="AC188">
        <v>0.32000000000000012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L188">
        <v>0</v>
      </c>
      <c r="AM188">
        <v>0</v>
      </c>
      <c r="AN188">
        <v>0</v>
      </c>
    </row>
    <row r="189" spans="1:40" x14ac:dyDescent="0.25">
      <c r="A189">
        <v>188</v>
      </c>
      <c r="B189" t="s">
        <v>835</v>
      </c>
      <c r="C189" t="s">
        <v>836</v>
      </c>
      <c r="D189" t="s">
        <v>837</v>
      </c>
      <c r="E189" t="s">
        <v>624</v>
      </c>
      <c r="F189" t="s">
        <v>315</v>
      </c>
      <c r="G189">
        <v>1</v>
      </c>
      <c r="H189">
        <v>1</v>
      </c>
      <c r="I189">
        <v>923</v>
      </c>
      <c r="J189">
        <v>0</v>
      </c>
      <c r="K189">
        <v>0</v>
      </c>
      <c r="L189">
        <v>747.7</v>
      </c>
      <c r="M189">
        <v>826.7</v>
      </c>
      <c r="N189">
        <v>1900.4</v>
      </c>
      <c r="O189">
        <v>218.6</v>
      </c>
      <c r="P189">
        <v>550.5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0.41</v>
      </c>
      <c r="W189">
        <v>3.5</v>
      </c>
      <c r="X189">
        <v>0.41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0.41</v>
      </c>
      <c r="AE189">
        <v>0</v>
      </c>
      <c r="AF189">
        <v>0</v>
      </c>
      <c r="AG189">
        <v>1</v>
      </c>
      <c r="AH189">
        <v>0</v>
      </c>
      <c r="AI189">
        <v>0</v>
      </c>
      <c r="AL189">
        <v>0</v>
      </c>
      <c r="AM189">
        <v>0</v>
      </c>
      <c r="AN189">
        <v>0</v>
      </c>
    </row>
    <row r="190" spans="1:40" x14ac:dyDescent="0.25">
      <c r="A190">
        <v>189</v>
      </c>
      <c r="B190" t="s">
        <v>838</v>
      </c>
      <c r="C190" t="s">
        <v>839</v>
      </c>
      <c r="D190" t="s">
        <v>840</v>
      </c>
      <c r="E190" t="s">
        <v>841</v>
      </c>
      <c r="F190" t="s">
        <v>315</v>
      </c>
      <c r="G190">
        <v>2</v>
      </c>
      <c r="H190">
        <v>1</v>
      </c>
      <c r="I190">
        <v>1550</v>
      </c>
      <c r="J190">
        <v>1</v>
      </c>
      <c r="K190">
        <v>0</v>
      </c>
      <c r="L190">
        <v>0</v>
      </c>
      <c r="M190">
        <v>635.29999999999995</v>
      </c>
      <c r="N190">
        <v>1218.9000000000001</v>
      </c>
      <c r="O190">
        <v>374</v>
      </c>
      <c r="P190">
        <v>27832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0.53</v>
      </c>
      <c r="W190">
        <v>5</v>
      </c>
      <c r="X190">
        <v>0.53</v>
      </c>
      <c r="Y190">
        <v>0</v>
      </c>
      <c r="Z190">
        <v>0</v>
      </c>
      <c r="AA190">
        <v>0</v>
      </c>
      <c r="AB190">
        <v>0</v>
      </c>
      <c r="AC190">
        <v>0.53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L190">
        <v>0</v>
      </c>
      <c r="AM190">
        <v>0</v>
      </c>
      <c r="AN190">
        <v>0</v>
      </c>
    </row>
    <row r="191" spans="1:40" x14ac:dyDescent="0.25">
      <c r="A191">
        <v>190</v>
      </c>
      <c r="B191" t="s">
        <v>842</v>
      </c>
      <c r="C191" t="s">
        <v>843</v>
      </c>
      <c r="D191" t="s">
        <v>844</v>
      </c>
      <c r="E191" t="s">
        <v>401</v>
      </c>
      <c r="F191" t="s">
        <v>100</v>
      </c>
      <c r="G191">
        <v>1</v>
      </c>
      <c r="H191">
        <v>1</v>
      </c>
      <c r="I191">
        <v>775</v>
      </c>
      <c r="J191">
        <v>0</v>
      </c>
      <c r="K191">
        <v>1</v>
      </c>
      <c r="L191">
        <v>3005.6</v>
      </c>
      <c r="M191">
        <v>1468.3</v>
      </c>
      <c r="N191">
        <v>4799.3</v>
      </c>
      <c r="O191">
        <v>181.9</v>
      </c>
      <c r="P191">
        <v>2936.4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0.28999999999999998</v>
      </c>
      <c r="W191">
        <v>3</v>
      </c>
      <c r="X191">
        <v>0.28999999999999998</v>
      </c>
      <c r="Y191">
        <v>0</v>
      </c>
      <c r="Z191">
        <v>0</v>
      </c>
      <c r="AA191">
        <v>0</v>
      </c>
      <c r="AB191">
        <v>0</v>
      </c>
      <c r="AC191">
        <v>0.28999999999999998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L191">
        <v>0</v>
      </c>
      <c r="AM191">
        <v>0</v>
      </c>
      <c r="AN191">
        <v>0</v>
      </c>
    </row>
    <row r="192" spans="1:40" x14ac:dyDescent="0.25">
      <c r="A192">
        <v>191</v>
      </c>
      <c r="B192" t="s">
        <v>845</v>
      </c>
      <c r="C192" t="s">
        <v>846</v>
      </c>
      <c r="D192" t="s">
        <v>847</v>
      </c>
      <c r="E192" t="s">
        <v>339</v>
      </c>
      <c r="F192" t="s">
        <v>310</v>
      </c>
      <c r="G192">
        <v>1</v>
      </c>
      <c r="H192">
        <v>1</v>
      </c>
      <c r="I192">
        <v>303</v>
      </c>
      <c r="J192">
        <v>0</v>
      </c>
      <c r="K192">
        <v>1</v>
      </c>
      <c r="L192">
        <v>13549.6</v>
      </c>
      <c r="M192">
        <v>9506.7999999999993</v>
      </c>
      <c r="N192">
        <v>15760</v>
      </c>
      <c r="O192">
        <v>3510.6</v>
      </c>
      <c r="P192">
        <v>15662.3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2.06</v>
      </c>
      <c r="W192">
        <v>3.5</v>
      </c>
      <c r="X192">
        <v>1.900000000000001</v>
      </c>
      <c r="Y192">
        <v>0</v>
      </c>
      <c r="Z192">
        <v>0</v>
      </c>
      <c r="AA192">
        <v>0</v>
      </c>
      <c r="AB192">
        <v>0.16</v>
      </c>
      <c r="AC192">
        <v>0</v>
      </c>
      <c r="AD192">
        <v>1.1000000000000001</v>
      </c>
      <c r="AE192">
        <v>0.79999999999999993</v>
      </c>
      <c r="AF192">
        <v>0.16</v>
      </c>
      <c r="AG192">
        <v>0.53398058252427172</v>
      </c>
      <c r="AH192">
        <v>0</v>
      </c>
      <c r="AI192">
        <v>0</v>
      </c>
      <c r="AL192">
        <v>1</v>
      </c>
      <c r="AM192">
        <v>0</v>
      </c>
      <c r="AN192">
        <v>1</v>
      </c>
    </row>
    <row r="193" spans="1:40" x14ac:dyDescent="0.25">
      <c r="A193">
        <v>192</v>
      </c>
      <c r="B193" t="s">
        <v>848</v>
      </c>
      <c r="C193" t="s">
        <v>849</v>
      </c>
      <c r="D193" t="s">
        <v>850</v>
      </c>
      <c r="E193" t="s">
        <v>851</v>
      </c>
      <c r="F193" t="s">
        <v>100</v>
      </c>
      <c r="G193">
        <v>2</v>
      </c>
      <c r="H193">
        <v>1</v>
      </c>
      <c r="I193">
        <v>5039</v>
      </c>
      <c r="J193">
        <v>0</v>
      </c>
      <c r="K193">
        <v>0</v>
      </c>
      <c r="L193">
        <v>1650.5</v>
      </c>
      <c r="M193">
        <v>975.7</v>
      </c>
      <c r="N193">
        <v>2943.6</v>
      </c>
      <c r="O193">
        <v>503.6</v>
      </c>
      <c r="P193">
        <v>1781.7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0.41</v>
      </c>
      <c r="W193">
        <v>3</v>
      </c>
      <c r="X193">
        <v>0.41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0.41</v>
      </c>
      <c r="AE193">
        <v>0</v>
      </c>
      <c r="AF193">
        <v>0</v>
      </c>
      <c r="AG193">
        <v>1</v>
      </c>
      <c r="AH193">
        <v>0</v>
      </c>
      <c r="AI193">
        <v>0</v>
      </c>
      <c r="AL193">
        <v>0</v>
      </c>
      <c r="AM193">
        <v>0</v>
      </c>
      <c r="AN193">
        <v>0</v>
      </c>
    </row>
    <row r="194" spans="1:40" x14ac:dyDescent="0.25">
      <c r="A194">
        <v>193</v>
      </c>
      <c r="B194" t="s">
        <v>852</v>
      </c>
      <c r="C194" t="s">
        <v>853</v>
      </c>
      <c r="D194" t="s">
        <v>854</v>
      </c>
      <c r="E194" t="s">
        <v>367</v>
      </c>
      <c r="F194" t="s">
        <v>100</v>
      </c>
      <c r="G194">
        <v>1</v>
      </c>
      <c r="H194">
        <v>1</v>
      </c>
      <c r="I194">
        <v>1142</v>
      </c>
      <c r="J194">
        <v>0</v>
      </c>
      <c r="K194">
        <v>0</v>
      </c>
      <c r="L194">
        <v>591.1</v>
      </c>
      <c r="M194">
        <v>980.3</v>
      </c>
      <c r="N194">
        <v>2783.1</v>
      </c>
      <c r="O194">
        <v>386.8</v>
      </c>
      <c r="P194">
        <v>920.2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0.38</v>
      </c>
      <c r="W194">
        <v>5</v>
      </c>
      <c r="X194">
        <v>0.38000000000000012</v>
      </c>
      <c r="Y194">
        <v>0</v>
      </c>
      <c r="Z194">
        <v>0</v>
      </c>
      <c r="AA194">
        <v>0</v>
      </c>
      <c r="AB194">
        <v>0</v>
      </c>
      <c r="AC194">
        <v>0.2</v>
      </c>
      <c r="AD194">
        <v>0.18</v>
      </c>
      <c r="AE194">
        <v>0</v>
      </c>
      <c r="AF194">
        <v>0</v>
      </c>
      <c r="AG194">
        <v>1</v>
      </c>
      <c r="AH194">
        <v>0</v>
      </c>
      <c r="AI194">
        <v>0</v>
      </c>
      <c r="AL194">
        <v>0</v>
      </c>
      <c r="AM194">
        <v>0</v>
      </c>
      <c r="AN194">
        <v>0</v>
      </c>
    </row>
    <row r="195" spans="1:40" x14ac:dyDescent="0.25">
      <c r="A195">
        <v>194</v>
      </c>
      <c r="B195" t="s">
        <v>855</v>
      </c>
      <c r="C195" t="s">
        <v>856</v>
      </c>
      <c r="D195" t="s">
        <v>857</v>
      </c>
      <c r="E195" t="s">
        <v>858</v>
      </c>
      <c r="F195" t="s">
        <v>127</v>
      </c>
      <c r="G195">
        <v>5</v>
      </c>
      <c r="H195">
        <v>1</v>
      </c>
      <c r="I195">
        <v>1863</v>
      </c>
      <c r="J195">
        <v>0</v>
      </c>
      <c r="K195">
        <v>1</v>
      </c>
      <c r="L195">
        <v>8440.6</v>
      </c>
      <c r="M195">
        <v>4490.8999999999996</v>
      </c>
      <c r="N195">
        <v>10651</v>
      </c>
      <c r="O195">
        <v>290.7</v>
      </c>
      <c r="P195">
        <v>10553.4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8.8800000000000008</v>
      </c>
      <c r="W195">
        <v>3.5</v>
      </c>
      <c r="X195">
        <v>8.8799999999999848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3.280000000000002</v>
      </c>
      <c r="AE195">
        <v>3.200000000000002</v>
      </c>
      <c r="AF195">
        <v>2.4000000000000008</v>
      </c>
      <c r="AG195">
        <v>0.36936936936936943</v>
      </c>
      <c r="AH195">
        <v>1</v>
      </c>
      <c r="AI195">
        <v>2</v>
      </c>
      <c r="AJ195">
        <v>2024</v>
      </c>
      <c r="AK195">
        <v>1</v>
      </c>
      <c r="AL195">
        <v>1</v>
      </c>
      <c r="AM195">
        <v>0</v>
      </c>
      <c r="AN195">
        <v>1</v>
      </c>
    </row>
    <row r="196" spans="1:40" x14ac:dyDescent="0.25">
      <c r="A196">
        <v>195</v>
      </c>
      <c r="B196" t="s">
        <v>859</v>
      </c>
      <c r="C196" t="s">
        <v>860</v>
      </c>
      <c r="D196" t="s">
        <v>861</v>
      </c>
      <c r="E196" t="s">
        <v>862</v>
      </c>
      <c r="F196" t="s">
        <v>105</v>
      </c>
      <c r="G196">
        <v>2</v>
      </c>
      <c r="H196">
        <v>1</v>
      </c>
      <c r="I196">
        <v>1190</v>
      </c>
      <c r="J196">
        <v>0</v>
      </c>
      <c r="K196">
        <v>1</v>
      </c>
      <c r="L196">
        <v>2158.3000000000002</v>
      </c>
      <c r="M196">
        <v>977.1</v>
      </c>
      <c r="N196">
        <v>5204.5</v>
      </c>
      <c r="O196">
        <v>1039.7</v>
      </c>
      <c r="P196">
        <v>5665.1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1.23</v>
      </c>
      <c r="W196">
        <v>3</v>
      </c>
      <c r="X196">
        <v>1.23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0.23</v>
      </c>
      <c r="AE196">
        <v>0.79999999999999993</v>
      </c>
      <c r="AF196">
        <v>0.2</v>
      </c>
      <c r="AG196">
        <v>0.18699186991869921</v>
      </c>
      <c r="AH196">
        <v>1</v>
      </c>
      <c r="AI196">
        <v>1</v>
      </c>
      <c r="AJ196">
        <v>2023</v>
      </c>
      <c r="AK196">
        <v>2</v>
      </c>
      <c r="AL196">
        <v>1</v>
      </c>
      <c r="AM196">
        <v>1</v>
      </c>
      <c r="AN196">
        <v>0</v>
      </c>
    </row>
    <row r="197" spans="1:40" x14ac:dyDescent="0.25">
      <c r="A197">
        <v>196</v>
      </c>
      <c r="B197" t="s">
        <v>863</v>
      </c>
      <c r="C197" t="s">
        <v>864</v>
      </c>
      <c r="D197" t="s">
        <v>865</v>
      </c>
      <c r="E197" t="s">
        <v>144</v>
      </c>
      <c r="F197" t="s">
        <v>100</v>
      </c>
      <c r="G197">
        <v>1</v>
      </c>
      <c r="H197">
        <v>1</v>
      </c>
      <c r="I197">
        <v>786</v>
      </c>
      <c r="J197">
        <v>0</v>
      </c>
      <c r="K197">
        <v>0</v>
      </c>
      <c r="L197">
        <v>5334</v>
      </c>
      <c r="M197">
        <v>4207.6000000000004</v>
      </c>
      <c r="N197">
        <v>6349.2</v>
      </c>
      <c r="O197">
        <v>481.1</v>
      </c>
      <c r="P197">
        <v>5015.7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0.68</v>
      </c>
      <c r="W197">
        <v>3</v>
      </c>
      <c r="X197">
        <v>0.67999999999999994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0.67999999999999994</v>
      </c>
      <c r="AE197">
        <v>0</v>
      </c>
      <c r="AF197">
        <v>0</v>
      </c>
      <c r="AG197">
        <v>1</v>
      </c>
      <c r="AH197">
        <v>0</v>
      </c>
      <c r="AI197">
        <v>0</v>
      </c>
      <c r="AL197">
        <v>0</v>
      </c>
      <c r="AM197">
        <v>0</v>
      </c>
      <c r="AN197">
        <v>0</v>
      </c>
    </row>
    <row r="198" spans="1:40" x14ac:dyDescent="0.25">
      <c r="A198">
        <v>197</v>
      </c>
      <c r="B198" t="s">
        <v>866</v>
      </c>
      <c r="C198" t="s">
        <v>867</v>
      </c>
      <c r="D198" t="s">
        <v>868</v>
      </c>
      <c r="E198" t="s">
        <v>869</v>
      </c>
      <c r="F198" t="s">
        <v>213</v>
      </c>
      <c r="G198">
        <v>2</v>
      </c>
      <c r="H198">
        <v>2</v>
      </c>
      <c r="I198">
        <v>1928</v>
      </c>
      <c r="J198">
        <v>0</v>
      </c>
      <c r="K198">
        <v>0</v>
      </c>
      <c r="L198">
        <v>4307.5</v>
      </c>
      <c r="M198">
        <v>3805.9</v>
      </c>
      <c r="N198">
        <v>4316.5</v>
      </c>
      <c r="O198">
        <v>79.2</v>
      </c>
      <c r="P198">
        <v>4625.8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2.23</v>
      </c>
      <c r="W198">
        <v>3</v>
      </c>
      <c r="X198">
        <v>2.23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1.830000000000001</v>
      </c>
      <c r="AE198">
        <v>0.4</v>
      </c>
      <c r="AF198">
        <v>0</v>
      </c>
      <c r="AG198">
        <v>0.820627802690583</v>
      </c>
      <c r="AH198">
        <v>0</v>
      </c>
      <c r="AI198">
        <v>0</v>
      </c>
      <c r="AL198">
        <v>0</v>
      </c>
      <c r="AM198">
        <v>0</v>
      </c>
      <c r="AN198">
        <v>0</v>
      </c>
    </row>
    <row r="199" spans="1:40" x14ac:dyDescent="0.25">
      <c r="A199">
        <v>198</v>
      </c>
      <c r="B199" t="s">
        <v>870</v>
      </c>
      <c r="C199" t="s">
        <v>871</v>
      </c>
      <c r="D199" t="s">
        <v>872</v>
      </c>
      <c r="E199" t="s">
        <v>873</v>
      </c>
      <c r="F199" t="s">
        <v>127</v>
      </c>
      <c r="G199">
        <v>1</v>
      </c>
      <c r="H199">
        <v>1</v>
      </c>
      <c r="I199">
        <v>373</v>
      </c>
      <c r="J199">
        <v>0</v>
      </c>
      <c r="K199">
        <v>0</v>
      </c>
      <c r="L199">
        <v>8716.9</v>
      </c>
      <c r="M199">
        <v>4767.1000000000004</v>
      </c>
      <c r="N199">
        <v>10927.3</v>
      </c>
      <c r="O199">
        <v>566.9</v>
      </c>
      <c r="P199">
        <v>10829.6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0.22</v>
      </c>
      <c r="W199">
        <v>3</v>
      </c>
      <c r="X199">
        <v>0</v>
      </c>
      <c r="Y199">
        <v>0</v>
      </c>
      <c r="Z199">
        <v>0</v>
      </c>
      <c r="AA199">
        <v>0.22</v>
      </c>
      <c r="AB199">
        <v>0</v>
      </c>
      <c r="AC199">
        <v>0</v>
      </c>
      <c r="AD199">
        <v>0</v>
      </c>
      <c r="AE199">
        <v>0</v>
      </c>
      <c r="AF199">
        <v>0.22</v>
      </c>
      <c r="AG199">
        <v>0</v>
      </c>
      <c r="AH199">
        <v>1</v>
      </c>
      <c r="AI199">
        <v>2</v>
      </c>
      <c r="AJ199">
        <v>2023</v>
      </c>
      <c r="AK199">
        <v>2</v>
      </c>
      <c r="AL199">
        <v>1</v>
      </c>
      <c r="AM199">
        <v>0</v>
      </c>
      <c r="AN199">
        <v>1</v>
      </c>
    </row>
    <row r="200" spans="1:40" x14ac:dyDescent="0.25">
      <c r="A200">
        <v>199</v>
      </c>
      <c r="B200" t="s">
        <v>874</v>
      </c>
      <c r="C200" t="s">
        <v>875</v>
      </c>
      <c r="D200" t="s">
        <v>876</v>
      </c>
      <c r="E200" t="s">
        <v>800</v>
      </c>
      <c r="F200" t="s">
        <v>127</v>
      </c>
      <c r="G200">
        <v>1</v>
      </c>
      <c r="H200">
        <v>1</v>
      </c>
      <c r="I200">
        <v>719</v>
      </c>
      <c r="J200">
        <v>0</v>
      </c>
      <c r="K200">
        <v>1</v>
      </c>
      <c r="L200">
        <v>8420.7999999999993</v>
      </c>
      <c r="M200">
        <v>4378.1000000000004</v>
      </c>
      <c r="N200">
        <v>10631.2</v>
      </c>
      <c r="O200">
        <v>1759.9</v>
      </c>
      <c r="P200">
        <v>10533.6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3.27</v>
      </c>
      <c r="W200">
        <v>3.5</v>
      </c>
      <c r="X200">
        <v>2.9700000000000011</v>
      </c>
      <c r="Y200">
        <v>0</v>
      </c>
      <c r="Z200">
        <v>0</v>
      </c>
      <c r="AA200">
        <v>0.3</v>
      </c>
      <c r="AB200">
        <v>0</v>
      </c>
      <c r="AC200">
        <v>0</v>
      </c>
      <c r="AD200">
        <v>2.4700000000000011</v>
      </c>
      <c r="AE200">
        <v>0.4</v>
      </c>
      <c r="AF200">
        <v>0.4</v>
      </c>
      <c r="AG200">
        <v>0.7553516819571866</v>
      </c>
      <c r="AH200">
        <v>1</v>
      </c>
      <c r="AI200">
        <v>2</v>
      </c>
      <c r="AJ200">
        <v>2024</v>
      </c>
      <c r="AK200">
        <v>1</v>
      </c>
      <c r="AL200">
        <v>0</v>
      </c>
      <c r="AM200">
        <v>0</v>
      </c>
      <c r="AN200">
        <v>0</v>
      </c>
    </row>
    <row r="201" spans="1:40" x14ac:dyDescent="0.25">
      <c r="A201">
        <v>200</v>
      </c>
      <c r="B201" t="s">
        <v>877</v>
      </c>
      <c r="C201" t="s">
        <v>878</v>
      </c>
      <c r="D201" t="s">
        <v>879</v>
      </c>
      <c r="E201" t="s">
        <v>880</v>
      </c>
      <c r="F201" t="s">
        <v>176</v>
      </c>
      <c r="G201">
        <v>1</v>
      </c>
      <c r="H201">
        <v>1</v>
      </c>
      <c r="I201">
        <v>588</v>
      </c>
      <c r="J201">
        <v>0</v>
      </c>
      <c r="K201">
        <v>0</v>
      </c>
      <c r="L201">
        <v>4931.7</v>
      </c>
      <c r="M201">
        <v>2122.4</v>
      </c>
      <c r="N201">
        <v>6512</v>
      </c>
      <c r="O201">
        <v>2411.6</v>
      </c>
      <c r="P201">
        <v>8183.9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0.91</v>
      </c>
      <c r="W201">
        <v>3.5</v>
      </c>
      <c r="X201">
        <v>0.2</v>
      </c>
      <c r="Y201">
        <v>0</v>
      </c>
      <c r="Z201">
        <v>0</v>
      </c>
      <c r="AA201">
        <v>0.71</v>
      </c>
      <c r="AB201">
        <v>0</v>
      </c>
      <c r="AC201">
        <v>0</v>
      </c>
      <c r="AD201">
        <v>0.2</v>
      </c>
      <c r="AE201">
        <v>0</v>
      </c>
      <c r="AF201">
        <v>0.71</v>
      </c>
      <c r="AG201">
        <v>0.2197802197802198</v>
      </c>
      <c r="AH201">
        <v>1</v>
      </c>
      <c r="AI201">
        <v>1</v>
      </c>
      <c r="AJ201">
        <v>2024</v>
      </c>
      <c r="AK201">
        <v>1</v>
      </c>
      <c r="AL201">
        <v>0</v>
      </c>
      <c r="AM201">
        <v>0</v>
      </c>
      <c r="AN201">
        <v>0</v>
      </c>
    </row>
    <row r="202" spans="1:40" x14ac:dyDescent="0.25">
      <c r="A202">
        <v>201</v>
      </c>
      <c r="B202" t="s">
        <v>881</v>
      </c>
      <c r="C202" t="s">
        <v>882</v>
      </c>
      <c r="D202" t="s">
        <v>883</v>
      </c>
      <c r="E202" t="s">
        <v>880</v>
      </c>
      <c r="F202" t="s">
        <v>176</v>
      </c>
      <c r="G202">
        <v>1</v>
      </c>
      <c r="H202">
        <v>1</v>
      </c>
      <c r="I202">
        <v>588</v>
      </c>
      <c r="J202">
        <v>0</v>
      </c>
      <c r="K202">
        <v>0</v>
      </c>
      <c r="L202">
        <v>4610.6000000000004</v>
      </c>
      <c r="M202">
        <v>1457.8</v>
      </c>
      <c r="N202">
        <v>5847.5</v>
      </c>
      <c r="O202">
        <v>2090.4</v>
      </c>
      <c r="P202">
        <v>7519.3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1.96</v>
      </c>
      <c r="W202">
        <v>3.5</v>
      </c>
      <c r="X202">
        <v>1.9600000000000011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1.9600000000000011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2022</v>
      </c>
      <c r="AK202">
        <v>3</v>
      </c>
      <c r="AL202">
        <v>0</v>
      </c>
      <c r="AM202">
        <v>0</v>
      </c>
      <c r="AN202">
        <v>0</v>
      </c>
    </row>
    <row r="203" spans="1:40" x14ac:dyDescent="0.25">
      <c r="A203">
        <v>202</v>
      </c>
      <c r="B203" t="s">
        <v>884</v>
      </c>
      <c r="C203" t="s">
        <v>885</v>
      </c>
      <c r="D203" t="s">
        <v>886</v>
      </c>
      <c r="E203" t="s">
        <v>378</v>
      </c>
      <c r="F203" t="s">
        <v>105</v>
      </c>
      <c r="G203">
        <v>2</v>
      </c>
      <c r="H203">
        <v>1</v>
      </c>
      <c r="I203">
        <v>1247</v>
      </c>
      <c r="J203">
        <v>0</v>
      </c>
      <c r="K203">
        <v>0</v>
      </c>
      <c r="L203">
        <v>3337.8</v>
      </c>
      <c r="M203">
        <v>3247.5</v>
      </c>
      <c r="N203">
        <v>3308.3</v>
      </c>
      <c r="O203">
        <v>833.6</v>
      </c>
      <c r="P203">
        <v>4706.8999999999996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0.34</v>
      </c>
      <c r="W203">
        <v>3</v>
      </c>
      <c r="X203">
        <v>0.34</v>
      </c>
      <c r="Y203">
        <v>0</v>
      </c>
      <c r="Z203">
        <v>0</v>
      </c>
      <c r="AA203">
        <v>0</v>
      </c>
      <c r="AB203">
        <v>0</v>
      </c>
      <c r="AC203">
        <v>0.34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2024</v>
      </c>
      <c r="AK203">
        <v>1</v>
      </c>
      <c r="AL203">
        <v>0</v>
      </c>
      <c r="AM203">
        <v>0</v>
      </c>
      <c r="AN203">
        <v>0</v>
      </c>
    </row>
    <row r="204" spans="1:40" x14ac:dyDescent="0.25">
      <c r="A204">
        <v>203</v>
      </c>
      <c r="B204" t="s">
        <v>887</v>
      </c>
      <c r="C204" t="s">
        <v>888</v>
      </c>
      <c r="D204" t="s">
        <v>889</v>
      </c>
      <c r="E204" t="s">
        <v>890</v>
      </c>
      <c r="F204" t="s">
        <v>891</v>
      </c>
      <c r="G204">
        <v>5</v>
      </c>
      <c r="H204">
        <v>2</v>
      </c>
      <c r="I204">
        <v>4562</v>
      </c>
      <c r="J204">
        <v>0</v>
      </c>
      <c r="K204">
        <v>0</v>
      </c>
      <c r="L204">
        <v>1580.3</v>
      </c>
      <c r="M204">
        <v>945</v>
      </c>
      <c r="N204">
        <v>2799.2</v>
      </c>
      <c r="O204">
        <v>422.7</v>
      </c>
      <c r="P204">
        <v>29412.3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1.82</v>
      </c>
      <c r="W204">
        <v>3</v>
      </c>
      <c r="X204">
        <v>1.4</v>
      </c>
      <c r="Y204">
        <v>0</v>
      </c>
      <c r="Z204">
        <v>0.42</v>
      </c>
      <c r="AA204">
        <v>0</v>
      </c>
      <c r="AB204">
        <v>0</v>
      </c>
      <c r="AC204">
        <v>0</v>
      </c>
      <c r="AD204">
        <v>0.42</v>
      </c>
      <c r="AE204">
        <v>0.6</v>
      </c>
      <c r="AF204">
        <v>0.79999999999999993</v>
      </c>
      <c r="AG204">
        <v>0.23076923076923081</v>
      </c>
      <c r="AH204">
        <v>0</v>
      </c>
      <c r="AI204">
        <v>0</v>
      </c>
      <c r="AL204">
        <v>0</v>
      </c>
      <c r="AM204">
        <v>0</v>
      </c>
      <c r="AN204">
        <v>0</v>
      </c>
    </row>
    <row r="205" spans="1:40" x14ac:dyDescent="0.25">
      <c r="A205">
        <v>204</v>
      </c>
      <c r="B205" t="s">
        <v>892</v>
      </c>
      <c r="C205" t="s">
        <v>893</v>
      </c>
      <c r="D205" t="s">
        <v>894</v>
      </c>
      <c r="E205" t="s">
        <v>895</v>
      </c>
      <c r="F205" t="s">
        <v>363</v>
      </c>
      <c r="G205">
        <v>1</v>
      </c>
      <c r="H205">
        <v>1</v>
      </c>
      <c r="I205">
        <v>539</v>
      </c>
      <c r="J205">
        <v>0</v>
      </c>
      <c r="K205">
        <v>0</v>
      </c>
      <c r="L205">
        <v>1383.3</v>
      </c>
      <c r="M205">
        <v>748</v>
      </c>
      <c r="N205">
        <v>2602.1999999999998</v>
      </c>
      <c r="O205">
        <v>86.4</v>
      </c>
      <c r="P205">
        <v>29215.3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0.32</v>
      </c>
      <c r="W205">
        <v>3.5</v>
      </c>
      <c r="X205">
        <v>0.32000000000000012</v>
      </c>
      <c r="Y205">
        <v>0</v>
      </c>
      <c r="Z205">
        <v>0</v>
      </c>
      <c r="AA205">
        <v>0</v>
      </c>
      <c r="AB205">
        <v>0</v>
      </c>
      <c r="AC205">
        <v>0.2</v>
      </c>
      <c r="AD205">
        <v>0.12</v>
      </c>
      <c r="AE205">
        <v>0</v>
      </c>
      <c r="AF205">
        <v>0</v>
      </c>
      <c r="AG205">
        <v>1</v>
      </c>
      <c r="AH205">
        <v>0</v>
      </c>
      <c r="AI205">
        <v>0</v>
      </c>
      <c r="AL205">
        <v>0</v>
      </c>
      <c r="AM205">
        <v>0</v>
      </c>
      <c r="AN205">
        <v>0</v>
      </c>
    </row>
    <row r="206" spans="1:40" x14ac:dyDescent="0.25">
      <c r="A206">
        <v>205</v>
      </c>
      <c r="B206" t="s">
        <v>896</v>
      </c>
      <c r="C206" t="s">
        <v>897</v>
      </c>
      <c r="D206" t="s">
        <v>898</v>
      </c>
      <c r="E206" t="s">
        <v>899</v>
      </c>
      <c r="F206" t="s">
        <v>363</v>
      </c>
      <c r="G206">
        <v>1</v>
      </c>
      <c r="H206">
        <v>1</v>
      </c>
      <c r="I206">
        <v>727</v>
      </c>
      <c r="J206">
        <v>0</v>
      </c>
      <c r="K206">
        <v>0</v>
      </c>
      <c r="L206">
        <v>1686.7</v>
      </c>
      <c r="M206">
        <v>1051.4000000000001</v>
      </c>
      <c r="N206">
        <v>2905.6</v>
      </c>
      <c r="O206">
        <v>177</v>
      </c>
      <c r="P206">
        <v>29518.7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0.28999999999999998</v>
      </c>
      <c r="W206">
        <v>3.5</v>
      </c>
      <c r="X206">
        <v>0.28999999999999998</v>
      </c>
      <c r="Y206">
        <v>0</v>
      </c>
      <c r="Z206">
        <v>0</v>
      </c>
      <c r="AA206">
        <v>0</v>
      </c>
      <c r="AB206">
        <v>0</v>
      </c>
      <c r="AC206">
        <v>0.28999999999999998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L206">
        <v>0</v>
      </c>
      <c r="AM206">
        <v>0</v>
      </c>
      <c r="AN206">
        <v>0</v>
      </c>
    </row>
    <row r="207" spans="1:40" x14ac:dyDescent="0.25">
      <c r="A207">
        <v>206</v>
      </c>
      <c r="B207" t="s">
        <v>900</v>
      </c>
      <c r="C207" t="s">
        <v>901</v>
      </c>
      <c r="D207" t="s">
        <v>902</v>
      </c>
      <c r="E207" t="s">
        <v>899</v>
      </c>
      <c r="F207" t="s">
        <v>363</v>
      </c>
      <c r="G207">
        <v>1</v>
      </c>
      <c r="H207">
        <v>1</v>
      </c>
      <c r="I207">
        <v>727</v>
      </c>
      <c r="J207">
        <v>0</v>
      </c>
      <c r="K207">
        <v>0</v>
      </c>
      <c r="L207">
        <v>1984.4</v>
      </c>
      <c r="M207">
        <v>1349.1</v>
      </c>
      <c r="N207">
        <v>3203.3</v>
      </c>
      <c r="O207">
        <v>201.1</v>
      </c>
      <c r="P207">
        <v>29816.400000000001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0.28000000000000003</v>
      </c>
      <c r="W207">
        <v>3.5</v>
      </c>
      <c r="X207">
        <v>0.28000000000000003</v>
      </c>
      <c r="Y207">
        <v>0</v>
      </c>
      <c r="Z207">
        <v>0</v>
      </c>
      <c r="AA207">
        <v>0</v>
      </c>
      <c r="AB207">
        <v>0</v>
      </c>
      <c r="AC207">
        <v>0.28000000000000003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L207">
        <v>0</v>
      </c>
      <c r="AM207">
        <v>0</v>
      </c>
      <c r="AN207">
        <v>0</v>
      </c>
    </row>
    <row r="208" spans="1:40" x14ac:dyDescent="0.25">
      <c r="A208">
        <v>207</v>
      </c>
      <c r="B208" t="s">
        <v>903</v>
      </c>
      <c r="C208" t="s">
        <v>904</v>
      </c>
      <c r="D208" t="s">
        <v>905</v>
      </c>
      <c r="E208" t="s">
        <v>869</v>
      </c>
      <c r="F208" t="s">
        <v>213</v>
      </c>
      <c r="G208">
        <v>2</v>
      </c>
      <c r="H208">
        <v>2</v>
      </c>
      <c r="I208">
        <v>1928</v>
      </c>
      <c r="J208">
        <v>0</v>
      </c>
      <c r="K208">
        <v>1</v>
      </c>
      <c r="L208">
        <v>2840</v>
      </c>
      <c r="M208">
        <v>2676.3</v>
      </c>
      <c r="N208">
        <v>2849.1</v>
      </c>
      <c r="O208">
        <v>1388.2</v>
      </c>
      <c r="P208">
        <v>3158.4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1.88</v>
      </c>
      <c r="W208">
        <v>3</v>
      </c>
      <c r="X208">
        <v>1.880000000000001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0.87999999999999989</v>
      </c>
      <c r="AE208">
        <v>0.99999999999999989</v>
      </c>
      <c r="AF208">
        <v>0</v>
      </c>
      <c r="AG208">
        <v>0.46808510638297868</v>
      </c>
      <c r="AH208">
        <v>1</v>
      </c>
      <c r="AI208">
        <v>1</v>
      </c>
      <c r="AJ208">
        <v>2021</v>
      </c>
      <c r="AK208">
        <v>4</v>
      </c>
      <c r="AL208">
        <v>1</v>
      </c>
      <c r="AM208">
        <v>1</v>
      </c>
      <c r="AN208">
        <v>0</v>
      </c>
    </row>
    <row r="209" spans="1:40" x14ac:dyDescent="0.25">
      <c r="A209">
        <v>208</v>
      </c>
      <c r="B209" t="s">
        <v>906</v>
      </c>
      <c r="C209" t="s">
        <v>907</v>
      </c>
      <c r="D209" t="s">
        <v>908</v>
      </c>
      <c r="E209" t="s">
        <v>909</v>
      </c>
      <c r="F209" t="s">
        <v>494</v>
      </c>
      <c r="G209">
        <v>4</v>
      </c>
      <c r="H209">
        <v>3</v>
      </c>
      <c r="I209">
        <v>2676</v>
      </c>
      <c r="J209">
        <v>0</v>
      </c>
      <c r="K209">
        <v>0</v>
      </c>
      <c r="L209">
        <v>4054.2</v>
      </c>
      <c r="M209">
        <v>4204.3</v>
      </c>
      <c r="N209">
        <v>2890.5</v>
      </c>
      <c r="O209">
        <v>737.7</v>
      </c>
      <c r="P209">
        <v>4372.5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1.28</v>
      </c>
      <c r="W209">
        <v>3</v>
      </c>
      <c r="X209">
        <v>0</v>
      </c>
      <c r="Y209">
        <v>0</v>
      </c>
      <c r="Z209">
        <v>0.6</v>
      </c>
      <c r="AA209">
        <v>0.67999999999999994</v>
      </c>
      <c r="AB209">
        <v>0</v>
      </c>
      <c r="AC209">
        <v>0.2</v>
      </c>
      <c r="AD209">
        <v>0</v>
      </c>
      <c r="AE209">
        <v>0</v>
      </c>
      <c r="AF209">
        <v>1.08</v>
      </c>
      <c r="AG209">
        <v>0.15625</v>
      </c>
      <c r="AH209">
        <v>1</v>
      </c>
      <c r="AI209">
        <v>1</v>
      </c>
      <c r="AJ209">
        <v>2023</v>
      </c>
      <c r="AK209">
        <v>2</v>
      </c>
      <c r="AL209">
        <v>1</v>
      </c>
      <c r="AM209">
        <v>1</v>
      </c>
      <c r="AN209">
        <v>0</v>
      </c>
    </row>
    <row r="210" spans="1:40" x14ac:dyDescent="0.25">
      <c r="A210">
        <v>209</v>
      </c>
      <c r="B210" t="s">
        <v>910</v>
      </c>
      <c r="C210" t="s">
        <v>911</v>
      </c>
      <c r="D210" t="s">
        <v>912</v>
      </c>
      <c r="E210" t="s">
        <v>378</v>
      </c>
      <c r="F210" t="s">
        <v>105</v>
      </c>
      <c r="G210">
        <v>2</v>
      </c>
      <c r="H210">
        <v>1</v>
      </c>
      <c r="I210">
        <v>1247</v>
      </c>
      <c r="J210">
        <v>0</v>
      </c>
      <c r="K210">
        <v>1</v>
      </c>
      <c r="L210">
        <v>1763</v>
      </c>
      <c r="M210">
        <v>1586</v>
      </c>
      <c r="N210">
        <v>4835.5</v>
      </c>
      <c r="O210">
        <v>899.9</v>
      </c>
      <c r="P210">
        <v>6027.3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0.83</v>
      </c>
      <c r="W210">
        <v>3</v>
      </c>
      <c r="X210">
        <v>0.83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0.83</v>
      </c>
      <c r="AG210">
        <v>0</v>
      </c>
      <c r="AH210">
        <v>0</v>
      </c>
      <c r="AI210">
        <v>0</v>
      </c>
      <c r="AL210">
        <v>0</v>
      </c>
      <c r="AM210">
        <v>0</v>
      </c>
      <c r="AN210">
        <v>0</v>
      </c>
    </row>
    <row r="211" spans="1:40" x14ac:dyDescent="0.25">
      <c r="A211">
        <v>210</v>
      </c>
      <c r="B211" t="s">
        <v>913</v>
      </c>
      <c r="C211" t="s">
        <v>914</v>
      </c>
      <c r="D211" t="s">
        <v>915</v>
      </c>
      <c r="E211" t="s">
        <v>916</v>
      </c>
      <c r="F211" t="s">
        <v>891</v>
      </c>
      <c r="G211">
        <v>9</v>
      </c>
      <c r="H211">
        <v>2</v>
      </c>
      <c r="I211">
        <v>9090</v>
      </c>
      <c r="J211">
        <v>0</v>
      </c>
      <c r="K211">
        <v>0</v>
      </c>
      <c r="L211">
        <v>758.6</v>
      </c>
      <c r="M211">
        <v>294.89999999999998</v>
      </c>
      <c r="N211">
        <v>1977.5</v>
      </c>
      <c r="O211">
        <v>153.4</v>
      </c>
      <c r="P211">
        <v>28590.6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7.33</v>
      </c>
      <c r="W211">
        <v>3.5</v>
      </c>
      <c r="X211">
        <v>7.3299999999999903</v>
      </c>
      <c r="Y211">
        <v>0</v>
      </c>
      <c r="Z211">
        <v>0</v>
      </c>
      <c r="AA211">
        <v>0</v>
      </c>
      <c r="AB211">
        <v>0</v>
      </c>
      <c r="AC211">
        <v>0.4</v>
      </c>
      <c r="AD211">
        <v>6.199999999999994</v>
      </c>
      <c r="AE211">
        <v>0.53</v>
      </c>
      <c r="AF211">
        <v>0.2</v>
      </c>
      <c r="AG211">
        <v>0.90040927694406536</v>
      </c>
      <c r="AH211">
        <v>1</v>
      </c>
      <c r="AI211">
        <v>2</v>
      </c>
      <c r="AJ211">
        <v>2023</v>
      </c>
      <c r="AK211">
        <v>2</v>
      </c>
      <c r="AL211">
        <v>0</v>
      </c>
      <c r="AM211">
        <v>0</v>
      </c>
      <c r="AN211">
        <v>0</v>
      </c>
    </row>
    <row r="212" spans="1:40" x14ac:dyDescent="0.25">
      <c r="A212">
        <v>211</v>
      </c>
      <c r="B212" t="s">
        <v>917</v>
      </c>
      <c r="C212" t="s">
        <v>918</v>
      </c>
      <c r="D212" t="s">
        <v>919</v>
      </c>
      <c r="E212" t="s">
        <v>920</v>
      </c>
      <c r="F212" t="s">
        <v>363</v>
      </c>
      <c r="G212">
        <v>3</v>
      </c>
      <c r="H212">
        <v>1</v>
      </c>
      <c r="I212">
        <v>1745</v>
      </c>
      <c r="J212">
        <v>0</v>
      </c>
      <c r="K212">
        <v>0</v>
      </c>
      <c r="L212">
        <v>2988.9</v>
      </c>
      <c r="M212">
        <v>2353.5</v>
      </c>
      <c r="N212">
        <v>4207.7</v>
      </c>
      <c r="O212">
        <v>525.79999999999995</v>
      </c>
      <c r="P212">
        <v>30820.9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1.65</v>
      </c>
      <c r="W212">
        <v>3.5</v>
      </c>
      <c r="X212">
        <v>0</v>
      </c>
      <c r="Y212">
        <v>0</v>
      </c>
      <c r="Z212">
        <v>0</v>
      </c>
      <c r="AA212">
        <v>0.65</v>
      </c>
      <c r="AB212">
        <v>0.99999999999999989</v>
      </c>
      <c r="AC212">
        <v>0</v>
      </c>
      <c r="AD212">
        <v>0</v>
      </c>
      <c r="AE212">
        <v>0</v>
      </c>
      <c r="AF212">
        <v>1.65</v>
      </c>
      <c r="AG212">
        <v>0</v>
      </c>
      <c r="AH212">
        <v>0</v>
      </c>
      <c r="AI212">
        <v>0</v>
      </c>
      <c r="AL212">
        <v>0</v>
      </c>
      <c r="AM212">
        <v>0</v>
      </c>
      <c r="AN212">
        <v>0</v>
      </c>
    </row>
    <row r="213" spans="1:40" x14ac:dyDescent="0.25">
      <c r="A213">
        <v>212</v>
      </c>
      <c r="B213" t="s">
        <v>470</v>
      </c>
      <c r="C213" t="s">
        <v>921</v>
      </c>
      <c r="D213" t="s">
        <v>922</v>
      </c>
      <c r="E213" t="s">
        <v>149</v>
      </c>
      <c r="F213" t="s">
        <v>149</v>
      </c>
      <c r="G213">
        <v>1</v>
      </c>
      <c r="H213">
        <v>1</v>
      </c>
      <c r="I213">
        <v>760</v>
      </c>
      <c r="J213">
        <v>0</v>
      </c>
      <c r="K213">
        <v>1</v>
      </c>
      <c r="L213">
        <v>697.1</v>
      </c>
      <c r="M213">
        <v>91.6</v>
      </c>
      <c r="N213">
        <v>10456.299999999999</v>
      </c>
      <c r="O213">
        <v>136.6</v>
      </c>
      <c r="P213">
        <v>8593.4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0.44</v>
      </c>
      <c r="W213">
        <v>3</v>
      </c>
      <c r="X213">
        <v>0.44</v>
      </c>
      <c r="Y213">
        <v>0</v>
      </c>
      <c r="Z213">
        <v>0</v>
      </c>
      <c r="AA213">
        <v>0</v>
      </c>
      <c r="AB213">
        <v>0</v>
      </c>
      <c r="AC213">
        <v>0.44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L213">
        <v>0</v>
      </c>
      <c r="AM213">
        <v>0</v>
      </c>
      <c r="AN213">
        <v>0</v>
      </c>
    </row>
    <row r="214" spans="1:40" x14ac:dyDescent="0.25">
      <c r="A214">
        <v>213</v>
      </c>
      <c r="B214" t="s">
        <v>923</v>
      </c>
      <c r="C214" t="s">
        <v>924</v>
      </c>
      <c r="D214" t="s">
        <v>925</v>
      </c>
      <c r="E214" t="s">
        <v>926</v>
      </c>
      <c r="F214" t="s">
        <v>208</v>
      </c>
      <c r="G214">
        <v>2</v>
      </c>
      <c r="H214">
        <v>2</v>
      </c>
      <c r="I214">
        <v>1110</v>
      </c>
      <c r="J214">
        <v>0</v>
      </c>
      <c r="K214">
        <v>0</v>
      </c>
      <c r="L214">
        <v>4859.2</v>
      </c>
      <c r="M214">
        <v>4797.5</v>
      </c>
      <c r="N214">
        <v>10089.200000000001</v>
      </c>
      <c r="O214">
        <v>920.4</v>
      </c>
      <c r="P214">
        <v>8226.2999999999993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1.07</v>
      </c>
      <c r="W214">
        <v>3</v>
      </c>
      <c r="X214">
        <v>1.07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7.0000000000000007E-2</v>
      </c>
      <c r="AE214">
        <v>0.99999999999999989</v>
      </c>
      <c r="AF214">
        <v>0</v>
      </c>
      <c r="AG214">
        <v>6.5420560747663573E-2</v>
      </c>
      <c r="AH214">
        <v>1</v>
      </c>
      <c r="AI214">
        <v>1</v>
      </c>
      <c r="AJ214">
        <v>2024</v>
      </c>
      <c r="AK214">
        <v>1</v>
      </c>
      <c r="AL214">
        <v>0</v>
      </c>
      <c r="AM214">
        <v>0</v>
      </c>
      <c r="AN214">
        <v>0</v>
      </c>
    </row>
    <row r="215" spans="1:40" x14ac:dyDescent="0.25">
      <c r="A215">
        <v>214</v>
      </c>
      <c r="B215" t="s">
        <v>927</v>
      </c>
      <c r="C215" t="s">
        <v>928</v>
      </c>
      <c r="D215" t="s">
        <v>929</v>
      </c>
      <c r="E215" t="s">
        <v>930</v>
      </c>
      <c r="F215" t="s">
        <v>100</v>
      </c>
      <c r="G215">
        <v>2</v>
      </c>
      <c r="H215">
        <v>1</v>
      </c>
      <c r="I215">
        <v>4566</v>
      </c>
      <c r="J215">
        <v>0</v>
      </c>
      <c r="K215">
        <v>1</v>
      </c>
      <c r="L215">
        <v>0</v>
      </c>
      <c r="M215">
        <v>674.8</v>
      </c>
      <c r="N215">
        <v>1817.8</v>
      </c>
      <c r="O215">
        <v>490.3</v>
      </c>
      <c r="P215">
        <v>318.3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0.56000000000000005</v>
      </c>
      <c r="W215">
        <v>12</v>
      </c>
      <c r="X215">
        <v>0.56000000000000005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0.56000000000000005</v>
      </c>
      <c r="AE215">
        <v>0</v>
      </c>
      <c r="AF215">
        <v>0</v>
      </c>
      <c r="AG215">
        <v>1</v>
      </c>
      <c r="AH215">
        <v>0</v>
      </c>
      <c r="AI215">
        <v>0</v>
      </c>
      <c r="AL215">
        <v>0</v>
      </c>
      <c r="AM215">
        <v>0</v>
      </c>
      <c r="AN215">
        <v>0</v>
      </c>
    </row>
    <row r="216" spans="1:40" x14ac:dyDescent="0.25">
      <c r="A216">
        <v>215</v>
      </c>
      <c r="B216" t="s">
        <v>931</v>
      </c>
      <c r="C216" t="s">
        <v>932</v>
      </c>
      <c r="D216" t="s">
        <v>933</v>
      </c>
      <c r="E216" t="s">
        <v>571</v>
      </c>
      <c r="F216" t="s">
        <v>203</v>
      </c>
      <c r="G216">
        <v>2</v>
      </c>
      <c r="H216">
        <v>2</v>
      </c>
      <c r="I216">
        <v>2100</v>
      </c>
      <c r="J216">
        <v>1</v>
      </c>
      <c r="K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3.67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3.6700000000000021</v>
      </c>
      <c r="AC216">
        <v>0</v>
      </c>
      <c r="AD216">
        <v>0</v>
      </c>
      <c r="AE216">
        <v>0</v>
      </c>
      <c r="AF216">
        <v>3.6700000000000021</v>
      </c>
      <c r="AG216">
        <v>0</v>
      </c>
      <c r="AH216">
        <v>1</v>
      </c>
      <c r="AI216">
        <v>2</v>
      </c>
      <c r="AJ216">
        <v>2023</v>
      </c>
      <c r="AK216">
        <v>2</v>
      </c>
      <c r="AL216">
        <v>0</v>
      </c>
      <c r="AM216">
        <v>0</v>
      </c>
      <c r="AN216">
        <v>0</v>
      </c>
    </row>
    <row r="217" spans="1:40" x14ac:dyDescent="0.25">
      <c r="A217">
        <v>216</v>
      </c>
      <c r="B217" t="s">
        <v>934</v>
      </c>
      <c r="C217" t="s">
        <v>935</v>
      </c>
      <c r="D217" t="s">
        <v>936</v>
      </c>
      <c r="E217" t="s">
        <v>113</v>
      </c>
      <c r="F217" t="s">
        <v>100</v>
      </c>
      <c r="G217">
        <v>3</v>
      </c>
      <c r="H217">
        <v>1</v>
      </c>
      <c r="I217">
        <v>6205</v>
      </c>
      <c r="J217">
        <v>0</v>
      </c>
      <c r="K217">
        <v>1</v>
      </c>
      <c r="L217">
        <v>893.2</v>
      </c>
      <c r="M217">
        <v>814.5</v>
      </c>
      <c r="N217">
        <v>2455.1</v>
      </c>
      <c r="O217">
        <v>0</v>
      </c>
      <c r="P217">
        <v>592.20000000000005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1.0900000000000001</v>
      </c>
      <c r="W217">
        <v>5</v>
      </c>
      <c r="X217">
        <v>1.0900000000000001</v>
      </c>
      <c r="Y217">
        <v>0</v>
      </c>
      <c r="Z217">
        <v>0</v>
      </c>
      <c r="AA217">
        <v>0</v>
      </c>
      <c r="AB217">
        <v>0</v>
      </c>
      <c r="AC217">
        <v>1.0900000000000001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L217">
        <v>0</v>
      </c>
      <c r="AM217">
        <v>0</v>
      </c>
      <c r="AN217">
        <v>0</v>
      </c>
    </row>
    <row r="218" spans="1:40" x14ac:dyDescent="0.25">
      <c r="A218">
        <v>217</v>
      </c>
      <c r="B218" t="s">
        <v>937</v>
      </c>
      <c r="C218" t="s">
        <v>938</v>
      </c>
      <c r="D218" t="s">
        <v>939</v>
      </c>
      <c r="E218" t="s">
        <v>940</v>
      </c>
      <c r="F218" t="s">
        <v>105</v>
      </c>
      <c r="G218">
        <v>3</v>
      </c>
      <c r="H218">
        <v>1</v>
      </c>
      <c r="I218">
        <v>1740</v>
      </c>
      <c r="J218">
        <v>0</v>
      </c>
      <c r="K218">
        <v>0</v>
      </c>
      <c r="L218">
        <v>4124.8999999999996</v>
      </c>
      <c r="M218">
        <v>3842.6</v>
      </c>
      <c r="N218">
        <v>7884.4</v>
      </c>
      <c r="O218">
        <v>520.9</v>
      </c>
      <c r="P218">
        <v>8049.1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1.56</v>
      </c>
      <c r="W218">
        <v>3.5</v>
      </c>
      <c r="X218">
        <v>1.56</v>
      </c>
      <c r="Y218">
        <v>0</v>
      </c>
      <c r="Z218">
        <v>0</v>
      </c>
      <c r="AA218">
        <v>0</v>
      </c>
      <c r="AB218">
        <v>0</v>
      </c>
      <c r="AC218">
        <v>0.16</v>
      </c>
      <c r="AD218">
        <v>0.99999999999999989</v>
      </c>
      <c r="AE218">
        <v>0.4</v>
      </c>
      <c r="AF218">
        <v>0</v>
      </c>
      <c r="AG218">
        <v>0.7435897435897435</v>
      </c>
      <c r="AH218">
        <v>0</v>
      </c>
      <c r="AI218">
        <v>0</v>
      </c>
      <c r="AL218">
        <v>0</v>
      </c>
      <c r="AM218">
        <v>0</v>
      </c>
      <c r="AN218">
        <v>0</v>
      </c>
    </row>
    <row r="219" spans="1:40" x14ac:dyDescent="0.25">
      <c r="A219">
        <v>218</v>
      </c>
      <c r="B219" t="s">
        <v>941</v>
      </c>
      <c r="C219" t="s">
        <v>942</v>
      </c>
      <c r="D219" t="s">
        <v>943</v>
      </c>
      <c r="E219" t="s">
        <v>136</v>
      </c>
      <c r="F219" t="s">
        <v>105</v>
      </c>
      <c r="G219">
        <v>2</v>
      </c>
      <c r="H219">
        <v>1</v>
      </c>
      <c r="I219">
        <v>1032</v>
      </c>
      <c r="J219">
        <v>0</v>
      </c>
      <c r="K219">
        <v>0</v>
      </c>
      <c r="L219">
        <v>6310.1</v>
      </c>
      <c r="M219">
        <v>6310.4</v>
      </c>
      <c r="N219">
        <v>10352.200000000001</v>
      </c>
      <c r="O219">
        <v>1321.3</v>
      </c>
      <c r="P219">
        <v>10516.9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4.78</v>
      </c>
      <c r="W219">
        <v>3.5</v>
      </c>
      <c r="X219">
        <v>4.0000000000000018</v>
      </c>
      <c r="Y219">
        <v>0</v>
      </c>
      <c r="Z219">
        <v>0</v>
      </c>
      <c r="AA219">
        <v>0</v>
      </c>
      <c r="AB219">
        <v>0.77999999999999992</v>
      </c>
      <c r="AC219">
        <v>0</v>
      </c>
      <c r="AD219">
        <v>2.600000000000001</v>
      </c>
      <c r="AE219">
        <v>0.3</v>
      </c>
      <c r="AF219">
        <v>1.880000000000001</v>
      </c>
      <c r="AG219">
        <v>0.54393305439330542</v>
      </c>
      <c r="AH219">
        <v>1</v>
      </c>
      <c r="AI219">
        <v>2</v>
      </c>
      <c r="AJ219">
        <v>2023</v>
      </c>
      <c r="AK219">
        <v>2</v>
      </c>
      <c r="AL219">
        <v>0</v>
      </c>
      <c r="AM219">
        <v>0</v>
      </c>
      <c r="AN219">
        <v>0</v>
      </c>
    </row>
    <row r="220" spans="1:40" x14ac:dyDescent="0.25">
      <c r="A220">
        <v>219</v>
      </c>
      <c r="B220" t="s">
        <v>944</v>
      </c>
      <c r="C220" t="s">
        <v>945</v>
      </c>
      <c r="D220" t="s">
        <v>946</v>
      </c>
      <c r="E220" t="s">
        <v>947</v>
      </c>
      <c r="F220" t="s">
        <v>469</v>
      </c>
      <c r="G220">
        <v>2</v>
      </c>
      <c r="H220">
        <v>2</v>
      </c>
      <c r="I220">
        <v>845</v>
      </c>
      <c r="J220">
        <v>0</v>
      </c>
      <c r="K220">
        <v>0</v>
      </c>
      <c r="L220">
        <v>28635.1</v>
      </c>
      <c r="M220">
        <v>13269.5</v>
      </c>
      <c r="N220">
        <v>30845.5</v>
      </c>
      <c r="O220">
        <v>2194.1999999999998</v>
      </c>
      <c r="P220">
        <v>30747.8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4.45</v>
      </c>
      <c r="W220">
        <v>2</v>
      </c>
      <c r="X220">
        <v>0</v>
      </c>
      <c r="Y220">
        <v>0</v>
      </c>
      <c r="Z220">
        <v>4.45</v>
      </c>
      <c r="AA220">
        <v>0</v>
      </c>
      <c r="AB220">
        <v>0</v>
      </c>
      <c r="AC220">
        <v>0</v>
      </c>
      <c r="AD220">
        <v>4.45</v>
      </c>
      <c r="AE220">
        <v>0</v>
      </c>
      <c r="AF220">
        <v>0</v>
      </c>
      <c r="AG220">
        <v>1</v>
      </c>
      <c r="AH220">
        <v>0</v>
      </c>
      <c r="AI220">
        <v>0</v>
      </c>
      <c r="AL220">
        <v>0</v>
      </c>
      <c r="AM220">
        <v>0</v>
      </c>
      <c r="AN220">
        <v>0</v>
      </c>
    </row>
    <row r="221" spans="1:40" x14ac:dyDescent="0.25">
      <c r="A221">
        <v>220</v>
      </c>
      <c r="B221" t="s">
        <v>948</v>
      </c>
      <c r="C221" t="s">
        <v>949</v>
      </c>
      <c r="D221" t="s">
        <v>950</v>
      </c>
      <c r="E221" t="s">
        <v>425</v>
      </c>
      <c r="F221" t="s">
        <v>100</v>
      </c>
      <c r="G221">
        <v>1</v>
      </c>
      <c r="H221">
        <v>1</v>
      </c>
      <c r="I221">
        <v>630</v>
      </c>
      <c r="J221">
        <v>0</v>
      </c>
      <c r="K221">
        <v>0</v>
      </c>
      <c r="L221">
        <v>3405.1</v>
      </c>
      <c r="M221">
        <v>2185.5</v>
      </c>
      <c r="N221">
        <v>3038.5</v>
      </c>
      <c r="O221">
        <v>747.9</v>
      </c>
      <c r="P221">
        <v>3260.2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0.54</v>
      </c>
      <c r="W221">
        <v>3.5</v>
      </c>
      <c r="X221">
        <v>0.54</v>
      </c>
      <c r="Y221">
        <v>0</v>
      </c>
      <c r="Z221">
        <v>0</v>
      </c>
      <c r="AA221">
        <v>0</v>
      </c>
      <c r="AB221">
        <v>0</v>
      </c>
      <c r="AC221">
        <v>0.54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2023</v>
      </c>
      <c r="AK221">
        <v>2</v>
      </c>
      <c r="AL221">
        <v>0</v>
      </c>
      <c r="AM221">
        <v>0</v>
      </c>
      <c r="AN221">
        <v>0</v>
      </c>
    </row>
    <row r="222" spans="1:40" x14ac:dyDescent="0.25">
      <c r="A222">
        <v>221</v>
      </c>
      <c r="B222" t="s">
        <v>951</v>
      </c>
      <c r="C222" t="s">
        <v>952</v>
      </c>
      <c r="D222" t="s">
        <v>953</v>
      </c>
      <c r="E222" t="s">
        <v>954</v>
      </c>
      <c r="F222" t="s">
        <v>100</v>
      </c>
      <c r="G222">
        <v>2</v>
      </c>
      <c r="H222">
        <v>1</v>
      </c>
      <c r="I222">
        <v>1206</v>
      </c>
      <c r="J222">
        <v>0</v>
      </c>
      <c r="K222">
        <v>1</v>
      </c>
      <c r="L222">
        <v>3079.3</v>
      </c>
      <c r="M222">
        <v>2176.6999999999998</v>
      </c>
      <c r="N222">
        <v>3029.6</v>
      </c>
      <c r="O222">
        <v>422.1</v>
      </c>
      <c r="P222">
        <v>2934.4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3</v>
      </c>
      <c r="X222">
        <v>0.99999999999999989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0.4</v>
      </c>
      <c r="AE222">
        <v>0.6</v>
      </c>
      <c r="AF222">
        <v>0</v>
      </c>
      <c r="AG222">
        <v>0.4</v>
      </c>
      <c r="AH222">
        <v>1</v>
      </c>
      <c r="AI222">
        <v>1</v>
      </c>
      <c r="AJ222">
        <v>2024</v>
      </c>
      <c r="AK222">
        <v>1</v>
      </c>
      <c r="AL222">
        <v>0</v>
      </c>
      <c r="AM222">
        <v>0</v>
      </c>
      <c r="AN222">
        <v>0</v>
      </c>
    </row>
    <row r="223" spans="1:40" x14ac:dyDescent="0.25">
      <c r="A223">
        <v>222</v>
      </c>
      <c r="B223" t="s">
        <v>955</v>
      </c>
      <c r="C223" t="s">
        <v>956</v>
      </c>
      <c r="D223" t="s">
        <v>957</v>
      </c>
      <c r="E223" t="s">
        <v>958</v>
      </c>
      <c r="F223" t="s">
        <v>539</v>
      </c>
      <c r="G223">
        <v>3</v>
      </c>
      <c r="H223">
        <v>2</v>
      </c>
      <c r="I223">
        <v>1228</v>
      </c>
      <c r="J223">
        <v>0</v>
      </c>
      <c r="K223">
        <v>0</v>
      </c>
      <c r="L223">
        <v>5059.3999999999996</v>
      </c>
      <c r="M223">
        <v>2680.7</v>
      </c>
      <c r="N223">
        <v>3895.7</v>
      </c>
      <c r="O223">
        <v>796.2</v>
      </c>
      <c r="P223">
        <v>5377.7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1.46</v>
      </c>
      <c r="W223">
        <v>3</v>
      </c>
      <c r="X223">
        <v>1.46</v>
      </c>
      <c r="Y223">
        <v>0</v>
      </c>
      <c r="Z223">
        <v>0</v>
      </c>
      <c r="AA223">
        <v>0</v>
      </c>
      <c r="AB223">
        <v>0</v>
      </c>
      <c r="AC223">
        <v>1.46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1</v>
      </c>
      <c r="AJ223">
        <v>2024</v>
      </c>
      <c r="AK223">
        <v>1</v>
      </c>
      <c r="AL223">
        <v>0</v>
      </c>
      <c r="AM223">
        <v>0</v>
      </c>
      <c r="AN223">
        <v>0</v>
      </c>
    </row>
    <row r="224" spans="1:40" x14ac:dyDescent="0.25">
      <c r="A224">
        <v>223</v>
      </c>
      <c r="B224" t="s">
        <v>959</v>
      </c>
      <c r="C224" t="s">
        <v>960</v>
      </c>
      <c r="D224" t="s">
        <v>961</v>
      </c>
      <c r="E224" t="s">
        <v>960</v>
      </c>
      <c r="F224" t="s">
        <v>363</v>
      </c>
      <c r="G224">
        <v>1</v>
      </c>
      <c r="H224">
        <v>1</v>
      </c>
      <c r="I224">
        <v>659</v>
      </c>
      <c r="J224">
        <v>0</v>
      </c>
      <c r="K224">
        <v>0</v>
      </c>
      <c r="L224">
        <v>2530.5</v>
      </c>
      <c r="M224">
        <v>1895.1</v>
      </c>
      <c r="N224">
        <v>3749.4</v>
      </c>
      <c r="O224">
        <v>0</v>
      </c>
      <c r="P224">
        <v>30362.5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0.3</v>
      </c>
      <c r="W224">
        <v>3</v>
      </c>
      <c r="X224">
        <v>0.1</v>
      </c>
      <c r="Y224">
        <v>0</v>
      </c>
      <c r="Z224">
        <v>0</v>
      </c>
      <c r="AA224">
        <v>0.2</v>
      </c>
      <c r="AB224">
        <v>0</v>
      </c>
      <c r="AC224">
        <v>0</v>
      </c>
      <c r="AD224">
        <v>0</v>
      </c>
      <c r="AE224">
        <v>0</v>
      </c>
      <c r="AF224">
        <v>0.3</v>
      </c>
      <c r="AG224">
        <v>0</v>
      </c>
      <c r="AH224">
        <v>0</v>
      </c>
      <c r="AI224">
        <v>0</v>
      </c>
      <c r="AL224">
        <v>0</v>
      </c>
      <c r="AM224">
        <v>0</v>
      </c>
      <c r="AN224">
        <v>0</v>
      </c>
    </row>
    <row r="225" spans="1:40" x14ac:dyDescent="0.25">
      <c r="A225">
        <v>224</v>
      </c>
      <c r="B225" t="s">
        <v>962</v>
      </c>
      <c r="C225" t="s">
        <v>963</v>
      </c>
      <c r="D225" t="s">
        <v>964</v>
      </c>
      <c r="E225" t="s">
        <v>194</v>
      </c>
      <c r="F225" t="s">
        <v>100</v>
      </c>
      <c r="G225">
        <v>1</v>
      </c>
      <c r="H225">
        <v>1</v>
      </c>
      <c r="I225">
        <v>1874</v>
      </c>
      <c r="J225">
        <v>0</v>
      </c>
      <c r="K225">
        <v>1</v>
      </c>
      <c r="L225">
        <v>1676.9</v>
      </c>
      <c r="M225">
        <v>1687.3</v>
      </c>
      <c r="N225">
        <v>3221.4</v>
      </c>
      <c r="O225">
        <v>154.5</v>
      </c>
      <c r="P225">
        <v>1358.5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0.66</v>
      </c>
      <c r="W225">
        <v>3.5</v>
      </c>
      <c r="X225">
        <v>0.65999999999999992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0.65999999999999992</v>
      </c>
      <c r="AE225">
        <v>0</v>
      </c>
      <c r="AF225">
        <v>0</v>
      </c>
      <c r="AG225">
        <v>1</v>
      </c>
      <c r="AH225">
        <v>1</v>
      </c>
      <c r="AI225">
        <v>2</v>
      </c>
      <c r="AJ225">
        <v>2023</v>
      </c>
      <c r="AK225">
        <v>2</v>
      </c>
      <c r="AL225">
        <v>0</v>
      </c>
      <c r="AM225">
        <v>0</v>
      </c>
      <c r="AN225">
        <v>0</v>
      </c>
    </row>
    <row r="226" spans="1:40" x14ac:dyDescent="0.25">
      <c r="A226">
        <v>225</v>
      </c>
      <c r="B226" t="s">
        <v>965</v>
      </c>
      <c r="C226" t="s">
        <v>966</v>
      </c>
      <c r="D226" t="s">
        <v>967</v>
      </c>
      <c r="E226" t="s">
        <v>140</v>
      </c>
      <c r="F226" t="s">
        <v>100</v>
      </c>
      <c r="G226">
        <v>2</v>
      </c>
      <c r="H226">
        <v>1</v>
      </c>
      <c r="I226">
        <v>4331</v>
      </c>
      <c r="J226">
        <v>0</v>
      </c>
      <c r="K226">
        <v>0</v>
      </c>
      <c r="L226">
        <v>1039.5999999999999</v>
      </c>
      <c r="M226">
        <v>538.9</v>
      </c>
      <c r="N226">
        <v>2730.8</v>
      </c>
      <c r="O226">
        <v>61.8</v>
      </c>
      <c r="P226">
        <v>867.9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0.28000000000000003</v>
      </c>
      <c r="W226">
        <v>6</v>
      </c>
      <c r="X226">
        <v>0.28000000000000003</v>
      </c>
      <c r="Y226">
        <v>0</v>
      </c>
      <c r="Z226">
        <v>0</v>
      </c>
      <c r="AA226">
        <v>0</v>
      </c>
      <c r="AB226">
        <v>0</v>
      </c>
      <c r="AC226">
        <v>0.28000000000000003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L226">
        <v>0</v>
      </c>
      <c r="AM226">
        <v>0</v>
      </c>
      <c r="AN226">
        <v>0</v>
      </c>
    </row>
    <row r="227" spans="1:40" x14ac:dyDescent="0.25">
      <c r="A227">
        <v>226</v>
      </c>
      <c r="B227" t="s">
        <v>968</v>
      </c>
      <c r="C227" t="s">
        <v>969</v>
      </c>
      <c r="D227" t="s">
        <v>970</v>
      </c>
      <c r="E227" t="s">
        <v>705</v>
      </c>
      <c r="F227" t="s">
        <v>100</v>
      </c>
      <c r="G227">
        <v>1</v>
      </c>
      <c r="H227">
        <v>1</v>
      </c>
      <c r="I227">
        <v>3189</v>
      </c>
      <c r="J227">
        <v>0</v>
      </c>
      <c r="K227">
        <v>0</v>
      </c>
      <c r="L227">
        <v>199.3</v>
      </c>
      <c r="M227">
        <v>697.5</v>
      </c>
      <c r="N227">
        <v>1840.5</v>
      </c>
      <c r="O227">
        <v>513</v>
      </c>
      <c r="P227">
        <v>517.6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0.28000000000000003</v>
      </c>
      <c r="W227">
        <v>6</v>
      </c>
      <c r="X227">
        <v>0.28000000000000003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0.28000000000000003</v>
      </c>
      <c r="AE227">
        <v>0</v>
      </c>
      <c r="AF227">
        <v>0</v>
      </c>
      <c r="AG227">
        <v>1</v>
      </c>
      <c r="AH227">
        <v>0</v>
      </c>
      <c r="AI227">
        <v>0</v>
      </c>
      <c r="AL227">
        <v>0</v>
      </c>
      <c r="AM227">
        <v>0</v>
      </c>
      <c r="AN227">
        <v>0</v>
      </c>
    </row>
    <row r="228" spans="1:40" x14ac:dyDescent="0.25">
      <c r="A228">
        <v>227</v>
      </c>
      <c r="B228" t="s">
        <v>971</v>
      </c>
      <c r="C228" t="s">
        <v>972</v>
      </c>
      <c r="D228" t="s">
        <v>973</v>
      </c>
      <c r="E228" t="s">
        <v>974</v>
      </c>
      <c r="F228" t="s">
        <v>100</v>
      </c>
      <c r="G228">
        <v>2</v>
      </c>
      <c r="H228">
        <v>1</v>
      </c>
      <c r="I228">
        <v>1993</v>
      </c>
      <c r="J228">
        <v>1</v>
      </c>
      <c r="K228">
        <v>0</v>
      </c>
      <c r="L228">
        <v>4711.6000000000004</v>
      </c>
      <c r="M228">
        <v>4644.3</v>
      </c>
      <c r="N228">
        <v>6120.5</v>
      </c>
      <c r="O228">
        <v>2055.4</v>
      </c>
      <c r="P228">
        <v>4446.8999999999996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1.05</v>
      </c>
      <c r="W228">
        <v>3</v>
      </c>
      <c r="X228">
        <v>1.05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1.05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2023</v>
      </c>
      <c r="AK228">
        <v>2</v>
      </c>
      <c r="AL228">
        <v>0</v>
      </c>
      <c r="AM228">
        <v>0</v>
      </c>
      <c r="AN228">
        <v>0</v>
      </c>
    </row>
    <row r="229" spans="1:40" x14ac:dyDescent="0.25">
      <c r="A229">
        <v>228</v>
      </c>
      <c r="B229" t="s">
        <v>975</v>
      </c>
      <c r="C229" t="s">
        <v>976</v>
      </c>
      <c r="D229" t="s">
        <v>977</v>
      </c>
      <c r="E229" t="s">
        <v>978</v>
      </c>
      <c r="F229" t="s">
        <v>176</v>
      </c>
      <c r="G229">
        <v>2</v>
      </c>
      <c r="H229">
        <v>1</v>
      </c>
      <c r="I229">
        <v>774</v>
      </c>
      <c r="J229">
        <v>0</v>
      </c>
      <c r="K229">
        <v>1</v>
      </c>
      <c r="L229">
        <v>4197.2</v>
      </c>
      <c r="M229">
        <v>1316.8</v>
      </c>
      <c r="N229">
        <v>3994.9</v>
      </c>
      <c r="O229">
        <v>483.7</v>
      </c>
      <c r="P229">
        <v>5666.8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0.95</v>
      </c>
      <c r="W229">
        <v>3</v>
      </c>
      <c r="X229">
        <v>0.95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0.55000000000000004</v>
      </c>
      <c r="AE229">
        <v>0.4</v>
      </c>
      <c r="AF229">
        <v>0</v>
      </c>
      <c r="AG229">
        <v>0.57894736842105265</v>
      </c>
      <c r="AH229">
        <v>0</v>
      </c>
      <c r="AI229">
        <v>0</v>
      </c>
      <c r="AL229">
        <v>0</v>
      </c>
      <c r="AM229">
        <v>0</v>
      </c>
      <c r="AN229">
        <v>0</v>
      </c>
    </row>
    <row r="230" spans="1:40" x14ac:dyDescent="0.25">
      <c r="A230">
        <v>229</v>
      </c>
      <c r="B230" t="s">
        <v>979</v>
      </c>
      <c r="C230" t="s">
        <v>980</v>
      </c>
      <c r="D230" t="s">
        <v>981</v>
      </c>
      <c r="E230" t="s">
        <v>705</v>
      </c>
      <c r="F230" t="s">
        <v>100</v>
      </c>
      <c r="G230">
        <v>1</v>
      </c>
      <c r="H230">
        <v>1</v>
      </c>
      <c r="I230">
        <v>3189</v>
      </c>
      <c r="J230">
        <v>0</v>
      </c>
      <c r="K230">
        <v>1</v>
      </c>
      <c r="L230">
        <v>575.9</v>
      </c>
      <c r="M230">
        <v>1149.0999999999999</v>
      </c>
      <c r="N230">
        <v>2120.5</v>
      </c>
      <c r="O230">
        <v>0</v>
      </c>
      <c r="P230">
        <v>257.60000000000002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0.26</v>
      </c>
      <c r="W230">
        <v>6</v>
      </c>
      <c r="X230">
        <v>0.26</v>
      </c>
      <c r="Y230">
        <v>0</v>
      </c>
      <c r="Z230">
        <v>0</v>
      </c>
      <c r="AA230">
        <v>0</v>
      </c>
      <c r="AB230">
        <v>0</v>
      </c>
      <c r="AC230">
        <v>0.26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L230">
        <v>0</v>
      </c>
      <c r="AM230">
        <v>0</v>
      </c>
      <c r="AN230">
        <v>0</v>
      </c>
    </row>
    <row r="231" spans="1:40" x14ac:dyDescent="0.25">
      <c r="A231">
        <v>230</v>
      </c>
      <c r="B231" t="s">
        <v>982</v>
      </c>
      <c r="C231" t="s">
        <v>983</v>
      </c>
      <c r="D231" t="s">
        <v>984</v>
      </c>
      <c r="E231" t="s">
        <v>350</v>
      </c>
      <c r="F231" t="s">
        <v>105</v>
      </c>
      <c r="G231">
        <v>1</v>
      </c>
      <c r="H231">
        <v>1</v>
      </c>
      <c r="I231">
        <v>404</v>
      </c>
      <c r="J231">
        <v>0</v>
      </c>
      <c r="K231">
        <v>1</v>
      </c>
      <c r="L231">
        <v>2164.6999999999998</v>
      </c>
      <c r="M231">
        <v>2573.4</v>
      </c>
      <c r="N231">
        <v>9202</v>
      </c>
      <c r="O231">
        <v>792.2</v>
      </c>
      <c r="P231">
        <v>10581.5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0.82</v>
      </c>
      <c r="W231">
        <v>3</v>
      </c>
      <c r="X231">
        <v>0.79999999999999993</v>
      </c>
      <c r="Y231">
        <v>0</v>
      </c>
      <c r="Z231">
        <v>0</v>
      </c>
      <c r="AA231">
        <v>0</v>
      </c>
      <c r="AB231">
        <v>0.02</v>
      </c>
      <c r="AC231">
        <v>0.79999999999999993</v>
      </c>
      <c r="AD231">
        <v>0</v>
      </c>
      <c r="AE231">
        <v>0</v>
      </c>
      <c r="AF231">
        <v>0.02</v>
      </c>
      <c r="AG231">
        <v>0.97560975609756095</v>
      </c>
      <c r="AH231">
        <v>1</v>
      </c>
      <c r="AI231">
        <v>1</v>
      </c>
      <c r="AJ231">
        <v>2024</v>
      </c>
      <c r="AK231">
        <v>1</v>
      </c>
      <c r="AL231">
        <v>0</v>
      </c>
      <c r="AM231">
        <v>0</v>
      </c>
      <c r="AN231">
        <v>0</v>
      </c>
    </row>
    <row r="232" spans="1:40" x14ac:dyDescent="0.25">
      <c r="A232">
        <v>231</v>
      </c>
      <c r="B232" t="s">
        <v>985</v>
      </c>
      <c r="C232" t="s">
        <v>986</v>
      </c>
      <c r="D232" t="s">
        <v>987</v>
      </c>
      <c r="E232" t="s">
        <v>266</v>
      </c>
      <c r="F232" t="s">
        <v>105</v>
      </c>
      <c r="G232">
        <v>2</v>
      </c>
      <c r="H232">
        <v>1</v>
      </c>
      <c r="I232">
        <v>1057</v>
      </c>
      <c r="J232">
        <v>0</v>
      </c>
      <c r="K232">
        <v>1</v>
      </c>
      <c r="L232">
        <v>2275.5</v>
      </c>
      <c r="M232">
        <v>697.9</v>
      </c>
      <c r="N232">
        <v>4925.3999999999996</v>
      </c>
      <c r="O232">
        <v>1137.2</v>
      </c>
      <c r="P232">
        <v>5385.9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0.36</v>
      </c>
      <c r="W232">
        <v>3</v>
      </c>
      <c r="X232">
        <v>0.36</v>
      </c>
      <c r="Y232">
        <v>0</v>
      </c>
      <c r="Z232">
        <v>0</v>
      </c>
      <c r="AA232">
        <v>0</v>
      </c>
      <c r="AB232">
        <v>0</v>
      </c>
      <c r="AC232">
        <v>0.36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L232">
        <v>0</v>
      </c>
      <c r="AM232">
        <v>0</v>
      </c>
      <c r="AN232">
        <v>0</v>
      </c>
    </row>
    <row r="233" spans="1:40" x14ac:dyDescent="0.25">
      <c r="A233">
        <v>232</v>
      </c>
      <c r="B233" t="s">
        <v>988</v>
      </c>
      <c r="C233" t="s">
        <v>989</v>
      </c>
      <c r="D233" t="s">
        <v>990</v>
      </c>
      <c r="E233" t="s">
        <v>444</v>
      </c>
      <c r="F233" t="s">
        <v>363</v>
      </c>
      <c r="G233">
        <v>1</v>
      </c>
      <c r="H233">
        <v>1</v>
      </c>
      <c r="I233">
        <v>870</v>
      </c>
      <c r="J233">
        <v>1</v>
      </c>
      <c r="K233">
        <v>0</v>
      </c>
      <c r="L233">
        <v>1145.7</v>
      </c>
      <c r="M233">
        <v>907</v>
      </c>
      <c r="N233">
        <v>2364.5</v>
      </c>
      <c r="O233">
        <v>167.6</v>
      </c>
      <c r="P233">
        <v>28977.7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0.32</v>
      </c>
      <c r="W233">
        <v>3</v>
      </c>
      <c r="X233">
        <v>0.32000000000000012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0.12</v>
      </c>
      <c r="AE233">
        <v>0.2</v>
      </c>
      <c r="AF233">
        <v>0</v>
      </c>
      <c r="AG233">
        <v>0.375</v>
      </c>
      <c r="AH233">
        <v>0</v>
      </c>
      <c r="AI233">
        <v>0</v>
      </c>
      <c r="AL233">
        <v>1</v>
      </c>
      <c r="AM233">
        <v>0</v>
      </c>
      <c r="AN233">
        <v>1</v>
      </c>
    </row>
    <row r="234" spans="1:40" x14ac:dyDescent="0.25">
      <c r="A234">
        <v>233</v>
      </c>
      <c r="B234" t="s">
        <v>991</v>
      </c>
      <c r="C234" t="s">
        <v>992</v>
      </c>
      <c r="D234" t="s">
        <v>993</v>
      </c>
      <c r="E234" t="s">
        <v>994</v>
      </c>
      <c r="F234" t="s">
        <v>363</v>
      </c>
      <c r="G234">
        <v>1</v>
      </c>
      <c r="H234">
        <v>1</v>
      </c>
      <c r="I234">
        <v>359</v>
      </c>
      <c r="J234">
        <v>0</v>
      </c>
      <c r="K234">
        <v>0</v>
      </c>
      <c r="L234">
        <v>3497.9</v>
      </c>
      <c r="M234">
        <v>2862.5</v>
      </c>
      <c r="N234">
        <v>4716.7</v>
      </c>
      <c r="O234">
        <v>1205.8</v>
      </c>
      <c r="P234">
        <v>31329.9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0.27</v>
      </c>
      <c r="W234">
        <v>3</v>
      </c>
      <c r="X234">
        <v>0.27</v>
      </c>
      <c r="Y234">
        <v>0</v>
      </c>
      <c r="Z234">
        <v>0</v>
      </c>
      <c r="AA234">
        <v>0</v>
      </c>
      <c r="AB234">
        <v>0</v>
      </c>
      <c r="AC234">
        <v>0.27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L234">
        <v>0</v>
      </c>
      <c r="AM234">
        <v>0</v>
      </c>
      <c r="AN234">
        <v>0</v>
      </c>
    </row>
    <row r="235" spans="1:40" x14ac:dyDescent="0.25">
      <c r="A235">
        <v>234</v>
      </c>
      <c r="B235" t="s">
        <v>995</v>
      </c>
      <c r="C235" t="s">
        <v>996</v>
      </c>
      <c r="D235" t="s">
        <v>997</v>
      </c>
      <c r="E235" t="s">
        <v>998</v>
      </c>
      <c r="F235" t="s">
        <v>105</v>
      </c>
      <c r="G235">
        <v>2</v>
      </c>
      <c r="H235">
        <v>1</v>
      </c>
      <c r="I235">
        <v>1319</v>
      </c>
      <c r="J235">
        <v>0</v>
      </c>
      <c r="K235">
        <v>0</v>
      </c>
      <c r="L235">
        <v>2155.3000000000002</v>
      </c>
      <c r="M235">
        <v>2905.5</v>
      </c>
      <c r="N235">
        <v>7397.2</v>
      </c>
      <c r="O235">
        <v>688</v>
      </c>
      <c r="P235">
        <v>7561.9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0.82</v>
      </c>
      <c r="W235">
        <v>3</v>
      </c>
      <c r="X235">
        <v>0.82</v>
      </c>
      <c r="Y235">
        <v>0</v>
      </c>
      <c r="Z235">
        <v>0</v>
      </c>
      <c r="AA235">
        <v>0</v>
      </c>
      <c r="AB235">
        <v>0</v>
      </c>
      <c r="AC235">
        <v>0.82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2</v>
      </c>
      <c r="AJ235">
        <v>2024</v>
      </c>
      <c r="AK235">
        <v>1</v>
      </c>
      <c r="AL235">
        <v>0</v>
      </c>
      <c r="AM235">
        <v>0</v>
      </c>
      <c r="AN235">
        <v>0</v>
      </c>
    </row>
    <row r="236" spans="1:40" x14ac:dyDescent="0.25">
      <c r="A236">
        <v>235</v>
      </c>
      <c r="B236" t="s">
        <v>999</v>
      </c>
      <c r="C236" t="s">
        <v>1000</v>
      </c>
      <c r="D236" t="s">
        <v>1001</v>
      </c>
      <c r="E236" t="s">
        <v>834</v>
      </c>
      <c r="F236" t="s">
        <v>100</v>
      </c>
      <c r="G236">
        <v>2</v>
      </c>
      <c r="H236">
        <v>1</v>
      </c>
      <c r="I236">
        <v>5063</v>
      </c>
      <c r="J236">
        <v>0</v>
      </c>
      <c r="K236">
        <v>1</v>
      </c>
      <c r="L236">
        <v>705.7</v>
      </c>
      <c r="M236">
        <v>1202.3</v>
      </c>
      <c r="N236">
        <v>2250.3000000000002</v>
      </c>
      <c r="O236">
        <v>328.4</v>
      </c>
      <c r="P236">
        <v>387.4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0.22</v>
      </c>
      <c r="W236">
        <v>4</v>
      </c>
      <c r="X236">
        <v>0.22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0.22</v>
      </c>
      <c r="AE236">
        <v>0</v>
      </c>
      <c r="AF236">
        <v>0</v>
      </c>
      <c r="AG236">
        <v>1</v>
      </c>
      <c r="AH236">
        <v>0</v>
      </c>
      <c r="AI236">
        <v>0</v>
      </c>
      <c r="AL236">
        <v>0</v>
      </c>
      <c r="AM236">
        <v>0</v>
      </c>
      <c r="AN236">
        <v>0</v>
      </c>
    </row>
    <row r="237" spans="1:40" x14ac:dyDescent="0.25">
      <c r="A237">
        <v>236</v>
      </c>
      <c r="B237" t="s">
        <v>1002</v>
      </c>
      <c r="C237" t="s">
        <v>1003</v>
      </c>
      <c r="D237" t="s">
        <v>1004</v>
      </c>
      <c r="E237" t="s">
        <v>1005</v>
      </c>
      <c r="F237" t="s">
        <v>100</v>
      </c>
      <c r="G237">
        <v>2</v>
      </c>
      <c r="H237">
        <v>1</v>
      </c>
      <c r="I237">
        <v>1117</v>
      </c>
      <c r="J237">
        <v>0</v>
      </c>
      <c r="L237">
        <v>2659.6</v>
      </c>
      <c r="M237">
        <v>2809.7</v>
      </c>
      <c r="N237">
        <v>3018.7</v>
      </c>
      <c r="O237">
        <v>1387.7</v>
      </c>
      <c r="P237">
        <v>2514.6999999999998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1.21</v>
      </c>
      <c r="W237">
        <v>3</v>
      </c>
      <c r="X237">
        <v>0.99999999999999989</v>
      </c>
      <c r="Y237">
        <v>0</v>
      </c>
      <c r="Z237">
        <v>0</v>
      </c>
      <c r="AA237">
        <v>0.21</v>
      </c>
      <c r="AB237">
        <v>0</v>
      </c>
      <c r="AC237">
        <v>0</v>
      </c>
      <c r="AD237">
        <v>0.4</v>
      </c>
      <c r="AE237">
        <v>0.4</v>
      </c>
      <c r="AF237">
        <v>0.41</v>
      </c>
      <c r="AG237">
        <v>0.33057851239669422</v>
      </c>
      <c r="AH237">
        <v>0</v>
      </c>
      <c r="AI237">
        <v>0</v>
      </c>
      <c r="AL237">
        <v>0</v>
      </c>
      <c r="AM237">
        <v>0</v>
      </c>
      <c r="AN237">
        <v>0</v>
      </c>
    </row>
    <row r="238" spans="1:40" x14ac:dyDescent="0.25">
      <c r="A238">
        <v>237</v>
      </c>
      <c r="B238" t="s">
        <v>1006</v>
      </c>
      <c r="C238" t="s">
        <v>1007</v>
      </c>
      <c r="D238" t="s">
        <v>1008</v>
      </c>
      <c r="E238" t="s">
        <v>1009</v>
      </c>
      <c r="F238" t="s">
        <v>203</v>
      </c>
      <c r="G238">
        <v>3</v>
      </c>
      <c r="H238">
        <v>2</v>
      </c>
      <c r="I238">
        <v>1967</v>
      </c>
      <c r="J238">
        <v>0</v>
      </c>
      <c r="L238">
        <v>1539.1</v>
      </c>
      <c r="M238">
        <v>1398.4</v>
      </c>
      <c r="N238">
        <v>6968.4</v>
      </c>
      <c r="O238">
        <v>1114.5</v>
      </c>
      <c r="P238">
        <v>5105.5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1.18</v>
      </c>
      <c r="W238">
        <v>3.5</v>
      </c>
      <c r="X238">
        <v>1.18</v>
      </c>
      <c r="Y238">
        <v>0</v>
      </c>
      <c r="Z238">
        <v>0</v>
      </c>
      <c r="AA238">
        <v>0</v>
      </c>
      <c r="AB238">
        <v>0</v>
      </c>
      <c r="AC238">
        <v>1.18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2</v>
      </c>
      <c r="AJ238">
        <v>2022</v>
      </c>
      <c r="AK238">
        <v>3</v>
      </c>
      <c r="AL238">
        <v>0</v>
      </c>
      <c r="AM238">
        <v>0</v>
      </c>
      <c r="AN238">
        <v>0</v>
      </c>
    </row>
    <row r="239" spans="1:40" x14ac:dyDescent="0.25">
      <c r="A239">
        <v>238</v>
      </c>
      <c r="B239" t="s">
        <v>1010</v>
      </c>
      <c r="C239" t="s">
        <v>1011</v>
      </c>
      <c r="D239" t="s">
        <v>1012</v>
      </c>
      <c r="E239" t="s">
        <v>136</v>
      </c>
      <c r="F239" t="s">
        <v>105</v>
      </c>
      <c r="G239">
        <v>2</v>
      </c>
      <c r="H239">
        <v>1</v>
      </c>
      <c r="I239">
        <v>1032</v>
      </c>
      <c r="J239">
        <v>0</v>
      </c>
      <c r="L239">
        <v>4019.5</v>
      </c>
      <c r="M239">
        <v>4023.5</v>
      </c>
      <c r="N239">
        <v>8065.3</v>
      </c>
      <c r="O239">
        <v>547.5</v>
      </c>
      <c r="P239">
        <v>8229.9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1.21</v>
      </c>
      <c r="W239">
        <v>3.5</v>
      </c>
      <c r="X239">
        <v>1.21</v>
      </c>
      <c r="Y239">
        <v>0</v>
      </c>
      <c r="Z239">
        <v>0</v>
      </c>
      <c r="AA239">
        <v>0</v>
      </c>
      <c r="AB239">
        <v>0</v>
      </c>
      <c r="AC239">
        <v>1.21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L239">
        <v>0</v>
      </c>
      <c r="AM239">
        <v>0</v>
      </c>
      <c r="AN239">
        <v>0</v>
      </c>
    </row>
    <row r="240" spans="1:40" x14ac:dyDescent="0.25">
      <c r="A240">
        <v>239</v>
      </c>
      <c r="B240" t="s">
        <v>1013</v>
      </c>
      <c r="C240" t="s">
        <v>1014</v>
      </c>
      <c r="D240" t="s">
        <v>1015</v>
      </c>
      <c r="E240" t="s">
        <v>1016</v>
      </c>
      <c r="F240" t="s">
        <v>149</v>
      </c>
      <c r="G240">
        <v>3</v>
      </c>
      <c r="H240">
        <v>1</v>
      </c>
      <c r="I240">
        <v>2178</v>
      </c>
      <c r="J240">
        <v>0</v>
      </c>
      <c r="K240">
        <v>1</v>
      </c>
      <c r="L240">
        <v>1350.7</v>
      </c>
      <c r="M240">
        <v>2417.8000000000002</v>
      </c>
      <c r="N240">
        <v>9440.5</v>
      </c>
      <c r="O240">
        <v>1818.7</v>
      </c>
      <c r="P240">
        <v>7577.6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3.63</v>
      </c>
      <c r="W240">
        <v>3</v>
      </c>
      <c r="X240">
        <v>1.4</v>
      </c>
      <c r="Y240">
        <v>0</v>
      </c>
      <c r="Z240">
        <v>0</v>
      </c>
      <c r="AA240">
        <v>2.23</v>
      </c>
      <c r="AB240">
        <v>0</v>
      </c>
      <c r="AC240">
        <v>0</v>
      </c>
      <c r="AD240">
        <v>1.2</v>
      </c>
      <c r="AE240">
        <v>0.1</v>
      </c>
      <c r="AF240">
        <v>2.330000000000001</v>
      </c>
      <c r="AG240">
        <v>0.33057851239669411</v>
      </c>
      <c r="AH240">
        <v>1</v>
      </c>
      <c r="AI240">
        <v>2</v>
      </c>
      <c r="AJ240">
        <v>2023</v>
      </c>
      <c r="AK240">
        <v>2</v>
      </c>
      <c r="AL240">
        <v>0</v>
      </c>
      <c r="AM240">
        <v>0</v>
      </c>
      <c r="AN240">
        <v>0</v>
      </c>
    </row>
    <row r="241" spans="1:40" x14ac:dyDescent="0.25">
      <c r="A241">
        <v>240</v>
      </c>
      <c r="B241" t="s">
        <v>1017</v>
      </c>
      <c r="C241" t="s">
        <v>1018</v>
      </c>
      <c r="D241" t="s">
        <v>1019</v>
      </c>
      <c r="E241" t="s">
        <v>586</v>
      </c>
      <c r="F241" t="s">
        <v>176</v>
      </c>
      <c r="G241">
        <v>1</v>
      </c>
      <c r="H241">
        <v>1</v>
      </c>
      <c r="I241">
        <v>837</v>
      </c>
      <c r="J241">
        <v>0</v>
      </c>
      <c r="L241">
        <v>1776.3</v>
      </c>
      <c r="M241">
        <v>1926.4</v>
      </c>
      <c r="N241">
        <v>41.4</v>
      </c>
      <c r="O241">
        <v>827.3</v>
      </c>
      <c r="P241">
        <v>1821.5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10</v>
      </c>
      <c r="X241">
        <v>0</v>
      </c>
      <c r="Y241">
        <v>0</v>
      </c>
      <c r="Z241">
        <v>0</v>
      </c>
      <c r="AA241">
        <v>0.1</v>
      </c>
      <c r="AB241">
        <v>0</v>
      </c>
      <c r="AC241">
        <v>0</v>
      </c>
      <c r="AD241">
        <v>0</v>
      </c>
      <c r="AE241">
        <v>0</v>
      </c>
      <c r="AF241">
        <v>0.1</v>
      </c>
      <c r="AG241">
        <v>0</v>
      </c>
      <c r="AH241">
        <v>0</v>
      </c>
      <c r="AI241">
        <v>0</v>
      </c>
      <c r="AL241">
        <v>0</v>
      </c>
      <c r="AM241">
        <v>0</v>
      </c>
      <c r="AN241">
        <v>0</v>
      </c>
    </row>
    <row r="242" spans="1:40" x14ac:dyDescent="0.25">
      <c r="A242">
        <v>241</v>
      </c>
      <c r="B242" t="s">
        <v>1020</v>
      </c>
      <c r="C242" t="s">
        <v>1021</v>
      </c>
      <c r="D242" t="s">
        <v>1022</v>
      </c>
      <c r="E242" t="s">
        <v>456</v>
      </c>
      <c r="F242" t="s">
        <v>363</v>
      </c>
      <c r="G242">
        <v>1</v>
      </c>
      <c r="H242">
        <v>1</v>
      </c>
      <c r="I242">
        <v>670</v>
      </c>
      <c r="J242">
        <v>1</v>
      </c>
      <c r="L242">
        <v>6687</v>
      </c>
      <c r="M242">
        <v>9170.7000000000007</v>
      </c>
      <c r="N242">
        <v>14571.4</v>
      </c>
      <c r="O242">
        <v>2304.8000000000002</v>
      </c>
      <c r="P242">
        <v>41184.5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1.34</v>
      </c>
      <c r="W242">
        <v>2</v>
      </c>
      <c r="X242">
        <v>0</v>
      </c>
      <c r="Y242">
        <v>0</v>
      </c>
      <c r="Z242">
        <v>1.34</v>
      </c>
      <c r="AA242">
        <v>0</v>
      </c>
      <c r="AB242">
        <v>0</v>
      </c>
      <c r="AC242">
        <v>0.84</v>
      </c>
      <c r="AD242">
        <v>0.2</v>
      </c>
      <c r="AE242">
        <v>0</v>
      </c>
      <c r="AF242">
        <v>0.3</v>
      </c>
      <c r="AG242">
        <v>0.77611940298507465</v>
      </c>
      <c r="AH242">
        <v>1</v>
      </c>
      <c r="AI242">
        <v>1</v>
      </c>
      <c r="AJ242">
        <v>2023</v>
      </c>
      <c r="AK242">
        <v>2</v>
      </c>
      <c r="AL242">
        <v>0</v>
      </c>
      <c r="AM242">
        <v>0</v>
      </c>
      <c r="AN242">
        <v>0</v>
      </c>
    </row>
    <row r="243" spans="1:40" x14ac:dyDescent="0.25">
      <c r="A243">
        <v>242</v>
      </c>
      <c r="B243" t="s">
        <v>1023</v>
      </c>
      <c r="C243" t="s">
        <v>1024</v>
      </c>
      <c r="D243" t="s">
        <v>1025</v>
      </c>
      <c r="E243" t="s">
        <v>323</v>
      </c>
      <c r="F243" t="s">
        <v>100</v>
      </c>
      <c r="G243">
        <v>1</v>
      </c>
      <c r="H243">
        <v>1</v>
      </c>
      <c r="I243">
        <v>938</v>
      </c>
      <c r="J243">
        <v>0</v>
      </c>
      <c r="L243">
        <v>971.4</v>
      </c>
      <c r="M243">
        <v>1121.5</v>
      </c>
      <c r="N243">
        <v>1273</v>
      </c>
      <c r="O243">
        <v>333</v>
      </c>
      <c r="P243">
        <v>826.4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0.19</v>
      </c>
      <c r="W243">
        <v>3.5</v>
      </c>
      <c r="X243">
        <v>0.19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0.19</v>
      </c>
      <c r="AF243">
        <v>0</v>
      </c>
      <c r="AG243">
        <v>0</v>
      </c>
      <c r="AH243">
        <v>0</v>
      </c>
      <c r="AI243">
        <v>0</v>
      </c>
      <c r="AL243">
        <v>1</v>
      </c>
      <c r="AM243">
        <v>0</v>
      </c>
      <c r="AN243">
        <v>1</v>
      </c>
    </row>
    <row r="244" spans="1:40" x14ac:dyDescent="0.25">
      <c r="A244">
        <v>243</v>
      </c>
      <c r="B244" t="s">
        <v>1026</v>
      </c>
      <c r="C244" t="s">
        <v>1027</v>
      </c>
      <c r="D244" t="s">
        <v>1028</v>
      </c>
      <c r="E244" t="s">
        <v>895</v>
      </c>
      <c r="F244" t="s">
        <v>363</v>
      </c>
      <c r="G244">
        <v>1</v>
      </c>
      <c r="H244">
        <v>1</v>
      </c>
      <c r="I244">
        <v>539</v>
      </c>
      <c r="J244">
        <v>0</v>
      </c>
      <c r="L244">
        <v>1229.4000000000001</v>
      </c>
      <c r="M244">
        <v>594</v>
      </c>
      <c r="N244">
        <v>2448.3000000000002</v>
      </c>
      <c r="O244">
        <v>68.099999999999994</v>
      </c>
      <c r="P244">
        <v>29061.4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0.15</v>
      </c>
      <c r="W244">
        <v>3.5</v>
      </c>
      <c r="X244">
        <v>0.15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0.15</v>
      </c>
      <c r="AE244">
        <v>0</v>
      </c>
      <c r="AF244">
        <v>0</v>
      </c>
      <c r="AG244">
        <v>1</v>
      </c>
      <c r="AH244">
        <v>0</v>
      </c>
      <c r="AI244">
        <v>0</v>
      </c>
      <c r="AL244">
        <v>0</v>
      </c>
      <c r="AM244">
        <v>0</v>
      </c>
      <c r="AN244">
        <v>0</v>
      </c>
    </row>
    <row r="245" spans="1:40" x14ac:dyDescent="0.25">
      <c r="A245">
        <v>244</v>
      </c>
      <c r="B245" t="s">
        <v>1029</v>
      </c>
      <c r="C245" t="s">
        <v>1030</v>
      </c>
      <c r="D245" t="s">
        <v>1031</v>
      </c>
      <c r="E245" t="s">
        <v>800</v>
      </c>
      <c r="F245" t="s">
        <v>127</v>
      </c>
      <c r="G245">
        <v>1</v>
      </c>
      <c r="H245">
        <v>1</v>
      </c>
      <c r="I245">
        <v>719</v>
      </c>
      <c r="J245">
        <v>0</v>
      </c>
      <c r="K245">
        <v>1</v>
      </c>
      <c r="L245">
        <v>8162.8</v>
      </c>
      <c r="M245">
        <v>4120.1000000000004</v>
      </c>
      <c r="N245">
        <v>10373.200000000001</v>
      </c>
      <c r="O245">
        <v>1501.9</v>
      </c>
      <c r="P245">
        <v>10275.6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0.24</v>
      </c>
      <c r="W245">
        <v>3</v>
      </c>
      <c r="X245">
        <v>0.24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0.24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2021</v>
      </c>
      <c r="AK245">
        <v>4</v>
      </c>
      <c r="AL245">
        <v>0</v>
      </c>
      <c r="AM245">
        <v>0</v>
      </c>
      <c r="AN245">
        <v>0</v>
      </c>
    </row>
    <row r="246" spans="1:40" x14ac:dyDescent="0.25">
      <c r="A246">
        <v>245</v>
      </c>
      <c r="B246" t="s">
        <v>1032</v>
      </c>
      <c r="C246" t="s">
        <v>1033</v>
      </c>
      <c r="D246" t="s">
        <v>1034</v>
      </c>
      <c r="E246" t="s">
        <v>1035</v>
      </c>
      <c r="F246" t="s">
        <v>262</v>
      </c>
      <c r="G246">
        <v>5</v>
      </c>
      <c r="H246">
        <v>2</v>
      </c>
      <c r="I246">
        <v>2647</v>
      </c>
      <c r="J246">
        <v>0</v>
      </c>
      <c r="L246">
        <v>4267</v>
      </c>
      <c r="M246">
        <v>6331.9</v>
      </c>
      <c r="N246">
        <v>9887.5</v>
      </c>
      <c r="O246">
        <v>3256.1</v>
      </c>
      <c r="P246">
        <v>40166.6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8.5</v>
      </c>
      <c r="W246">
        <v>3.5</v>
      </c>
      <c r="X246">
        <v>8.4999999999999858</v>
      </c>
      <c r="Y246">
        <v>0</v>
      </c>
      <c r="Z246">
        <v>0</v>
      </c>
      <c r="AA246">
        <v>0</v>
      </c>
      <c r="AB246">
        <v>0</v>
      </c>
      <c r="AC246">
        <v>4.8999999999999986</v>
      </c>
      <c r="AD246">
        <v>0.79999999999999993</v>
      </c>
      <c r="AE246">
        <v>0.79999999999999993</v>
      </c>
      <c r="AF246">
        <v>2</v>
      </c>
      <c r="AG246">
        <v>0.6705882352941176</v>
      </c>
      <c r="AH246">
        <v>1</v>
      </c>
      <c r="AI246">
        <v>3</v>
      </c>
      <c r="AJ246">
        <v>2024</v>
      </c>
      <c r="AK246">
        <v>1</v>
      </c>
      <c r="AL246">
        <v>1</v>
      </c>
      <c r="AM246">
        <v>0</v>
      </c>
      <c r="AN246">
        <v>1</v>
      </c>
    </row>
    <row r="247" spans="1:40" x14ac:dyDescent="0.25">
      <c r="A247">
        <v>246</v>
      </c>
      <c r="B247" t="s">
        <v>1036</v>
      </c>
      <c r="C247" t="s">
        <v>1037</v>
      </c>
      <c r="D247" t="s">
        <v>1038</v>
      </c>
      <c r="E247" t="s">
        <v>1039</v>
      </c>
      <c r="F247" t="s">
        <v>176</v>
      </c>
      <c r="G247">
        <v>2</v>
      </c>
      <c r="H247">
        <v>1</v>
      </c>
      <c r="I247">
        <v>567</v>
      </c>
      <c r="J247">
        <v>0</v>
      </c>
      <c r="L247">
        <v>1667.8</v>
      </c>
      <c r="M247">
        <v>1698.5</v>
      </c>
      <c r="N247">
        <v>6822.7</v>
      </c>
      <c r="O247">
        <v>319</v>
      </c>
      <c r="P247">
        <v>8494.6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2.11</v>
      </c>
      <c r="W247">
        <v>3</v>
      </c>
      <c r="X247">
        <v>2.11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</v>
      </c>
      <c r="AE247">
        <v>0.4</v>
      </c>
      <c r="AF247">
        <v>0.4</v>
      </c>
      <c r="AG247">
        <v>0.62085308056872046</v>
      </c>
      <c r="AH247">
        <v>1</v>
      </c>
      <c r="AI247">
        <v>2</v>
      </c>
      <c r="AJ247">
        <v>2023</v>
      </c>
      <c r="AK247">
        <v>2</v>
      </c>
      <c r="AL247">
        <v>0</v>
      </c>
      <c r="AM247">
        <v>0</v>
      </c>
      <c r="AN247">
        <v>0</v>
      </c>
    </row>
    <row r="248" spans="1:40" x14ac:dyDescent="0.25">
      <c r="A248">
        <v>247</v>
      </c>
      <c r="B248" t="s">
        <v>1040</v>
      </c>
      <c r="C248" t="s">
        <v>1041</v>
      </c>
      <c r="D248" t="s">
        <v>1042</v>
      </c>
      <c r="E248" t="s">
        <v>624</v>
      </c>
      <c r="F248" t="s">
        <v>315</v>
      </c>
      <c r="G248">
        <v>1</v>
      </c>
      <c r="H248">
        <v>1</v>
      </c>
      <c r="I248">
        <v>923</v>
      </c>
      <c r="J248">
        <v>0</v>
      </c>
      <c r="L248">
        <v>330.2</v>
      </c>
      <c r="M248">
        <v>687.1</v>
      </c>
      <c r="N248">
        <v>1549.1</v>
      </c>
      <c r="O248">
        <v>293.3</v>
      </c>
      <c r="P248">
        <v>28162.2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0.37</v>
      </c>
      <c r="W248">
        <v>3</v>
      </c>
      <c r="X248">
        <v>0.37000000000000011</v>
      </c>
      <c r="Y248">
        <v>0</v>
      </c>
      <c r="Z248">
        <v>0</v>
      </c>
      <c r="AA248">
        <v>0</v>
      </c>
      <c r="AB248">
        <v>0</v>
      </c>
      <c r="AC248">
        <v>0.37000000000000011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L248">
        <v>0</v>
      </c>
      <c r="AM248">
        <v>0</v>
      </c>
      <c r="AN248">
        <v>0</v>
      </c>
    </row>
    <row r="249" spans="1:40" x14ac:dyDescent="0.25">
      <c r="A249">
        <v>248</v>
      </c>
      <c r="B249" t="s">
        <v>1043</v>
      </c>
      <c r="C249" t="s">
        <v>1044</v>
      </c>
      <c r="D249" t="s">
        <v>1045</v>
      </c>
      <c r="E249" t="s">
        <v>332</v>
      </c>
      <c r="F249" t="s">
        <v>100</v>
      </c>
      <c r="G249">
        <v>2</v>
      </c>
      <c r="H249">
        <v>1</v>
      </c>
      <c r="I249">
        <v>1848</v>
      </c>
      <c r="J249">
        <v>1</v>
      </c>
      <c r="L249">
        <v>8527.2999999999993</v>
      </c>
      <c r="M249">
        <v>7774.8</v>
      </c>
      <c r="N249">
        <v>9936.2999999999993</v>
      </c>
      <c r="O249">
        <v>646</v>
      </c>
      <c r="P249">
        <v>8262.6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2.36</v>
      </c>
      <c r="W249">
        <v>3.5</v>
      </c>
      <c r="X249">
        <v>2.3600000000000012</v>
      </c>
      <c r="Y249">
        <v>0</v>
      </c>
      <c r="Z249">
        <v>0</v>
      </c>
      <c r="AA249">
        <v>0</v>
      </c>
      <c r="AB249">
        <v>0</v>
      </c>
      <c r="AC249">
        <v>0.2</v>
      </c>
      <c r="AD249">
        <v>1.9600000000000011</v>
      </c>
      <c r="AE249">
        <v>0.2</v>
      </c>
      <c r="AF249">
        <v>0</v>
      </c>
      <c r="AG249">
        <v>0.9152542372881356</v>
      </c>
      <c r="AH249">
        <v>0</v>
      </c>
      <c r="AI249">
        <v>0</v>
      </c>
      <c r="AL249">
        <v>0</v>
      </c>
      <c r="AM249">
        <v>0</v>
      </c>
      <c r="AN249">
        <v>0</v>
      </c>
    </row>
    <row r="250" spans="1:40" x14ac:dyDescent="0.25">
      <c r="A250">
        <v>249</v>
      </c>
      <c r="B250" t="s">
        <v>1046</v>
      </c>
      <c r="C250" t="s">
        <v>1047</v>
      </c>
      <c r="D250" t="s">
        <v>1048</v>
      </c>
      <c r="E250" t="s">
        <v>1049</v>
      </c>
      <c r="F250" t="s">
        <v>363</v>
      </c>
      <c r="G250">
        <v>4</v>
      </c>
      <c r="H250">
        <v>1</v>
      </c>
      <c r="I250">
        <v>1766</v>
      </c>
      <c r="J250">
        <v>1</v>
      </c>
      <c r="L250">
        <v>1237.4000000000001</v>
      </c>
      <c r="M250">
        <v>1128.8</v>
      </c>
      <c r="N250">
        <v>806.8</v>
      </c>
      <c r="O250">
        <v>247.1</v>
      </c>
      <c r="P250">
        <v>28042.799999999999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2.1</v>
      </c>
      <c r="W250">
        <v>3.5</v>
      </c>
      <c r="X250">
        <v>2.100000000000001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0.5</v>
      </c>
      <c r="AE250">
        <v>1.2</v>
      </c>
      <c r="AF250">
        <v>0.4</v>
      </c>
      <c r="AG250">
        <v>0.23809523809523811</v>
      </c>
      <c r="AH250">
        <v>0</v>
      </c>
      <c r="AI250">
        <v>0</v>
      </c>
      <c r="AL250">
        <v>0</v>
      </c>
      <c r="AM250">
        <v>0</v>
      </c>
      <c r="AN250">
        <v>0</v>
      </c>
    </row>
    <row r="251" spans="1:40" x14ac:dyDescent="0.25">
      <c r="A251">
        <v>250</v>
      </c>
      <c r="B251" t="s">
        <v>1050</v>
      </c>
      <c r="C251" t="s">
        <v>1051</v>
      </c>
      <c r="D251" t="s">
        <v>1052</v>
      </c>
      <c r="E251" t="s">
        <v>194</v>
      </c>
      <c r="F251" t="s">
        <v>100</v>
      </c>
      <c r="G251">
        <v>1</v>
      </c>
      <c r="H251">
        <v>1</v>
      </c>
      <c r="I251">
        <v>1874</v>
      </c>
      <c r="J251">
        <v>0</v>
      </c>
      <c r="K251">
        <v>1</v>
      </c>
      <c r="L251">
        <v>978.5</v>
      </c>
      <c r="M251">
        <v>1471.4</v>
      </c>
      <c r="N251">
        <v>2523.1</v>
      </c>
      <c r="O251">
        <v>597.5</v>
      </c>
      <c r="P251">
        <v>660.2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</v>
      </c>
      <c r="W251">
        <v>6</v>
      </c>
      <c r="X251">
        <v>0.2</v>
      </c>
      <c r="Y251">
        <v>0</v>
      </c>
      <c r="Z251">
        <v>0</v>
      </c>
      <c r="AA251">
        <v>0</v>
      </c>
      <c r="AB251">
        <v>0</v>
      </c>
      <c r="AC251">
        <v>0.2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1</v>
      </c>
      <c r="AJ251">
        <v>2024</v>
      </c>
      <c r="AK251">
        <v>1</v>
      </c>
      <c r="AL251">
        <v>0</v>
      </c>
      <c r="AM251">
        <v>0</v>
      </c>
      <c r="AN251">
        <v>0</v>
      </c>
    </row>
    <row r="252" spans="1:40" x14ac:dyDescent="0.25">
      <c r="A252">
        <v>251</v>
      </c>
      <c r="B252" t="s">
        <v>1053</v>
      </c>
      <c r="C252" t="s">
        <v>1054</v>
      </c>
      <c r="D252" t="s">
        <v>1055</v>
      </c>
      <c r="E252" t="s">
        <v>448</v>
      </c>
      <c r="F252" t="s">
        <v>315</v>
      </c>
      <c r="G252">
        <v>1</v>
      </c>
      <c r="H252">
        <v>1</v>
      </c>
      <c r="I252">
        <v>706</v>
      </c>
      <c r="J252">
        <v>0</v>
      </c>
      <c r="L252">
        <v>1189.4000000000001</v>
      </c>
      <c r="M252">
        <v>691.1</v>
      </c>
      <c r="N252">
        <v>2147.9</v>
      </c>
      <c r="O252">
        <v>452.2</v>
      </c>
      <c r="P252">
        <v>28761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0.4</v>
      </c>
      <c r="W252">
        <v>3.5</v>
      </c>
      <c r="X252">
        <v>0.4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0.4</v>
      </c>
      <c r="AF252">
        <v>0</v>
      </c>
      <c r="AG252">
        <v>0</v>
      </c>
      <c r="AH252">
        <v>0</v>
      </c>
      <c r="AI252">
        <v>0</v>
      </c>
      <c r="AL252">
        <v>0</v>
      </c>
      <c r="AM252">
        <v>0</v>
      </c>
      <c r="AN252">
        <v>0</v>
      </c>
    </row>
    <row r="253" spans="1:40" x14ac:dyDescent="0.25">
      <c r="A253">
        <v>252</v>
      </c>
      <c r="B253" t="s">
        <v>1056</v>
      </c>
      <c r="C253" t="s">
        <v>1057</v>
      </c>
      <c r="D253" t="s">
        <v>1058</v>
      </c>
      <c r="E253" t="s">
        <v>1059</v>
      </c>
      <c r="F253" t="s">
        <v>185</v>
      </c>
      <c r="G253">
        <v>2</v>
      </c>
      <c r="H253">
        <v>1</v>
      </c>
      <c r="I253">
        <v>661</v>
      </c>
      <c r="J253">
        <v>0</v>
      </c>
      <c r="L253">
        <v>5869.6</v>
      </c>
      <c r="M253">
        <v>7934.5</v>
      </c>
      <c r="N253">
        <v>956069302</v>
      </c>
      <c r="O253">
        <v>2013.1</v>
      </c>
      <c r="P253">
        <v>47122.1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6.93</v>
      </c>
      <c r="W253">
        <v>3.5</v>
      </c>
      <c r="X253">
        <v>3.6000000000000019</v>
      </c>
      <c r="Y253">
        <v>0</v>
      </c>
      <c r="Z253">
        <v>1.5</v>
      </c>
      <c r="AA253">
        <v>1.830000000000001</v>
      </c>
      <c r="AB253">
        <v>0</v>
      </c>
      <c r="AC253">
        <v>0</v>
      </c>
      <c r="AD253">
        <v>3.6000000000000019</v>
      </c>
      <c r="AE253">
        <v>0.89999999999999991</v>
      </c>
      <c r="AF253">
        <v>2.430000000000001</v>
      </c>
      <c r="AG253">
        <v>0.51948051948051954</v>
      </c>
      <c r="AH253">
        <v>1</v>
      </c>
      <c r="AI253">
        <v>2</v>
      </c>
      <c r="AJ253">
        <v>2022</v>
      </c>
      <c r="AK253">
        <v>3</v>
      </c>
      <c r="AL253">
        <v>1</v>
      </c>
      <c r="AM253">
        <v>0</v>
      </c>
      <c r="AN253">
        <v>1</v>
      </c>
    </row>
    <row r="254" spans="1:40" x14ac:dyDescent="0.25">
      <c r="A254">
        <v>253</v>
      </c>
      <c r="B254" t="s">
        <v>1060</v>
      </c>
      <c r="C254" t="s">
        <v>1061</v>
      </c>
      <c r="D254" t="s">
        <v>1062</v>
      </c>
      <c r="E254" t="s">
        <v>1063</v>
      </c>
      <c r="F254" t="s">
        <v>363</v>
      </c>
      <c r="G254">
        <v>1</v>
      </c>
      <c r="H254">
        <v>1</v>
      </c>
      <c r="I254">
        <v>406</v>
      </c>
      <c r="J254">
        <v>1</v>
      </c>
      <c r="L254">
        <v>847.4</v>
      </c>
      <c r="M254">
        <v>608.70000000000005</v>
      </c>
      <c r="N254">
        <v>2066.3000000000002</v>
      </c>
      <c r="O254">
        <v>365.6</v>
      </c>
      <c r="P254">
        <v>28679.4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0.28000000000000003</v>
      </c>
      <c r="W254">
        <v>3</v>
      </c>
      <c r="X254">
        <v>0.28000000000000003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0.28000000000000003</v>
      </c>
      <c r="AF254">
        <v>0</v>
      </c>
      <c r="AG254">
        <v>0</v>
      </c>
      <c r="AH254">
        <v>0</v>
      </c>
      <c r="AI254">
        <v>0</v>
      </c>
      <c r="AL254">
        <v>1</v>
      </c>
      <c r="AM254">
        <v>0</v>
      </c>
      <c r="AN254">
        <v>1</v>
      </c>
    </row>
    <row r="255" spans="1:40" x14ac:dyDescent="0.25">
      <c r="A255">
        <v>254</v>
      </c>
      <c r="B255" t="s">
        <v>1064</v>
      </c>
      <c r="C255" t="s">
        <v>1065</v>
      </c>
      <c r="D255" t="s">
        <v>1066</v>
      </c>
      <c r="E255" t="s">
        <v>498</v>
      </c>
      <c r="F255" t="s">
        <v>176</v>
      </c>
      <c r="G255">
        <v>2</v>
      </c>
      <c r="H255">
        <v>1</v>
      </c>
      <c r="I255">
        <v>1245</v>
      </c>
      <c r="J255">
        <v>0</v>
      </c>
      <c r="L255">
        <v>3149.3</v>
      </c>
      <c r="M255">
        <v>3299.4</v>
      </c>
      <c r="N255">
        <v>1522.6</v>
      </c>
      <c r="O255">
        <v>800.7</v>
      </c>
      <c r="P255">
        <v>3194.5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0.68</v>
      </c>
      <c r="W255">
        <v>3.5</v>
      </c>
      <c r="X255">
        <v>0.67999999999999994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0.67999999999999994</v>
      </c>
      <c r="AE255">
        <v>0</v>
      </c>
      <c r="AF255">
        <v>0</v>
      </c>
      <c r="AG255">
        <v>1</v>
      </c>
      <c r="AH255">
        <v>0</v>
      </c>
      <c r="AI255">
        <v>0</v>
      </c>
      <c r="AL255">
        <v>0</v>
      </c>
      <c r="AM255">
        <v>0</v>
      </c>
      <c r="AN255">
        <v>0</v>
      </c>
    </row>
    <row r="256" spans="1:40" x14ac:dyDescent="0.25">
      <c r="A256">
        <v>255</v>
      </c>
      <c r="B256" t="s">
        <v>1067</v>
      </c>
      <c r="C256" t="s">
        <v>1068</v>
      </c>
      <c r="D256" t="s">
        <v>1069</v>
      </c>
      <c r="E256" t="s">
        <v>1070</v>
      </c>
      <c r="F256" t="s">
        <v>315</v>
      </c>
      <c r="G256">
        <v>1</v>
      </c>
      <c r="H256">
        <v>1</v>
      </c>
      <c r="I256">
        <v>1352</v>
      </c>
      <c r="J256">
        <v>0</v>
      </c>
      <c r="L256">
        <v>8023.3</v>
      </c>
      <c r="M256">
        <v>10088.200000000001</v>
      </c>
      <c r="N256">
        <v>6771.5</v>
      </c>
      <c r="O256">
        <v>500.2</v>
      </c>
      <c r="P256">
        <v>40497.1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0.66</v>
      </c>
      <c r="W256">
        <v>3</v>
      </c>
      <c r="X256">
        <v>0</v>
      </c>
      <c r="Y256">
        <v>0</v>
      </c>
      <c r="Z256">
        <v>0.65999999999999992</v>
      </c>
      <c r="AA256">
        <v>0</v>
      </c>
      <c r="AB256">
        <v>0</v>
      </c>
      <c r="AC256">
        <v>0</v>
      </c>
      <c r="AD256">
        <v>0.65999999999999992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2023</v>
      </c>
      <c r="AK256">
        <v>2</v>
      </c>
      <c r="AL256">
        <v>0</v>
      </c>
      <c r="AM256">
        <v>0</v>
      </c>
      <c r="AN256">
        <v>0</v>
      </c>
    </row>
    <row r="257" spans="1:40" x14ac:dyDescent="0.25">
      <c r="A257">
        <v>256</v>
      </c>
      <c r="B257" t="s">
        <v>1071</v>
      </c>
      <c r="C257" t="s">
        <v>1072</v>
      </c>
      <c r="D257" t="s">
        <v>1073</v>
      </c>
      <c r="E257" t="s">
        <v>1074</v>
      </c>
      <c r="F257" t="s">
        <v>539</v>
      </c>
      <c r="G257">
        <v>4</v>
      </c>
      <c r="H257">
        <v>2</v>
      </c>
      <c r="I257">
        <v>1988</v>
      </c>
      <c r="J257">
        <v>0</v>
      </c>
      <c r="L257">
        <v>8950.1</v>
      </c>
      <c r="M257">
        <v>6258.4</v>
      </c>
      <c r="N257">
        <v>8924.7000000000007</v>
      </c>
      <c r="O257">
        <v>2875.1</v>
      </c>
      <c r="P257">
        <v>9268.4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4.51</v>
      </c>
      <c r="W257">
        <v>3</v>
      </c>
      <c r="X257">
        <v>0</v>
      </c>
      <c r="Y257">
        <v>0</v>
      </c>
      <c r="Z257">
        <v>0</v>
      </c>
      <c r="AA257">
        <v>1.8</v>
      </c>
      <c r="AB257">
        <v>2.7100000000000009</v>
      </c>
      <c r="AC257">
        <v>0</v>
      </c>
      <c r="AD257">
        <v>0</v>
      </c>
      <c r="AE257">
        <v>0</v>
      </c>
      <c r="AF257">
        <v>4.51</v>
      </c>
      <c r="AG257">
        <v>0</v>
      </c>
      <c r="AH257">
        <v>0</v>
      </c>
      <c r="AI257">
        <v>0</v>
      </c>
      <c r="AL257">
        <v>0</v>
      </c>
      <c r="AM257">
        <v>0</v>
      </c>
      <c r="AN257">
        <v>0</v>
      </c>
    </row>
    <row r="258" spans="1:40" x14ac:dyDescent="0.25">
      <c r="A258">
        <v>257</v>
      </c>
      <c r="B258" t="s">
        <v>1075</v>
      </c>
      <c r="C258" t="s">
        <v>1076</v>
      </c>
      <c r="D258" t="s">
        <v>1077</v>
      </c>
      <c r="E258" t="s">
        <v>1078</v>
      </c>
      <c r="F258" t="s">
        <v>127</v>
      </c>
      <c r="G258">
        <v>2</v>
      </c>
      <c r="H258">
        <v>1</v>
      </c>
      <c r="I258">
        <v>938</v>
      </c>
      <c r="J258">
        <v>0</v>
      </c>
      <c r="L258">
        <v>8550.7999999999993</v>
      </c>
      <c r="M258">
        <v>4601.1000000000004</v>
      </c>
      <c r="N258">
        <v>10761.2</v>
      </c>
      <c r="O258">
        <v>2190.3000000000002</v>
      </c>
      <c r="P258">
        <v>10663.6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2.87</v>
      </c>
      <c r="W258">
        <v>3.5</v>
      </c>
      <c r="X258">
        <v>2.870000000000001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0.99999999999999989</v>
      </c>
      <c r="AE258">
        <v>1.67</v>
      </c>
      <c r="AF258">
        <v>0.2</v>
      </c>
      <c r="AG258">
        <v>0.34843205574912878</v>
      </c>
      <c r="AH258">
        <v>1</v>
      </c>
      <c r="AI258">
        <v>1</v>
      </c>
      <c r="AJ258">
        <v>2021</v>
      </c>
      <c r="AK258">
        <v>4</v>
      </c>
      <c r="AL258">
        <v>0</v>
      </c>
      <c r="AM258">
        <v>0</v>
      </c>
      <c r="AN258">
        <v>0</v>
      </c>
    </row>
    <row r="259" spans="1:40" x14ac:dyDescent="0.25">
      <c r="A259">
        <v>258</v>
      </c>
      <c r="B259" t="s">
        <v>1079</v>
      </c>
      <c r="C259" t="s">
        <v>1080</v>
      </c>
      <c r="D259" t="s">
        <v>1081</v>
      </c>
      <c r="E259" t="s">
        <v>105</v>
      </c>
      <c r="F259" t="s">
        <v>105</v>
      </c>
      <c r="G259">
        <v>1</v>
      </c>
      <c r="H259">
        <v>1</v>
      </c>
      <c r="I259">
        <v>423</v>
      </c>
      <c r="J259">
        <v>0</v>
      </c>
      <c r="K259">
        <v>1</v>
      </c>
      <c r="L259">
        <v>1326.5</v>
      </c>
      <c r="M259">
        <v>974.6</v>
      </c>
      <c r="N259">
        <v>7130</v>
      </c>
      <c r="O259">
        <v>997.9</v>
      </c>
      <c r="P259">
        <v>8509.5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1.03</v>
      </c>
      <c r="W259">
        <v>3</v>
      </c>
      <c r="X259">
        <v>1.03</v>
      </c>
      <c r="Y259">
        <v>0</v>
      </c>
      <c r="Z259">
        <v>0</v>
      </c>
      <c r="AA259">
        <v>0</v>
      </c>
      <c r="AB259">
        <v>0</v>
      </c>
      <c r="AC259">
        <v>1.03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L259">
        <v>0</v>
      </c>
      <c r="AM259">
        <v>0</v>
      </c>
      <c r="AN259">
        <v>0</v>
      </c>
    </row>
    <row r="260" spans="1:40" x14ac:dyDescent="0.25">
      <c r="A260">
        <v>259</v>
      </c>
      <c r="B260" t="s">
        <v>1082</v>
      </c>
      <c r="C260" t="s">
        <v>1083</v>
      </c>
      <c r="D260" t="s">
        <v>1084</v>
      </c>
      <c r="E260" t="s">
        <v>1085</v>
      </c>
      <c r="F260" t="s">
        <v>503</v>
      </c>
      <c r="G260">
        <v>4</v>
      </c>
      <c r="H260">
        <v>2</v>
      </c>
      <c r="I260">
        <v>1341</v>
      </c>
      <c r="J260">
        <v>0</v>
      </c>
      <c r="K260">
        <v>1</v>
      </c>
      <c r="L260">
        <v>2386.8000000000002</v>
      </c>
      <c r="M260">
        <v>1123.5</v>
      </c>
      <c r="N260">
        <v>8060.7</v>
      </c>
      <c r="O260">
        <v>90.4</v>
      </c>
      <c r="P260">
        <v>9459.2999999999993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2.73</v>
      </c>
      <c r="W260">
        <v>3.5</v>
      </c>
      <c r="X260">
        <v>2.7300000000000009</v>
      </c>
      <c r="Y260">
        <v>0</v>
      </c>
      <c r="Z260">
        <v>0</v>
      </c>
      <c r="AA260">
        <v>0</v>
      </c>
      <c r="AB260">
        <v>0</v>
      </c>
      <c r="AC260">
        <v>2.7300000000000009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2</v>
      </c>
      <c r="AJ260">
        <v>2024</v>
      </c>
      <c r="AK260">
        <v>1</v>
      </c>
      <c r="AL260">
        <v>0</v>
      </c>
      <c r="AM260">
        <v>0</v>
      </c>
      <c r="AN260">
        <v>0</v>
      </c>
    </row>
    <row r="261" spans="1:40" x14ac:dyDescent="0.25">
      <c r="A261">
        <v>260</v>
      </c>
      <c r="B261" t="s">
        <v>1086</v>
      </c>
      <c r="C261" t="s">
        <v>1087</v>
      </c>
      <c r="D261" t="s">
        <v>1088</v>
      </c>
      <c r="E261" t="s">
        <v>1089</v>
      </c>
      <c r="F261" t="s">
        <v>100</v>
      </c>
      <c r="G261">
        <v>2</v>
      </c>
      <c r="H261">
        <v>1</v>
      </c>
      <c r="I261">
        <v>2613</v>
      </c>
      <c r="J261">
        <v>0</v>
      </c>
      <c r="L261">
        <v>2905.9</v>
      </c>
      <c r="M261">
        <v>3449</v>
      </c>
      <c r="N261">
        <v>4261.3</v>
      </c>
      <c r="O261">
        <v>143.1</v>
      </c>
      <c r="P261">
        <v>2587.6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</v>
      </c>
      <c r="W261">
        <v>4</v>
      </c>
      <c r="X261">
        <v>0.2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</v>
      </c>
      <c r="AE261">
        <v>0</v>
      </c>
      <c r="AF261">
        <v>0</v>
      </c>
      <c r="AG261">
        <v>1</v>
      </c>
      <c r="AH261">
        <v>0</v>
      </c>
      <c r="AI261">
        <v>0</v>
      </c>
      <c r="AL261">
        <v>0</v>
      </c>
      <c r="AM261">
        <v>0</v>
      </c>
      <c r="AN261">
        <v>0</v>
      </c>
    </row>
    <row r="262" spans="1:40" x14ac:dyDescent="0.25">
      <c r="A262">
        <v>261</v>
      </c>
      <c r="B262" t="s">
        <v>1090</v>
      </c>
      <c r="C262" t="s">
        <v>1091</v>
      </c>
      <c r="D262" t="s">
        <v>1092</v>
      </c>
      <c r="E262" t="s">
        <v>1093</v>
      </c>
      <c r="F262" t="s">
        <v>100</v>
      </c>
      <c r="G262">
        <v>6</v>
      </c>
      <c r="H262">
        <v>1</v>
      </c>
      <c r="I262">
        <v>8588</v>
      </c>
      <c r="J262">
        <v>1</v>
      </c>
      <c r="K262">
        <v>1</v>
      </c>
      <c r="L262">
        <v>3075.6</v>
      </c>
      <c r="M262">
        <v>3618.6</v>
      </c>
      <c r="N262">
        <v>4430.8999999999996</v>
      </c>
      <c r="O262">
        <v>365.8</v>
      </c>
      <c r="P262">
        <v>2757.2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5.32</v>
      </c>
      <c r="W262">
        <v>4</v>
      </c>
      <c r="X262">
        <v>5.3199999999999967</v>
      </c>
      <c r="Y262">
        <v>0</v>
      </c>
      <c r="Z262">
        <v>0</v>
      </c>
      <c r="AA262">
        <v>0</v>
      </c>
      <c r="AB262">
        <v>0</v>
      </c>
      <c r="AC262">
        <v>0.6</v>
      </c>
      <c r="AD262">
        <v>4.120000000000001</v>
      </c>
      <c r="AE262">
        <v>0.4</v>
      </c>
      <c r="AF262">
        <v>0.2</v>
      </c>
      <c r="AG262">
        <v>0.88721804511278191</v>
      </c>
      <c r="AH262">
        <v>1</v>
      </c>
      <c r="AI262">
        <v>2</v>
      </c>
      <c r="AJ262">
        <v>2024</v>
      </c>
      <c r="AK262">
        <v>1</v>
      </c>
      <c r="AL262">
        <v>0</v>
      </c>
      <c r="AM262">
        <v>0</v>
      </c>
      <c r="AN262">
        <v>0</v>
      </c>
    </row>
    <row r="263" spans="1:40" x14ac:dyDescent="0.25">
      <c r="A263">
        <v>262</v>
      </c>
      <c r="B263" t="s">
        <v>1094</v>
      </c>
      <c r="C263" t="s">
        <v>1095</v>
      </c>
      <c r="D263" t="s">
        <v>1096</v>
      </c>
      <c r="E263" t="s">
        <v>1097</v>
      </c>
      <c r="F263" t="s">
        <v>190</v>
      </c>
      <c r="G263">
        <v>1</v>
      </c>
      <c r="H263">
        <v>1</v>
      </c>
      <c r="I263">
        <v>371</v>
      </c>
      <c r="J263">
        <v>0</v>
      </c>
      <c r="K263">
        <v>1</v>
      </c>
      <c r="L263">
        <v>608.29999999999995</v>
      </c>
      <c r="M263">
        <v>2430.4</v>
      </c>
      <c r="N263">
        <v>11122</v>
      </c>
      <c r="O263">
        <v>277.2</v>
      </c>
      <c r="P263">
        <v>12501.5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0.64</v>
      </c>
      <c r="W263">
        <v>3</v>
      </c>
      <c r="X263">
        <v>0.5</v>
      </c>
      <c r="Y263">
        <v>0</v>
      </c>
      <c r="Z263">
        <v>0</v>
      </c>
      <c r="AA263">
        <v>0</v>
      </c>
      <c r="AB263">
        <v>0.14000000000000001</v>
      </c>
      <c r="AC263">
        <v>0</v>
      </c>
      <c r="AD263">
        <v>0.5</v>
      </c>
      <c r="AE263">
        <v>0</v>
      </c>
      <c r="AF263">
        <v>0.14000000000000001</v>
      </c>
      <c r="AG263">
        <v>0.78125</v>
      </c>
      <c r="AH263">
        <v>0</v>
      </c>
      <c r="AI263">
        <v>0</v>
      </c>
      <c r="AL263">
        <v>0</v>
      </c>
      <c r="AM263">
        <v>0</v>
      </c>
      <c r="AN263">
        <v>0</v>
      </c>
    </row>
    <row r="264" spans="1:40" x14ac:dyDescent="0.25">
      <c r="A264">
        <v>263</v>
      </c>
      <c r="B264" t="s">
        <v>1098</v>
      </c>
      <c r="C264" t="s">
        <v>1099</v>
      </c>
      <c r="D264" t="s">
        <v>1100</v>
      </c>
      <c r="E264" t="s">
        <v>1097</v>
      </c>
      <c r="F264" t="s">
        <v>190</v>
      </c>
      <c r="G264">
        <v>1</v>
      </c>
      <c r="H264">
        <v>1</v>
      </c>
      <c r="I264">
        <v>371</v>
      </c>
      <c r="J264">
        <v>0</v>
      </c>
      <c r="K264">
        <v>1</v>
      </c>
      <c r="L264">
        <v>744.7</v>
      </c>
      <c r="M264">
        <v>3138.6</v>
      </c>
      <c r="N264">
        <v>11056.8</v>
      </c>
      <c r="O264">
        <v>1075.9000000000001</v>
      </c>
      <c r="P264">
        <v>12436.3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1.26</v>
      </c>
      <c r="W264">
        <v>3.5</v>
      </c>
      <c r="X264">
        <v>1.26</v>
      </c>
      <c r="Y264">
        <v>0</v>
      </c>
      <c r="Z264">
        <v>0</v>
      </c>
      <c r="AA264">
        <v>0</v>
      </c>
      <c r="AB264">
        <v>0</v>
      </c>
      <c r="AC264">
        <v>1.26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2</v>
      </c>
      <c r="AJ264">
        <v>2023</v>
      </c>
      <c r="AK264">
        <v>2</v>
      </c>
      <c r="AL264">
        <v>0</v>
      </c>
      <c r="AM264">
        <v>0</v>
      </c>
      <c r="AN264">
        <v>0</v>
      </c>
    </row>
    <row r="265" spans="1:40" x14ac:dyDescent="0.25">
      <c r="A265">
        <v>264</v>
      </c>
      <c r="B265" t="s">
        <v>1101</v>
      </c>
      <c r="C265" t="s">
        <v>1102</v>
      </c>
      <c r="D265" t="s">
        <v>1103</v>
      </c>
      <c r="E265" t="s">
        <v>1104</v>
      </c>
      <c r="F265" t="s">
        <v>503</v>
      </c>
      <c r="G265">
        <v>2</v>
      </c>
      <c r="H265">
        <v>2</v>
      </c>
      <c r="I265">
        <v>1350</v>
      </c>
      <c r="J265">
        <v>0</v>
      </c>
      <c r="K265">
        <v>0</v>
      </c>
      <c r="L265">
        <v>3564.5</v>
      </c>
      <c r="M265">
        <v>3474.2</v>
      </c>
      <c r="N265">
        <v>3534.9</v>
      </c>
      <c r="O265">
        <v>1060.3</v>
      </c>
      <c r="P265">
        <v>4933.5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3</v>
      </c>
      <c r="X265">
        <v>0.5</v>
      </c>
      <c r="Y265">
        <v>0</v>
      </c>
      <c r="Z265">
        <v>0</v>
      </c>
      <c r="AA265">
        <v>0</v>
      </c>
      <c r="AB265">
        <v>0</v>
      </c>
      <c r="AC265">
        <v>0.5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L265">
        <v>0</v>
      </c>
      <c r="AM265">
        <v>0</v>
      </c>
      <c r="AN265">
        <v>0</v>
      </c>
    </row>
    <row r="266" spans="1:40" x14ac:dyDescent="0.25">
      <c r="A266">
        <v>265</v>
      </c>
      <c r="B266" t="s">
        <v>1105</v>
      </c>
      <c r="C266" t="s">
        <v>1106</v>
      </c>
      <c r="D266" t="s">
        <v>1107</v>
      </c>
      <c r="E266" t="s">
        <v>444</v>
      </c>
      <c r="F266" t="s">
        <v>363</v>
      </c>
      <c r="G266">
        <v>1</v>
      </c>
      <c r="H266">
        <v>1</v>
      </c>
      <c r="I266">
        <v>870</v>
      </c>
      <c r="J266">
        <v>1</v>
      </c>
      <c r="K266">
        <v>0</v>
      </c>
      <c r="L266">
        <v>1337.2</v>
      </c>
      <c r="M266">
        <v>1098.5999999999999</v>
      </c>
      <c r="N266">
        <v>2556.1</v>
      </c>
      <c r="O266">
        <v>657.2</v>
      </c>
      <c r="P266">
        <v>29169.200000000001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0.34</v>
      </c>
      <c r="W266">
        <v>3.5</v>
      </c>
      <c r="X266">
        <v>0.2</v>
      </c>
      <c r="Y266">
        <v>0</v>
      </c>
      <c r="Z266">
        <v>0</v>
      </c>
      <c r="AA266">
        <v>0</v>
      </c>
      <c r="AB266">
        <v>0.14000000000000001</v>
      </c>
      <c r="AC266">
        <v>0.2</v>
      </c>
      <c r="AD266">
        <v>0</v>
      </c>
      <c r="AE266">
        <v>0</v>
      </c>
      <c r="AF266">
        <v>0.14000000000000001</v>
      </c>
      <c r="AG266">
        <v>0.58823529411764708</v>
      </c>
      <c r="AH266">
        <v>1</v>
      </c>
      <c r="AI266">
        <v>2</v>
      </c>
      <c r="AJ266">
        <v>2024</v>
      </c>
      <c r="AK266">
        <v>1</v>
      </c>
      <c r="AL266">
        <v>0</v>
      </c>
      <c r="AM266">
        <v>0</v>
      </c>
      <c r="AN266">
        <v>0</v>
      </c>
    </row>
    <row r="267" spans="1:40" x14ac:dyDescent="0.25">
      <c r="A267">
        <v>266</v>
      </c>
      <c r="B267" t="s">
        <v>1108</v>
      </c>
      <c r="C267" t="s">
        <v>1109</v>
      </c>
      <c r="D267" t="s">
        <v>1110</v>
      </c>
      <c r="E267" t="s">
        <v>705</v>
      </c>
      <c r="F267" t="s">
        <v>100</v>
      </c>
      <c r="G267">
        <v>1</v>
      </c>
      <c r="H267">
        <v>1</v>
      </c>
      <c r="I267">
        <v>3189</v>
      </c>
      <c r="J267">
        <v>0</v>
      </c>
      <c r="K267">
        <v>0</v>
      </c>
      <c r="L267">
        <v>419.6</v>
      </c>
      <c r="M267">
        <v>1094.4000000000001</v>
      </c>
      <c r="N267">
        <v>2197.3000000000002</v>
      </c>
      <c r="O267">
        <v>383.2</v>
      </c>
      <c r="P267">
        <v>334.4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0.52</v>
      </c>
      <c r="W267">
        <v>6</v>
      </c>
      <c r="X267">
        <v>0.52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0.52</v>
      </c>
      <c r="AE267">
        <v>0</v>
      </c>
      <c r="AF267">
        <v>0</v>
      </c>
      <c r="AG267">
        <v>1</v>
      </c>
      <c r="AH267">
        <v>0</v>
      </c>
      <c r="AI267">
        <v>0</v>
      </c>
      <c r="AL267">
        <v>0</v>
      </c>
      <c r="AM267">
        <v>0</v>
      </c>
      <c r="AN267">
        <v>0</v>
      </c>
    </row>
    <row r="268" spans="1:40" x14ac:dyDescent="0.25">
      <c r="A268">
        <v>267</v>
      </c>
      <c r="B268" t="s">
        <v>1111</v>
      </c>
      <c r="C268" t="s">
        <v>1112</v>
      </c>
      <c r="D268" t="s">
        <v>1113</v>
      </c>
      <c r="E268" t="s">
        <v>705</v>
      </c>
      <c r="F268" t="s">
        <v>100</v>
      </c>
      <c r="G268">
        <v>1</v>
      </c>
      <c r="H268">
        <v>1</v>
      </c>
      <c r="I268">
        <v>3189</v>
      </c>
      <c r="J268">
        <v>0</v>
      </c>
      <c r="K268">
        <v>0</v>
      </c>
      <c r="L268">
        <v>164.9</v>
      </c>
      <c r="M268">
        <v>839.6</v>
      </c>
      <c r="N268">
        <v>1982.7</v>
      </c>
      <c r="O268">
        <v>618.4</v>
      </c>
      <c r="P268">
        <v>360.8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0.26</v>
      </c>
      <c r="W268">
        <v>5</v>
      </c>
      <c r="X268">
        <v>0.26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0.26</v>
      </c>
      <c r="AE268">
        <v>0</v>
      </c>
      <c r="AF268">
        <v>0</v>
      </c>
      <c r="AG268">
        <v>1</v>
      </c>
      <c r="AH268">
        <v>0</v>
      </c>
      <c r="AI268">
        <v>0</v>
      </c>
      <c r="AL268">
        <v>0</v>
      </c>
      <c r="AM268">
        <v>0</v>
      </c>
      <c r="AN268">
        <v>0</v>
      </c>
    </row>
    <row r="269" spans="1:40" x14ac:dyDescent="0.25">
      <c r="A269">
        <v>268</v>
      </c>
      <c r="B269" t="s">
        <v>1114</v>
      </c>
      <c r="C269" t="s">
        <v>1115</v>
      </c>
      <c r="D269" t="s">
        <v>1116</v>
      </c>
      <c r="E269" t="s">
        <v>1117</v>
      </c>
      <c r="F269" t="s">
        <v>100</v>
      </c>
      <c r="G269">
        <v>2</v>
      </c>
      <c r="H269">
        <v>1</v>
      </c>
      <c r="I269">
        <v>1568</v>
      </c>
      <c r="J269">
        <v>0</v>
      </c>
      <c r="K269">
        <v>0</v>
      </c>
      <c r="L269">
        <v>1340.4</v>
      </c>
      <c r="M269">
        <v>1490.5</v>
      </c>
      <c r="N269">
        <v>942.9</v>
      </c>
      <c r="O269">
        <v>32.6</v>
      </c>
      <c r="P269">
        <v>3162.2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1.57</v>
      </c>
      <c r="W269">
        <v>3</v>
      </c>
      <c r="X269">
        <v>1.57</v>
      </c>
      <c r="Y269">
        <v>0</v>
      </c>
      <c r="Z269">
        <v>0</v>
      </c>
      <c r="AA269">
        <v>0</v>
      </c>
      <c r="AB269">
        <v>0</v>
      </c>
      <c r="AC269">
        <v>0.4</v>
      </c>
      <c r="AD269">
        <v>1.17</v>
      </c>
      <c r="AE269">
        <v>0</v>
      </c>
      <c r="AF269">
        <v>0</v>
      </c>
      <c r="AG269">
        <v>1</v>
      </c>
      <c r="AH269">
        <v>1</v>
      </c>
      <c r="AI269">
        <v>2</v>
      </c>
      <c r="AJ269">
        <v>2024</v>
      </c>
      <c r="AK269">
        <v>1</v>
      </c>
      <c r="AL269">
        <v>0</v>
      </c>
      <c r="AM269">
        <v>0</v>
      </c>
      <c r="AN269">
        <v>0</v>
      </c>
    </row>
    <row r="270" spans="1:40" x14ac:dyDescent="0.25">
      <c r="A270">
        <v>269</v>
      </c>
      <c r="B270" t="s">
        <v>1118</v>
      </c>
      <c r="C270" t="s">
        <v>1119</v>
      </c>
      <c r="D270" t="s">
        <v>1120</v>
      </c>
      <c r="E270" t="s">
        <v>1121</v>
      </c>
      <c r="F270" t="s">
        <v>503</v>
      </c>
      <c r="G270">
        <v>7</v>
      </c>
      <c r="H270">
        <v>2</v>
      </c>
      <c r="I270">
        <v>2253</v>
      </c>
      <c r="J270">
        <v>0</v>
      </c>
      <c r="K270">
        <v>0</v>
      </c>
      <c r="L270">
        <v>3775.4</v>
      </c>
      <c r="M270">
        <v>3580.5</v>
      </c>
      <c r="N270">
        <v>10517.7</v>
      </c>
      <c r="O270">
        <v>349.1</v>
      </c>
      <c r="P270">
        <v>8013.7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3.77</v>
      </c>
      <c r="W270">
        <v>3</v>
      </c>
      <c r="X270">
        <v>3.7700000000000018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2.17</v>
      </c>
      <c r="AE270">
        <v>1.3</v>
      </c>
      <c r="AF270">
        <v>0.3</v>
      </c>
      <c r="AG270">
        <v>0.5755968169761273</v>
      </c>
      <c r="AH270">
        <v>0</v>
      </c>
      <c r="AI270">
        <v>0</v>
      </c>
      <c r="AL270">
        <v>0</v>
      </c>
      <c r="AM270">
        <v>0</v>
      </c>
      <c r="AN270">
        <v>0</v>
      </c>
    </row>
    <row r="271" spans="1:40" x14ac:dyDescent="0.25">
      <c r="A271">
        <v>270</v>
      </c>
      <c r="B271" t="s">
        <v>1122</v>
      </c>
      <c r="C271" t="s">
        <v>1123</v>
      </c>
      <c r="D271" t="s">
        <v>1124</v>
      </c>
      <c r="E271" t="s">
        <v>1125</v>
      </c>
      <c r="F271" t="s">
        <v>213</v>
      </c>
      <c r="G271">
        <v>2</v>
      </c>
      <c r="H271">
        <v>2</v>
      </c>
      <c r="I271">
        <v>1446</v>
      </c>
      <c r="J271">
        <v>0</v>
      </c>
      <c r="K271">
        <v>1</v>
      </c>
      <c r="L271">
        <v>1963.7</v>
      </c>
      <c r="M271">
        <v>1063.7</v>
      </c>
      <c r="N271">
        <v>5025.1000000000004</v>
      </c>
      <c r="O271">
        <v>295.8</v>
      </c>
      <c r="P271">
        <v>8261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0.55000000000000004</v>
      </c>
      <c r="W271">
        <v>3</v>
      </c>
      <c r="X271">
        <v>0.4</v>
      </c>
      <c r="Y271">
        <v>0</v>
      </c>
      <c r="Z271">
        <v>0</v>
      </c>
      <c r="AA271">
        <v>0</v>
      </c>
      <c r="AB271">
        <v>0.15</v>
      </c>
      <c r="AC271">
        <v>0</v>
      </c>
      <c r="AD271">
        <v>0.2</v>
      </c>
      <c r="AE271">
        <v>0.2</v>
      </c>
      <c r="AF271">
        <v>0.15</v>
      </c>
      <c r="AG271">
        <v>0.36363636363636359</v>
      </c>
      <c r="AH271">
        <v>1</v>
      </c>
      <c r="AI271">
        <v>1</v>
      </c>
      <c r="AJ271">
        <v>2024</v>
      </c>
      <c r="AK271">
        <v>1</v>
      </c>
      <c r="AL271">
        <v>0</v>
      </c>
      <c r="AM271">
        <v>0</v>
      </c>
      <c r="AN271">
        <v>0</v>
      </c>
    </row>
    <row r="272" spans="1:40" x14ac:dyDescent="0.25">
      <c r="A272">
        <v>271</v>
      </c>
      <c r="B272" t="s">
        <v>1126</v>
      </c>
      <c r="C272" t="s">
        <v>1127</v>
      </c>
      <c r="D272" t="s">
        <v>1128</v>
      </c>
      <c r="E272" t="s">
        <v>289</v>
      </c>
      <c r="F272" t="s">
        <v>176</v>
      </c>
      <c r="G272">
        <v>2</v>
      </c>
      <c r="H272">
        <v>1</v>
      </c>
      <c r="I272">
        <v>459</v>
      </c>
      <c r="J272">
        <v>0</v>
      </c>
      <c r="K272">
        <v>0</v>
      </c>
      <c r="L272">
        <v>13352.3</v>
      </c>
      <c r="M272">
        <v>12599.8</v>
      </c>
      <c r="N272">
        <v>14761.3</v>
      </c>
      <c r="O272">
        <v>4179</v>
      </c>
      <c r="P272">
        <v>1385.5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2.37</v>
      </c>
      <c r="W272">
        <v>3</v>
      </c>
      <c r="X272">
        <v>2.370000000000001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0.99999999999999989</v>
      </c>
      <c r="AE272">
        <v>1.37</v>
      </c>
      <c r="AF272">
        <v>0</v>
      </c>
      <c r="AG272">
        <v>0.42194092827004209</v>
      </c>
      <c r="AH272">
        <v>1</v>
      </c>
      <c r="AI272">
        <v>2</v>
      </c>
      <c r="AJ272">
        <v>2024</v>
      </c>
      <c r="AK272">
        <v>1</v>
      </c>
      <c r="AL272">
        <v>0</v>
      </c>
      <c r="AM272">
        <v>0</v>
      </c>
      <c r="AN272">
        <v>0</v>
      </c>
    </row>
    <row r="273" spans="1:40" x14ac:dyDescent="0.25">
      <c r="A273">
        <v>272</v>
      </c>
      <c r="B273" t="s">
        <v>1129</v>
      </c>
      <c r="C273" t="s">
        <v>1130</v>
      </c>
      <c r="D273" t="s">
        <v>1131</v>
      </c>
      <c r="E273" t="s">
        <v>1132</v>
      </c>
      <c r="F273" t="s">
        <v>100</v>
      </c>
      <c r="G273">
        <v>2</v>
      </c>
      <c r="H273">
        <v>1</v>
      </c>
      <c r="I273">
        <v>1355</v>
      </c>
      <c r="J273">
        <v>1</v>
      </c>
      <c r="K273">
        <v>0</v>
      </c>
      <c r="L273">
        <v>13680.7</v>
      </c>
      <c r="M273">
        <v>12928.1</v>
      </c>
      <c r="N273">
        <v>15089.6</v>
      </c>
      <c r="O273">
        <v>4507.3</v>
      </c>
      <c r="P273">
        <v>17300.3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8.1</v>
      </c>
      <c r="W273">
        <v>3</v>
      </c>
      <c r="X273">
        <v>2.100000000000001</v>
      </c>
      <c r="Y273">
        <v>0</v>
      </c>
      <c r="Z273">
        <v>0</v>
      </c>
      <c r="AA273">
        <v>0.5</v>
      </c>
      <c r="AB273">
        <v>5.4999999999999956</v>
      </c>
      <c r="AC273">
        <v>0</v>
      </c>
      <c r="AD273">
        <v>2.100000000000001</v>
      </c>
      <c r="AE273">
        <v>0</v>
      </c>
      <c r="AF273">
        <v>5.9999999999999947</v>
      </c>
      <c r="AG273">
        <v>0.25925925925925952</v>
      </c>
      <c r="AH273">
        <v>1</v>
      </c>
      <c r="AI273">
        <v>3</v>
      </c>
      <c r="AJ273">
        <v>2023</v>
      </c>
      <c r="AK273">
        <v>2</v>
      </c>
      <c r="AL273">
        <v>0</v>
      </c>
      <c r="AM273">
        <v>0</v>
      </c>
      <c r="AN273">
        <v>0</v>
      </c>
    </row>
    <row r="274" spans="1:40" x14ac:dyDescent="0.25">
      <c r="A274">
        <v>273</v>
      </c>
      <c r="B274" t="s">
        <v>1133</v>
      </c>
      <c r="C274" t="s">
        <v>1134</v>
      </c>
      <c r="D274" t="s">
        <v>1135</v>
      </c>
      <c r="E274" t="s">
        <v>1132</v>
      </c>
      <c r="F274" t="s">
        <v>100</v>
      </c>
      <c r="G274">
        <v>2</v>
      </c>
      <c r="H274">
        <v>1</v>
      </c>
      <c r="I274">
        <v>1355</v>
      </c>
      <c r="J274">
        <v>1</v>
      </c>
      <c r="K274">
        <v>0</v>
      </c>
      <c r="L274">
        <v>1469.3</v>
      </c>
      <c r="M274">
        <v>1438.6</v>
      </c>
      <c r="N274">
        <v>6341.9</v>
      </c>
      <c r="O274">
        <v>1137.4000000000001</v>
      </c>
      <c r="P274">
        <v>10988.7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8.19</v>
      </c>
      <c r="W274">
        <v>3</v>
      </c>
      <c r="X274">
        <v>1.6</v>
      </c>
      <c r="Y274">
        <v>0</v>
      </c>
      <c r="Z274">
        <v>0</v>
      </c>
      <c r="AA274">
        <v>1.4</v>
      </c>
      <c r="AB274">
        <v>5.1899999999999977</v>
      </c>
      <c r="AC274">
        <v>0</v>
      </c>
      <c r="AD274">
        <v>1.6</v>
      </c>
      <c r="AE274">
        <v>0</v>
      </c>
      <c r="AF274">
        <v>6.5899999999999928</v>
      </c>
      <c r="AG274">
        <v>0.19536019536019561</v>
      </c>
      <c r="AH274">
        <v>1</v>
      </c>
      <c r="AI274">
        <v>2</v>
      </c>
      <c r="AJ274">
        <v>2024</v>
      </c>
      <c r="AK274">
        <v>1</v>
      </c>
      <c r="AL274">
        <v>0</v>
      </c>
      <c r="AM274">
        <v>0</v>
      </c>
      <c r="AN274">
        <v>0</v>
      </c>
    </row>
    <row r="275" spans="1:40" x14ac:dyDescent="0.25">
      <c r="A275">
        <v>274</v>
      </c>
      <c r="B275" t="s">
        <v>1136</v>
      </c>
      <c r="C275" t="s">
        <v>1137</v>
      </c>
      <c r="D275" t="s">
        <v>1138</v>
      </c>
      <c r="E275" t="s">
        <v>1139</v>
      </c>
      <c r="F275" t="s">
        <v>208</v>
      </c>
      <c r="G275">
        <v>3</v>
      </c>
      <c r="H275">
        <v>2</v>
      </c>
      <c r="I275">
        <v>1870</v>
      </c>
      <c r="J275">
        <v>0</v>
      </c>
      <c r="K275">
        <v>0</v>
      </c>
      <c r="L275">
        <v>3740.6</v>
      </c>
      <c r="M275">
        <v>4346.1000000000004</v>
      </c>
      <c r="N275">
        <v>10123.9</v>
      </c>
      <c r="O275">
        <v>198.2</v>
      </c>
      <c r="P275">
        <v>27315.5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4.9000000000000004</v>
      </c>
      <c r="W275">
        <v>3.5</v>
      </c>
      <c r="X275">
        <v>4.8999999999999986</v>
      </c>
      <c r="Y275">
        <v>0</v>
      </c>
      <c r="Z275">
        <v>0</v>
      </c>
      <c r="AA275">
        <v>0</v>
      </c>
      <c r="AB275">
        <v>0</v>
      </c>
      <c r="AC275">
        <v>1.1000000000000001</v>
      </c>
      <c r="AD275">
        <v>3.0000000000000009</v>
      </c>
      <c r="AE275">
        <v>0.79999999999999993</v>
      </c>
      <c r="AF275">
        <v>0</v>
      </c>
      <c r="AG275">
        <v>0.83673469387755106</v>
      </c>
      <c r="AH275">
        <v>0</v>
      </c>
      <c r="AI275">
        <v>0</v>
      </c>
      <c r="AL275">
        <v>0</v>
      </c>
      <c r="AM275">
        <v>0</v>
      </c>
      <c r="AN275">
        <v>0</v>
      </c>
    </row>
    <row r="276" spans="1:40" x14ac:dyDescent="0.25">
      <c r="A276">
        <v>275</v>
      </c>
      <c r="B276" t="s">
        <v>1140</v>
      </c>
      <c r="C276" t="s">
        <v>1141</v>
      </c>
      <c r="D276" t="s">
        <v>1142</v>
      </c>
      <c r="E276" t="s">
        <v>1143</v>
      </c>
      <c r="F276" t="s">
        <v>809</v>
      </c>
      <c r="G276">
        <v>2</v>
      </c>
      <c r="H276">
        <v>2</v>
      </c>
      <c r="I276">
        <v>721</v>
      </c>
      <c r="J276">
        <v>0</v>
      </c>
      <c r="K276">
        <v>0</v>
      </c>
      <c r="L276">
        <v>15187.5</v>
      </c>
      <c r="M276">
        <v>11144.8</v>
      </c>
      <c r="N276">
        <v>17397.900000000001</v>
      </c>
      <c r="O276">
        <v>1940.4</v>
      </c>
      <c r="P276">
        <v>11916.4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3.12</v>
      </c>
      <c r="W276">
        <v>3</v>
      </c>
      <c r="X276">
        <v>2.7200000000000011</v>
      </c>
      <c r="Y276">
        <v>0</v>
      </c>
      <c r="Z276">
        <v>0</v>
      </c>
      <c r="AA276">
        <v>0.4</v>
      </c>
      <c r="AB276">
        <v>0</v>
      </c>
      <c r="AC276">
        <v>0</v>
      </c>
      <c r="AD276">
        <v>1.52</v>
      </c>
      <c r="AE276">
        <v>0.6</v>
      </c>
      <c r="AF276">
        <v>0.99999999999999989</v>
      </c>
      <c r="AG276">
        <v>0.48717948717948723</v>
      </c>
      <c r="AH276">
        <v>1</v>
      </c>
      <c r="AI276">
        <v>1</v>
      </c>
      <c r="AJ276">
        <v>2023</v>
      </c>
      <c r="AK276">
        <v>2</v>
      </c>
      <c r="AL276">
        <v>0</v>
      </c>
      <c r="AM276">
        <v>0</v>
      </c>
      <c r="AN276">
        <v>0</v>
      </c>
    </row>
    <row r="277" spans="1:40" x14ac:dyDescent="0.25">
      <c r="A277">
        <v>276</v>
      </c>
      <c r="B277" t="s">
        <v>1144</v>
      </c>
      <c r="C277" t="s">
        <v>1145</v>
      </c>
      <c r="D277" t="s">
        <v>1146</v>
      </c>
      <c r="E277" t="s">
        <v>1147</v>
      </c>
      <c r="F277" t="s">
        <v>127</v>
      </c>
      <c r="G277">
        <v>2</v>
      </c>
      <c r="H277">
        <v>1</v>
      </c>
      <c r="I277">
        <v>866</v>
      </c>
      <c r="J277">
        <v>0</v>
      </c>
      <c r="K277">
        <v>0</v>
      </c>
      <c r="L277">
        <v>16936152.300000001</v>
      </c>
      <c r="M277">
        <v>16936491.699999999</v>
      </c>
      <c r="N277">
        <v>169310897</v>
      </c>
      <c r="O277">
        <v>1749</v>
      </c>
      <c r="P277">
        <v>13087.6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3.39</v>
      </c>
      <c r="W277">
        <v>3</v>
      </c>
      <c r="X277">
        <v>1.59</v>
      </c>
      <c r="Y277">
        <v>0</v>
      </c>
      <c r="Z277">
        <v>0</v>
      </c>
      <c r="AA277">
        <v>0.1</v>
      </c>
      <c r="AB277">
        <v>1.7</v>
      </c>
      <c r="AC277">
        <v>0</v>
      </c>
      <c r="AD277">
        <v>0.4</v>
      </c>
      <c r="AE277">
        <v>0.2</v>
      </c>
      <c r="AF277">
        <v>2.7900000000000009</v>
      </c>
      <c r="AG277">
        <v>0.11799410029498519</v>
      </c>
      <c r="AH277">
        <v>0</v>
      </c>
      <c r="AI277">
        <v>0</v>
      </c>
      <c r="AL277">
        <v>0</v>
      </c>
      <c r="AM277">
        <v>0</v>
      </c>
      <c r="AN277">
        <v>0</v>
      </c>
    </row>
    <row r="278" spans="1:40" x14ac:dyDescent="0.25">
      <c r="A278">
        <v>277</v>
      </c>
      <c r="B278" t="s">
        <v>1148</v>
      </c>
      <c r="C278" t="s">
        <v>1149</v>
      </c>
      <c r="D278" t="s">
        <v>1150</v>
      </c>
      <c r="E278" t="s">
        <v>1151</v>
      </c>
      <c r="F278" t="s">
        <v>315</v>
      </c>
      <c r="G278">
        <v>2</v>
      </c>
      <c r="H278">
        <v>1</v>
      </c>
      <c r="I278">
        <v>1539</v>
      </c>
      <c r="J278">
        <v>1</v>
      </c>
      <c r="K278">
        <v>0</v>
      </c>
      <c r="L278">
        <v>516.5</v>
      </c>
      <c r="M278">
        <v>401.5</v>
      </c>
      <c r="N278">
        <v>702.4</v>
      </c>
      <c r="O278">
        <v>408.5</v>
      </c>
      <c r="P278">
        <v>13415.9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0.66</v>
      </c>
      <c r="W278">
        <v>3.5</v>
      </c>
      <c r="X278">
        <v>0.65999999999999992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0.65999999999999992</v>
      </c>
      <c r="AE278">
        <v>0</v>
      </c>
      <c r="AF278">
        <v>0</v>
      </c>
      <c r="AG278">
        <v>1</v>
      </c>
      <c r="AH278">
        <v>0</v>
      </c>
      <c r="AI278">
        <v>0</v>
      </c>
      <c r="AL278">
        <v>0</v>
      </c>
      <c r="AM278">
        <v>0</v>
      </c>
      <c r="AN278">
        <v>0</v>
      </c>
    </row>
    <row r="279" spans="1:40" x14ac:dyDescent="0.25">
      <c r="A279">
        <v>278</v>
      </c>
      <c r="B279" t="s">
        <v>1152</v>
      </c>
      <c r="C279" t="s">
        <v>1153</v>
      </c>
      <c r="D279" t="s">
        <v>1154</v>
      </c>
      <c r="E279" t="s">
        <v>1155</v>
      </c>
      <c r="F279" t="s">
        <v>328</v>
      </c>
      <c r="G279">
        <v>4</v>
      </c>
      <c r="H279">
        <v>2</v>
      </c>
      <c r="I279">
        <v>1457</v>
      </c>
      <c r="J279">
        <v>0</v>
      </c>
      <c r="K279">
        <v>1</v>
      </c>
      <c r="L279">
        <v>3147.4</v>
      </c>
      <c r="M279">
        <v>4256.3999999999996</v>
      </c>
      <c r="N279">
        <v>13088.9</v>
      </c>
      <c r="O279">
        <v>631.79999999999995</v>
      </c>
      <c r="P279">
        <v>14760.8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6.1</v>
      </c>
      <c r="W279">
        <v>3</v>
      </c>
      <c r="X279">
        <v>6.0999999999999943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4.3000000000000007</v>
      </c>
      <c r="AE279">
        <v>1.7</v>
      </c>
      <c r="AF279">
        <v>0.1</v>
      </c>
      <c r="AG279">
        <v>0.70491803278688525</v>
      </c>
      <c r="AH279">
        <v>1</v>
      </c>
      <c r="AI279">
        <v>1</v>
      </c>
      <c r="AJ279">
        <v>2023</v>
      </c>
      <c r="AK279">
        <v>2</v>
      </c>
      <c r="AL279">
        <v>0</v>
      </c>
      <c r="AM279">
        <v>0</v>
      </c>
      <c r="AN279">
        <v>0</v>
      </c>
    </row>
    <row r="280" spans="1:40" x14ac:dyDescent="0.25">
      <c r="A280">
        <v>279</v>
      </c>
      <c r="B280" t="s">
        <v>1156</v>
      </c>
      <c r="C280" t="s">
        <v>1157</v>
      </c>
      <c r="D280" t="s">
        <v>1158</v>
      </c>
      <c r="E280" t="s">
        <v>1159</v>
      </c>
      <c r="F280" t="s">
        <v>891</v>
      </c>
      <c r="G280">
        <v>3</v>
      </c>
      <c r="H280">
        <v>2</v>
      </c>
      <c r="I280">
        <v>2335</v>
      </c>
      <c r="J280">
        <v>1</v>
      </c>
      <c r="K280">
        <v>0</v>
      </c>
      <c r="L280">
        <v>1373.2</v>
      </c>
      <c r="M280">
        <v>527.79999999999995</v>
      </c>
      <c r="N280">
        <v>205.8</v>
      </c>
      <c r="O280">
        <v>442.7</v>
      </c>
      <c r="P280">
        <v>27441.8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1.04</v>
      </c>
      <c r="W280">
        <v>4</v>
      </c>
      <c r="X280">
        <v>1.04</v>
      </c>
      <c r="Y280">
        <v>0</v>
      </c>
      <c r="Z280">
        <v>0</v>
      </c>
      <c r="AA280">
        <v>0</v>
      </c>
      <c r="AB280">
        <v>0</v>
      </c>
      <c r="AC280">
        <v>1.04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2023</v>
      </c>
      <c r="AK280">
        <v>2</v>
      </c>
      <c r="AL280">
        <v>1</v>
      </c>
      <c r="AM280">
        <v>0</v>
      </c>
      <c r="AN280">
        <v>1</v>
      </c>
    </row>
    <row r="281" spans="1:40" x14ac:dyDescent="0.25">
      <c r="A281">
        <v>280</v>
      </c>
      <c r="B281" t="s">
        <v>1160</v>
      </c>
      <c r="C281" t="s">
        <v>1161</v>
      </c>
      <c r="D281" t="s">
        <v>1162</v>
      </c>
      <c r="E281" t="s">
        <v>1163</v>
      </c>
      <c r="F281" t="s">
        <v>363</v>
      </c>
      <c r="G281">
        <v>3</v>
      </c>
      <c r="H281">
        <v>1</v>
      </c>
      <c r="I281">
        <v>1765</v>
      </c>
      <c r="J281">
        <v>0</v>
      </c>
      <c r="K281">
        <v>0</v>
      </c>
      <c r="L281">
        <v>828.6</v>
      </c>
      <c r="M281">
        <v>673.7</v>
      </c>
      <c r="N281">
        <v>2047.5</v>
      </c>
      <c r="O281">
        <v>228.2</v>
      </c>
      <c r="P281">
        <v>28660.6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0.73</v>
      </c>
      <c r="W281">
        <v>3</v>
      </c>
      <c r="X281">
        <v>0.73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0.73</v>
      </c>
      <c r="AG281">
        <v>0</v>
      </c>
      <c r="AH281">
        <v>0</v>
      </c>
      <c r="AI281">
        <v>0</v>
      </c>
      <c r="AL281">
        <v>1</v>
      </c>
      <c r="AM281">
        <v>0</v>
      </c>
      <c r="AN281">
        <v>1</v>
      </c>
    </row>
    <row r="282" spans="1:40" x14ac:dyDescent="0.25">
      <c r="A282">
        <v>281</v>
      </c>
      <c r="B282" t="s">
        <v>1164</v>
      </c>
      <c r="C282" t="s">
        <v>1165</v>
      </c>
      <c r="D282" t="s">
        <v>1166</v>
      </c>
      <c r="E282" t="s">
        <v>1167</v>
      </c>
      <c r="F282" t="s">
        <v>315</v>
      </c>
      <c r="G282">
        <v>1</v>
      </c>
      <c r="H282">
        <v>1</v>
      </c>
      <c r="I282">
        <v>2158</v>
      </c>
      <c r="J282">
        <v>0</v>
      </c>
      <c r="K282">
        <v>0</v>
      </c>
      <c r="L282">
        <v>3836.4</v>
      </c>
      <c r="M282">
        <v>948.9</v>
      </c>
      <c r="N282">
        <v>5055.3</v>
      </c>
      <c r="O282">
        <v>386.9</v>
      </c>
      <c r="P282">
        <v>31668.400000000001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0.31</v>
      </c>
      <c r="W282">
        <v>3</v>
      </c>
      <c r="X282">
        <v>0</v>
      </c>
      <c r="Y282">
        <v>0</v>
      </c>
      <c r="Z282">
        <v>0.31000000000000011</v>
      </c>
      <c r="AA282">
        <v>0</v>
      </c>
      <c r="AB282">
        <v>0</v>
      </c>
      <c r="AC282">
        <v>0</v>
      </c>
      <c r="AD282">
        <v>0</v>
      </c>
      <c r="AE282">
        <v>0.31000000000000011</v>
      </c>
      <c r="AF282">
        <v>0</v>
      </c>
      <c r="AG282">
        <v>0</v>
      </c>
      <c r="AH282">
        <v>0</v>
      </c>
      <c r="AI282">
        <v>0</v>
      </c>
      <c r="AL282">
        <v>0</v>
      </c>
      <c r="AM282">
        <v>0</v>
      </c>
      <c r="AN282">
        <v>0</v>
      </c>
    </row>
    <row r="283" spans="1:40" x14ac:dyDescent="0.25">
      <c r="A283">
        <v>282</v>
      </c>
      <c r="B283" t="s">
        <v>1168</v>
      </c>
      <c r="C283" t="s">
        <v>1169</v>
      </c>
      <c r="D283" t="s">
        <v>1170</v>
      </c>
      <c r="E283" t="s">
        <v>1171</v>
      </c>
      <c r="F283" t="s">
        <v>100</v>
      </c>
      <c r="G283">
        <v>2</v>
      </c>
      <c r="H283">
        <v>1</v>
      </c>
      <c r="I283">
        <v>954</v>
      </c>
      <c r="J283">
        <v>0</v>
      </c>
      <c r="K283">
        <v>1</v>
      </c>
      <c r="L283">
        <v>3489.3</v>
      </c>
      <c r="M283">
        <v>2635.6</v>
      </c>
      <c r="N283">
        <v>3848.4</v>
      </c>
      <c r="O283">
        <v>0</v>
      </c>
      <c r="P283">
        <v>3344.3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2.5099999999999998</v>
      </c>
      <c r="W283">
        <v>3.5</v>
      </c>
      <c r="X283">
        <v>2.5100000000000011</v>
      </c>
      <c r="Y283">
        <v>0</v>
      </c>
      <c r="Z283">
        <v>0</v>
      </c>
      <c r="AA283">
        <v>0</v>
      </c>
      <c r="AB283">
        <v>0</v>
      </c>
      <c r="AC283">
        <v>0.6</v>
      </c>
      <c r="AD283">
        <v>1.71</v>
      </c>
      <c r="AE283">
        <v>0.2</v>
      </c>
      <c r="AF283">
        <v>0</v>
      </c>
      <c r="AG283">
        <v>0.92031872509960155</v>
      </c>
      <c r="AH283">
        <v>1</v>
      </c>
      <c r="AI283">
        <v>2</v>
      </c>
      <c r="AJ283">
        <v>2022</v>
      </c>
      <c r="AK283">
        <v>3</v>
      </c>
      <c r="AL283">
        <v>0</v>
      </c>
      <c r="AM283">
        <v>0</v>
      </c>
      <c r="AN283">
        <v>0</v>
      </c>
    </row>
    <row r="284" spans="1:40" x14ac:dyDescent="0.25">
      <c r="A284">
        <v>283</v>
      </c>
      <c r="B284" t="s">
        <v>1172</v>
      </c>
      <c r="C284" t="s">
        <v>1173</v>
      </c>
      <c r="D284" t="s">
        <v>1174</v>
      </c>
      <c r="E284" t="s">
        <v>1175</v>
      </c>
      <c r="F284" t="s">
        <v>132</v>
      </c>
      <c r="G284">
        <v>1</v>
      </c>
      <c r="H284">
        <v>1</v>
      </c>
      <c r="I284">
        <v>574</v>
      </c>
      <c r="J284">
        <v>0</v>
      </c>
      <c r="K284">
        <v>0</v>
      </c>
      <c r="L284">
        <v>8528.7000000000007</v>
      </c>
      <c r="M284">
        <v>3060.9</v>
      </c>
      <c r="N284">
        <v>16607.400000000001</v>
      </c>
      <c r="O284">
        <v>590.6</v>
      </c>
      <c r="P284">
        <v>15006.1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0.95</v>
      </c>
      <c r="W284">
        <v>3.5</v>
      </c>
      <c r="X284">
        <v>0</v>
      </c>
      <c r="Y284">
        <v>0</v>
      </c>
      <c r="Z284">
        <v>0</v>
      </c>
      <c r="AA284">
        <v>0.95</v>
      </c>
      <c r="AB284">
        <v>0</v>
      </c>
      <c r="AC284">
        <v>0</v>
      </c>
      <c r="AD284">
        <v>0</v>
      </c>
      <c r="AE284">
        <v>0</v>
      </c>
      <c r="AF284">
        <v>0.95</v>
      </c>
      <c r="AG284">
        <v>0</v>
      </c>
      <c r="AH284">
        <v>0</v>
      </c>
      <c r="AI284">
        <v>0</v>
      </c>
      <c r="AL284">
        <v>0</v>
      </c>
      <c r="AM284">
        <v>0</v>
      </c>
      <c r="AN284">
        <v>0</v>
      </c>
    </row>
    <row r="285" spans="1:40" x14ac:dyDescent="0.25">
      <c r="A285">
        <v>284</v>
      </c>
      <c r="B285" t="s">
        <v>1176</v>
      </c>
      <c r="C285" t="s">
        <v>1177</v>
      </c>
      <c r="D285" t="s">
        <v>1178</v>
      </c>
      <c r="E285" t="s">
        <v>1179</v>
      </c>
      <c r="F285" t="s">
        <v>105</v>
      </c>
      <c r="G285">
        <v>2</v>
      </c>
      <c r="H285">
        <v>1</v>
      </c>
      <c r="I285">
        <v>1411</v>
      </c>
      <c r="J285">
        <v>0</v>
      </c>
      <c r="K285">
        <v>0</v>
      </c>
      <c r="L285">
        <v>1392.3</v>
      </c>
      <c r="M285">
        <v>2513.8000000000002</v>
      </c>
      <c r="N285">
        <v>5096.1000000000004</v>
      </c>
      <c r="O285">
        <v>1073.2</v>
      </c>
      <c r="P285">
        <v>6494.7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1.32</v>
      </c>
      <c r="W285">
        <v>3.5</v>
      </c>
      <c r="X285">
        <v>1.32</v>
      </c>
      <c r="Y285">
        <v>0</v>
      </c>
      <c r="Z285">
        <v>0</v>
      </c>
      <c r="AA285">
        <v>0</v>
      </c>
      <c r="AB285">
        <v>0</v>
      </c>
      <c r="AC285">
        <v>1.32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L285">
        <v>0</v>
      </c>
      <c r="AM285">
        <v>0</v>
      </c>
      <c r="AN285">
        <v>0</v>
      </c>
    </row>
    <row r="286" spans="1:40" x14ac:dyDescent="0.25">
      <c r="A286">
        <v>285</v>
      </c>
      <c r="B286" t="s">
        <v>1180</v>
      </c>
      <c r="C286" t="s">
        <v>1181</v>
      </c>
      <c r="D286" t="s">
        <v>1182</v>
      </c>
      <c r="E286" t="s">
        <v>555</v>
      </c>
      <c r="F286" t="s">
        <v>105</v>
      </c>
      <c r="G286">
        <v>1</v>
      </c>
      <c r="H286">
        <v>1</v>
      </c>
      <c r="I286">
        <v>729</v>
      </c>
      <c r="J286">
        <v>0</v>
      </c>
      <c r="K286">
        <v>0</v>
      </c>
      <c r="L286">
        <v>957.5</v>
      </c>
      <c r="M286">
        <v>2079</v>
      </c>
      <c r="N286">
        <v>5530.9</v>
      </c>
      <c r="O286">
        <v>638.4</v>
      </c>
      <c r="P286">
        <v>6929.5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0.39</v>
      </c>
      <c r="W286">
        <v>3</v>
      </c>
      <c r="X286">
        <v>0.39</v>
      </c>
      <c r="Y286">
        <v>0</v>
      </c>
      <c r="Z286">
        <v>0</v>
      </c>
      <c r="AA286">
        <v>0</v>
      </c>
      <c r="AB286">
        <v>0</v>
      </c>
      <c r="AC286">
        <v>0.39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L286">
        <v>0</v>
      </c>
      <c r="AM286">
        <v>0</v>
      </c>
      <c r="AN286">
        <v>0</v>
      </c>
    </row>
    <row r="287" spans="1:40" x14ac:dyDescent="0.25">
      <c r="A287">
        <v>286</v>
      </c>
      <c r="B287" t="s">
        <v>1183</v>
      </c>
      <c r="C287" t="s">
        <v>1184</v>
      </c>
      <c r="D287" t="s">
        <v>1185</v>
      </c>
      <c r="E287" t="s">
        <v>405</v>
      </c>
      <c r="F287" t="s">
        <v>100</v>
      </c>
      <c r="G287">
        <v>2</v>
      </c>
      <c r="H287">
        <v>1</v>
      </c>
      <c r="I287">
        <v>1503</v>
      </c>
      <c r="J287">
        <v>0</v>
      </c>
      <c r="K287">
        <v>0</v>
      </c>
      <c r="L287">
        <v>5226.3999999999996</v>
      </c>
      <c r="M287">
        <v>4588.2</v>
      </c>
      <c r="N287">
        <v>6241.6</v>
      </c>
      <c r="O287">
        <v>1052.7</v>
      </c>
      <c r="P287">
        <v>4908.1000000000004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1.96</v>
      </c>
      <c r="W287">
        <v>3</v>
      </c>
      <c r="X287">
        <v>1.9600000000000011</v>
      </c>
      <c r="Y287">
        <v>0</v>
      </c>
      <c r="Z287">
        <v>0</v>
      </c>
      <c r="AA287">
        <v>0</v>
      </c>
      <c r="AB287">
        <v>0</v>
      </c>
      <c r="AC287">
        <v>0.6</v>
      </c>
      <c r="AD287">
        <v>1.36</v>
      </c>
      <c r="AE287">
        <v>0</v>
      </c>
      <c r="AF287">
        <v>0</v>
      </c>
      <c r="AG287">
        <v>1</v>
      </c>
      <c r="AH287">
        <v>1</v>
      </c>
      <c r="AI287">
        <v>3</v>
      </c>
      <c r="AJ287">
        <v>2023</v>
      </c>
      <c r="AK287">
        <v>2</v>
      </c>
      <c r="AL287">
        <v>0</v>
      </c>
      <c r="AM287">
        <v>0</v>
      </c>
      <c r="AN287">
        <v>0</v>
      </c>
    </row>
    <row r="288" spans="1:40" x14ac:dyDescent="0.25">
      <c r="A288">
        <v>287</v>
      </c>
      <c r="B288" t="s">
        <v>1186</v>
      </c>
      <c r="C288" t="s">
        <v>1187</v>
      </c>
      <c r="D288" t="s">
        <v>1188</v>
      </c>
      <c r="E288" t="s">
        <v>1189</v>
      </c>
      <c r="F288" t="s">
        <v>149</v>
      </c>
      <c r="G288">
        <v>2</v>
      </c>
      <c r="H288">
        <v>1</v>
      </c>
      <c r="I288">
        <v>1359</v>
      </c>
      <c r="J288">
        <v>0</v>
      </c>
      <c r="K288">
        <v>0</v>
      </c>
      <c r="L288">
        <v>3360.1</v>
      </c>
      <c r="M288">
        <v>2769.1</v>
      </c>
      <c r="N288">
        <v>8060.7</v>
      </c>
      <c r="O288">
        <v>1772.2</v>
      </c>
      <c r="P288">
        <v>6197.8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2.95</v>
      </c>
      <c r="W288">
        <v>3.5</v>
      </c>
      <c r="X288">
        <v>2.9500000000000011</v>
      </c>
      <c r="Y288">
        <v>0</v>
      </c>
      <c r="Z288">
        <v>0</v>
      </c>
      <c r="AA288">
        <v>0</v>
      </c>
      <c r="AB288">
        <v>0</v>
      </c>
      <c r="AC288">
        <v>0.35</v>
      </c>
      <c r="AD288">
        <v>0.79999999999999993</v>
      </c>
      <c r="AE288">
        <v>1.6</v>
      </c>
      <c r="AF288">
        <v>0.2</v>
      </c>
      <c r="AG288">
        <v>0.38983050847457618</v>
      </c>
      <c r="AH288">
        <v>0</v>
      </c>
      <c r="AI288">
        <v>0</v>
      </c>
      <c r="AL288">
        <v>0</v>
      </c>
      <c r="AM288">
        <v>0</v>
      </c>
      <c r="AN288">
        <v>0</v>
      </c>
    </row>
    <row r="289" spans="1:40" x14ac:dyDescent="0.25">
      <c r="A289">
        <v>288</v>
      </c>
      <c r="B289" t="s">
        <v>1190</v>
      </c>
      <c r="C289" t="s">
        <v>1191</v>
      </c>
      <c r="D289" t="s">
        <v>1192</v>
      </c>
      <c r="E289" t="s">
        <v>1193</v>
      </c>
      <c r="F289" t="s">
        <v>127</v>
      </c>
      <c r="G289">
        <v>1</v>
      </c>
      <c r="H289">
        <v>1</v>
      </c>
      <c r="I289">
        <v>565</v>
      </c>
      <c r="J289">
        <v>0</v>
      </c>
      <c r="K289">
        <v>0</v>
      </c>
      <c r="L289">
        <v>8386.2999999999993</v>
      </c>
      <c r="M289">
        <v>6269.2</v>
      </c>
      <c r="N289">
        <v>10658.9</v>
      </c>
      <c r="O289">
        <v>335.2</v>
      </c>
      <c r="P289">
        <v>12330.7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0.47</v>
      </c>
      <c r="W289">
        <v>3</v>
      </c>
      <c r="X289">
        <v>0.47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0.47</v>
      </c>
      <c r="AE289">
        <v>0</v>
      </c>
      <c r="AF289">
        <v>0</v>
      </c>
      <c r="AG289">
        <v>1</v>
      </c>
      <c r="AH289">
        <v>0</v>
      </c>
      <c r="AI289">
        <v>0</v>
      </c>
      <c r="AL289">
        <v>0</v>
      </c>
      <c r="AM289">
        <v>0</v>
      </c>
      <c r="AN289">
        <v>0</v>
      </c>
    </row>
    <row r="290" spans="1:40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1197</v>
      </c>
      <c r="F290" t="s">
        <v>176</v>
      </c>
      <c r="G290">
        <v>1</v>
      </c>
      <c r="H290">
        <v>1</v>
      </c>
      <c r="I290">
        <v>495</v>
      </c>
      <c r="J290">
        <v>0</v>
      </c>
      <c r="K290">
        <v>0</v>
      </c>
      <c r="L290">
        <v>5634</v>
      </c>
      <c r="M290">
        <v>2753.5</v>
      </c>
      <c r="N290">
        <v>5419.8</v>
      </c>
      <c r="O290">
        <v>727.9</v>
      </c>
      <c r="P290">
        <v>6901.8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0.73</v>
      </c>
      <c r="W290">
        <v>3</v>
      </c>
      <c r="X290">
        <v>0</v>
      </c>
      <c r="Y290">
        <v>0</v>
      </c>
      <c r="Z290">
        <v>0</v>
      </c>
      <c r="AA290">
        <v>0.73</v>
      </c>
      <c r="AB290">
        <v>0</v>
      </c>
      <c r="AC290">
        <v>0</v>
      </c>
      <c r="AD290">
        <v>0</v>
      </c>
      <c r="AE290">
        <v>0</v>
      </c>
      <c r="AF290">
        <v>0.73</v>
      </c>
      <c r="AG290">
        <v>0</v>
      </c>
      <c r="AH290">
        <v>1</v>
      </c>
      <c r="AI290">
        <v>2</v>
      </c>
      <c r="AJ290">
        <v>2023</v>
      </c>
      <c r="AK290">
        <v>2</v>
      </c>
      <c r="AL290">
        <v>0</v>
      </c>
      <c r="AM290">
        <v>0</v>
      </c>
      <c r="AN290">
        <v>0</v>
      </c>
    </row>
    <row r="291" spans="1:40" x14ac:dyDescent="0.25">
      <c r="A291">
        <v>290</v>
      </c>
      <c r="B291" t="s">
        <v>1198</v>
      </c>
      <c r="C291" t="s">
        <v>1199</v>
      </c>
      <c r="D291" t="s">
        <v>1200</v>
      </c>
      <c r="E291" t="s">
        <v>1201</v>
      </c>
      <c r="F291" t="s">
        <v>118</v>
      </c>
      <c r="G291">
        <v>4</v>
      </c>
      <c r="H291">
        <v>2</v>
      </c>
      <c r="I291">
        <v>2401</v>
      </c>
      <c r="J291">
        <v>0</v>
      </c>
      <c r="K291">
        <v>1</v>
      </c>
      <c r="L291">
        <v>6314.2</v>
      </c>
      <c r="M291">
        <v>3852.2</v>
      </c>
      <c r="N291">
        <v>7167.9</v>
      </c>
      <c r="O291">
        <v>121</v>
      </c>
      <c r="P291">
        <v>6663.9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5.85</v>
      </c>
      <c r="W291">
        <v>3</v>
      </c>
      <c r="X291">
        <v>5.349999999999997</v>
      </c>
      <c r="Y291">
        <v>0</v>
      </c>
      <c r="Z291">
        <v>0</v>
      </c>
      <c r="AA291">
        <v>0.5</v>
      </c>
      <c r="AB291">
        <v>0</v>
      </c>
      <c r="AC291">
        <v>0</v>
      </c>
      <c r="AD291">
        <v>4.0000000000000018</v>
      </c>
      <c r="AE291">
        <v>0.85</v>
      </c>
      <c r="AF291">
        <v>0.99999999999999989</v>
      </c>
      <c r="AG291">
        <v>0.68376068376068388</v>
      </c>
      <c r="AH291">
        <v>1</v>
      </c>
      <c r="AI291">
        <v>1</v>
      </c>
      <c r="AJ291">
        <v>2021</v>
      </c>
      <c r="AK291">
        <v>4</v>
      </c>
      <c r="AL291">
        <v>0</v>
      </c>
      <c r="AM291">
        <v>0</v>
      </c>
      <c r="AN291">
        <v>0</v>
      </c>
    </row>
    <row r="292" spans="1:40" x14ac:dyDescent="0.25">
      <c r="A292">
        <v>291</v>
      </c>
      <c r="B292" t="s">
        <v>1202</v>
      </c>
      <c r="C292" t="s">
        <v>1203</v>
      </c>
      <c r="D292" t="s">
        <v>1204</v>
      </c>
      <c r="E292" t="s">
        <v>1205</v>
      </c>
      <c r="F292" t="s">
        <v>105</v>
      </c>
      <c r="G292">
        <v>1</v>
      </c>
      <c r="H292">
        <v>1</v>
      </c>
      <c r="I292">
        <v>492</v>
      </c>
      <c r="J292">
        <v>0</v>
      </c>
      <c r="K292">
        <v>1</v>
      </c>
      <c r="L292">
        <v>3865.4</v>
      </c>
      <c r="M292">
        <v>1123.7</v>
      </c>
      <c r="N292">
        <v>3945.7</v>
      </c>
      <c r="O292">
        <v>891.5</v>
      </c>
      <c r="P292">
        <v>4159.1000000000004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0.84</v>
      </c>
      <c r="W292">
        <v>3</v>
      </c>
      <c r="X292">
        <v>0.84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0.84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2023</v>
      </c>
      <c r="AK292">
        <v>2</v>
      </c>
      <c r="AL292">
        <v>0</v>
      </c>
      <c r="AM292">
        <v>0</v>
      </c>
      <c r="AN292">
        <v>0</v>
      </c>
    </row>
    <row r="293" spans="1:40" x14ac:dyDescent="0.25">
      <c r="A293">
        <v>292</v>
      </c>
      <c r="B293" t="s">
        <v>1206</v>
      </c>
      <c r="C293" t="s">
        <v>1207</v>
      </c>
      <c r="D293" t="s">
        <v>1208</v>
      </c>
      <c r="E293" t="s">
        <v>1209</v>
      </c>
      <c r="F293" t="s">
        <v>539</v>
      </c>
      <c r="G293">
        <v>4</v>
      </c>
      <c r="H293">
        <v>2</v>
      </c>
      <c r="I293">
        <v>1779</v>
      </c>
      <c r="J293">
        <v>0</v>
      </c>
      <c r="K293">
        <v>1</v>
      </c>
      <c r="L293">
        <v>5776.8</v>
      </c>
      <c r="M293">
        <v>3264.6</v>
      </c>
      <c r="N293">
        <v>5785.9</v>
      </c>
      <c r="O293">
        <v>481.5</v>
      </c>
      <c r="P293">
        <v>6095.2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5.17</v>
      </c>
      <c r="W293">
        <v>3.5</v>
      </c>
      <c r="X293">
        <v>5.1699999999999982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0.97</v>
      </c>
      <c r="AE293">
        <v>2.600000000000001</v>
      </c>
      <c r="AF293">
        <v>1.6</v>
      </c>
      <c r="AG293">
        <v>0.18762088974854929</v>
      </c>
      <c r="AH293">
        <v>1</v>
      </c>
      <c r="AI293">
        <v>2</v>
      </c>
      <c r="AJ293">
        <v>2024</v>
      </c>
      <c r="AK293">
        <v>1</v>
      </c>
      <c r="AL293">
        <v>0</v>
      </c>
      <c r="AM293">
        <v>0</v>
      </c>
      <c r="AN293">
        <v>0</v>
      </c>
    </row>
    <row r="294" spans="1:40" x14ac:dyDescent="0.25">
      <c r="A294">
        <v>293</v>
      </c>
      <c r="B294" t="s">
        <v>1210</v>
      </c>
      <c r="C294" t="s">
        <v>1211</v>
      </c>
      <c r="D294" t="s">
        <v>1212</v>
      </c>
      <c r="E294" t="s">
        <v>1213</v>
      </c>
      <c r="F294" t="s">
        <v>539</v>
      </c>
      <c r="G294">
        <v>2</v>
      </c>
      <c r="H294">
        <v>2</v>
      </c>
      <c r="I294">
        <v>1153</v>
      </c>
      <c r="J294">
        <v>0</v>
      </c>
      <c r="K294">
        <v>1</v>
      </c>
      <c r="L294">
        <v>6316.2</v>
      </c>
      <c r="M294">
        <v>4199.1000000000004</v>
      </c>
      <c r="N294">
        <v>8588.7000000000007</v>
      </c>
      <c r="O294">
        <v>1937.1</v>
      </c>
      <c r="P294">
        <v>10260.6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6.35</v>
      </c>
      <c r="W294">
        <v>3.5</v>
      </c>
      <c r="X294">
        <v>5.899999999999995</v>
      </c>
      <c r="Y294">
        <v>0</v>
      </c>
      <c r="Z294">
        <v>0</v>
      </c>
      <c r="AA294">
        <v>0.45</v>
      </c>
      <c r="AB294">
        <v>0</v>
      </c>
      <c r="AC294">
        <v>0</v>
      </c>
      <c r="AD294">
        <v>3.800000000000002</v>
      </c>
      <c r="AE294">
        <v>0.2</v>
      </c>
      <c r="AF294">
        <v>2.350000000000001</v>
      </c>
      <c r="AG294">
        <v>0.59842519685039386</v>
      </c>
      <c r="AH294">
        <v>1</v>
      </c>
      <c r="AI294">
        <v>1</v>
      </c>
      <c r="AJ294">
        <v>2023</v>
      </c>
      <c r="AK294">
        <v>2</v>
      </c>
      <c r="AL294">
        <v>1</v>
      </c>
      <c r="AM294">
        <v>0</v>
      </c>
      <c r="AN294">
        <v>1</v>
      </c>
    </row>
    <row r="295" spans="1:40" x14ac:dyDescent="0.25">
      <c r="A295">
        <v>294</v>
      </c>
      <c r="B295" t="s">
        <v>1214</v>
      </c>
      <c r="C295" t="s">
        <v>1215</v>
      </c>
      <c r="D295" t="s">
        <v>1216</v>
      </c>
      <c r="E295" t="s">
        <v>1217</v>
      </c>
      <c r="F295" t="s">
        <v>176</v>
      </c>
      <c r="G295">
        <v>2</v>
      </c>
      <c r="H295">
        <v>1</v>
      </c>
      <c r="I295">
        <v>980</v>
      </c>
      <c r="J295">
        <v>0</v>
      </c>
      <c r="K295">
        <v>1</v>
      </c>
      <c r="L295">
        <v>2816.5</v>
      </c>
      <c r="M295">
        <v>1392.3</v>
      </c>
      <c r="N295">
        <v>5358.1</v>
      </c>
      <c r="O295">
        <v>646.4</v>
      </c>
      <c r="P295">
        <v>7030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2.62</v>
      </c>
      <c r="W295">
        <v>3</v>
      </c>
      <c r="X295">
        <v>2.620000000000001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2.2200000000000011</v>
      </c>
      <c r="AE295">
        <v>0.4</v>
      </c>
      <c r="AF295">
        <v>0</v>
      </c>
      <c r="AG295">
        <v>0.84732824427480924</v>
      </c>
      <c r="AH295">
        <v>1</v>
      </c>
      <c r="AI295">
        <v>1</v>
      </c>
      <c r="AJ295">
        <v>2023</v>
      </c>
      <c r="AK295">
        <v>2</v>
      </c>
      <c r="AL295">
        <v>1</v>
      </c>
      <c r="AM295">
        <v>1</v>
      </c>
      <c r="AN295">
        <v>0</v>
      </c>
    </row>
    <row r="296" spans="1:40" x14ac:dyDescent="0.25">
      <c r="A296">
        <v>295</v>
      </c>
      <c r="B296" t="s">
        <v>1218</v>
      </c>
      <c r="C296" t="s">
        <v>1219</v>
      </c>
      <c r="D296" t="s">
        <v>1220</v>
      </c>
      <c r="E296" t="s">
        <v>1221</v>
      </c>
      <c r="F296" t="s">
        <v>176</v>
      </c>
      <c r="G296">
        <v>2</v>
      </c>
      <c r="H296">
        <v>1</v>
      </c>
      <c r="I296">
        <v>801</v>
      </c>
      <c r="J296">
        <v>0</v>
      </c>
      <c r="K296">
        <v>1</v>
      </c>
      <c r="L296">
        <v>4323.5</v>
      </c>
      <c r="M296">
        <v>2673.6</v>
      </c>
      <c r="N296">
        <v>3159.8</v>
      </c>
      <c r="O296">
        <v>836.5</v>
      </c>
      <c r="P296">
        <v>4641.8999999999996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1.7</v>
      </c>
      <c r="W296">
        <v>3</v>
      </c>
      <c r="X296">
        <v>1.7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2023</v>
      </c>
      <c r="AK296">
        <v>2</v>
      </c>
      <c r="AL296">
        <v>0</v>
      </c>
      <c r="AM296">
        <v>0</v>
      </c>
      <c r="AN296">
        <v>0</v>
      </c>
    </row>
    <row r="297" spans="1:40" x14ac:dyDescent="0.25">
      <c r="A297">
        <v>296</v>
      </c>
      <c r="B297" t="s">
        <v>1222</v>
      </c>
      <c r="C297" t="s">
        <v>1223</v>
      </c>
      <c r="D297" t="s">
        <v>1224</v>
      </c>
      <c r="E297" t="s">
        <v>1225</v>
      </c>
      <c r="F297" t="s">
        <v>100</v>
      </c>
      <c r="G297">
        <v>2</v>
      </c>
      <c r="H297">
        <v>1</v>
      </c>
      <c r="I297">
        <v>1670</v>
      </c>
      <c r="J297">
        <v>1</v>
      </c>
      <c r="K297">
        <v>0</v>
      </c>
      <c r="L297">
        <v>6466.2</v>
      </c>
      <c r="M297">
        <v>5400.3</v>
      </c>
      <c r="N297">
        <v>8820.6</v>
      </c>
      <c r="O297">
        <v>1498.6</v>
      </c>
      <c r="P297">
        <v>6957.7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2.82</v>
      </c>
      <c r="W297">
        <v>3</v>
      </c>
      <c r="X297">
        <v>0.82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0.2</v>
      </c>
      <c r="AE297">
        <v>0.6</v>
      </c>
      <c r="AF297">
        <v>2.02</v>
      </c>
      <c r="AG297">
        <v>7.0921985815602828E-2</v>
      </c>
      <c r="AH297">
        <v>0</v>
      </c>
      <c r="AI297">
        <v>0</v>
      </c>
      <c r="AL297">
        <v>0</v>
      </c>
      <c r="AM297">
        <v>0</v>
      </c>
      <c r="AN297">
        <v>0</v>
      </c>
    </row>
    <row r="298" spans="1:40" x14ac:dyDescent="0.25">
      <c r="A298">
        <v>297</v>
      </c>
      <c r="B298" t="s">
        <v>1226</v>
      </c>
      <c r="C298" t="s">
        <v>1227</v>
      </c>
      <c r="D298" t="s">
        <v>1228</v>
      </c>
      <c r="E298" t="s">
        <v>1229</v>
      </c>
      <c r="F298" t="s">
        <v>176</v>
      </c>
      <c r="G298">
        <v>3</v>
      </c>
      <c r="H298">
        <v>1</v>
      </c>
      <c r="I298">
        <v>599</v>
      </c>
      <c r="J298">
        <v>0</v>
      </c>
      <c r="K298">
        <v>1</v>
      </c>
      <c r="L298">
        <v>173.2</v>
      </c>
      <c r="M298">
        <v>203.9</v>
      </c>
      <c r="N298">
        <v>7345.1</v>
      </c>
      <c r="O298">
        <v>507.9</v>
      </c>
      <c r="P298">
        <v>9017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4.12</v>
      </c>
      <c r="W298">
        <v>3.5</v>
      </c>
      <c r="X298">
        <v>4.120000000000001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4.120000000000001</v>
      </c>
      <c r="AE298">
        <v>0</v>
      </c>
      <c r="AF298">
        <v>0</v>
      </c>
      <c r="AG298">
        <v>1</v>
      </c>
      <c r="AH298">
        <v>1</v>
      </c>
      <c r="AI298">
        <v>1</v>
      </c>
      <c r="AJ298">
        <v>2023</v>
      </c>
      <c r="AK298">
        <v>2</v>
      </c>
      <c r="AL298">
        <v>1</v>
      </c>
      <c r="AM298">
        <v>1</v>
      </c>
      <c r="AN298">
        <v>0</v>
      </c>
    </row>
    <row r="299" spans="1:40" x14ac:dyDescent="0.25">
      <c r="A299">
        <v>298</v>
      </c>
      <c r="B299" t="s">
        <v>1230</v>
      </c>
      <c r="C299" t="s">
        <v>1231</v>
      </c>
      <c r="D299" t="s">
        <v>1232</v>
      </c>
      <c r="E299" t="s">
        <v>1233</v>
      </c>
      <c r="F299" t="s">
        <v>176</v>
      </c>
      <c r="G299">
        <v>3</v>
      </c>
      <c r="H299">
        <v>1</v>
      </c>
      <c r="I299">
        <v>1010</v>
      </c>
      <c r="J299">
        <v>0</v>
      </c>
      <c r="K299">
        <v>1</v>
      </c>
      <c r="L299">
        <v>3309.5</v>
      </c>
      <c r="M299">
        <v>3340.2</v>
      </c>
      <c r="N299">
        <v>10477.5</v>
      </c>
      <c r="O299">
        <v>802</v>
      </c>
      <c r="P299">
        <v>12149.4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5.65</v>
      </c>
      <c r="W299">
        <v>3</v>
      </c>
      <c r="X299">
        <v>5.6499999999999959</v>
      </c>
      <c r="Y299">
        <v>0</v>
      </c>
      <c r="Z299">
        <v>0</v>
      </c>
      <c r="AA299">
        <v>0</v>
      </c>
      <c r="AB299">
        <v>0</v>
      </c>
      <c r="AC299">
        <v>1.850000000000001</v>
      </c>
      <c r="AD299">
        <v>3.800000000000002</v>
      </c>
      <c r="AE299">
        <v>0</v>
      </c>
      <c r="AF299">
        <v>0</v>
      </c>
      <c r="AG299">
        <v>1</v>
      </c>
      <c r="AH299">
        <v>1</v>
      </c>
      <c r="AI299">
        <v>4</v>
      </c>
      <c r="AJ299">
        <v>2024</v>
      </c>
      <c r="AK299">
        <v>1</v>
      </c>
      <c r="AL299">
        <v>0</v>
      </c>
      <c r="AM299">
        <v>0</v>
      </c>
      <c r="AN299">
        <v>0</v>
      </c>
    </row>
    <row r="300" spans="1:40" x14ac:dyDescent="0.25">
      <c r="A300">
        <v>299</v>
      </c>
      <c r="B300" t="s">
        <v>1234</v>
      </c>
      <c r="C300" t="s">
        <v>1235</v>
      </c>
      <c r="D300" t="s">
        <v>1236</v>
      </c>
      <c r="E300" t="s">
        <v>1237</v>
      </c>
      <c r="F300" t="s">
        <v>710</v>
      </c>
      <c r="G300">
        <v>4</v>
      </c>
      <c r="H300">
        <v>2</v>
      </c>
      <c r="I300">
        <v>2146</v>
      </c>
      <c r="J300">
        <v>0</v>
      </c>
      <c r="K300">
        <v>0</v>
      </c>
      <c r="L300">
        <v>4480.1000000000004</v>
      </c>
      <c r="M300">
        <v>4321.7</v>
      </c>
      <c r="N300">
        <v>9224.7000000000007</v>
      </c>
      <c r="O300">
        <v>739.7</v>
      </c>
      <c r="P300">
        <v>7623.4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8.65</v>
      </c>
      <c r="W300">
        <v>4</v>
      </c>
      <c r="X300">
        <v>8.6499999999999861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8.4499999999999869</v>
      </c>
      <c r="AE300">
        <v>0.2</v>
      </c>
      <c r="AF300">
        <v>0</v>
      </c>
      <c r="AG300">
        <v>0.97687861271676302</v>
      </c>
      <c r="AH300">
        <v>1</v>
      </c>
      <c r="AI300">
        <v>2</v>
      </c>
      <c r="AJ300">
        <v>2024</v>
      </c>
      <c r="AK300">
        <v>1</v>
      </c>
      <c r="AL300">
        <v>1</v>
      </c>
      <c r="AM300">
        <v>0</v>
      </c>
      <c r="AN300">
        <v>1</v>
      </c>
    </row>
    <row r="301" spans="1:40" x14ac:dyDescent="0.25">
      <c r="A301">
        <v>300</v>
      </c>
      <c r="B301" t="s">
        <v>1238</v>
      </c>
      <c r="C301" t="s">
        <v>1239</v>
      </c>
      <c r="D301" t="s">
        <v>1240</v>
      </c>
      <c r="E301" t="s">
        <v>1241</v>
      </c>
      <c r="F301" t="s">
        <v>176</v>
      </c>
      <c r="G301">
        <v>4</v>
      </c>
      <c r="H301">
        <v>1</v>
      </c>
      <c r="I301">
        <v>1341</v>
      </c>
      <c r="J301">
        <v>0</v>
      </c>
      <c r="K301">
        <v>1</v>
      </c>
      <c r="L301">
        <v>3454.7</v>
      </c>
      <c r="M301">
        <v>3630</v>
      </c>
      <c r="N301">
        <v>4533.5</v>
      </c>
      <c r="O301">
        <v>596.29999999999995</v>
      </c>
      <c r="P301">
        <v>6205.3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4.97</v>
      </c>
      <c r="W301">
        <v>3.5</v>
      </c>
      <c r="X301">
        <v>4.9699999999999989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4.9699999999999989</v>
      </c>
      <c r="AE301">
        <v>0</v>
      </c>
      <c r="AF301">
        <v>0</v>
      </c>
      <c r="AG301">
        <v>1</v>
      </c>
      <c r="AH301">
        <v>1</v>
      </c>
      <c r="AI301">
        <v>4</v>
      </c>
      <c r="AJ301">
        <v>2024</v>
      </c>
      <c r="AK301">
        <v>1</v>
      </c>
      <c r="AL301">
        <v>0</v>
      </c>
      <c r="AM301">
        <v>0</v>
      </c>
      <c r="AN301">
        <v>0</v>
      </c>
    </row>
    <row r="302" spans="1:40" x14ac:dyDescent="0.25">
      <c r="A302">
        <v>301</v>
      </c>
      <c r="B302" t="s">
        <v>1242</v>
      </c>
      <c r="C302" t="s">
        <v>1243</v>
      </c>
      <c r="D302" t="s">
        <v>1244</v>
      </c>
      <c r="E302" t="s">
        <v>1245</v>
      </c>
      <c r="F302" t="s">
        <v>105</v>
      </c>
      <c r="G302">
        <v>2</v>
      </c>
      <c r="H302">
        <v>1</v>
      </c>
      <c r="I302">
        <v>1174</v>
      </c>
      <c r="J302">
        <v>0</v>
      </c>
      <c r="K302">
        <v>0</v>
      </c>
      <c r="L302">
        <v>3864.4</v>
      </c>
      <c r="M302">
        <v>3774.1</v>
      </c>
      <c r="N302">
        <v>3834.9</v>
      </c>
      <c r="O302">
        <v>1360.2</v>
      </c>
      <c r="P302">
        <v>27289.5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0.76</v>
      </c>
      <c r="W302">
        <v>3</v>
      </c>
      <c r="X302">
        <v>0.16</v>
      </c>
      <c r="Y302">
        <v>0</v>
      </c>
      <c r="Z302">
        <v>0</v>
      </c>
      <c r="AA302">
        <v>0</v>
      </c>
      <c r="AB302">
        <v>0.6</v>
      </c>
      <c r="AC302">
        <v>0</v>
      </c>
      <c r="AD302">
        <v>0</v>
      </c>
      <c r="AE302">
        <v>0.16</v>
      </c>
      <c r="AF302">
        <v>0.6</v>
      </c>
      <c r="AG302">
        <v>0</v>
      </c>
      <c r="AH302">
        <v>0</v>
      </c>
      <c r="AI302">
        <v>0</v>
      </c>
      <c r="AL302">
        <v>0</v>
      </c>
      <c r="AM302">
        <v>0</v>
      </c>
      <c r="AN302">
        <v>0</v>
      </c>
    </row>
    <row r="303" spans="1:40" x14ac:dyDescent="0.25">
      <c r="A303">
        <v>302</v>
      </c>
      <c r="B303" t="s">
        <v>1246</v>
      </c>
      <c r="C303" t="s">
        <v>1247</v>
      </c>
      <c r="D303" t="s">
        <v>1248</v>
      </c>
      <c r="E303" t="s">
        <v>305</v>
      </c>
      <c r="F303" t="s">
        <v>127</v>
      </c>
      <c r="G303">
        <v>1</v>
      </c>
      <c r="H303">
        <v>1</v>
      </c>
      <c r="I303">
        <v>507</v>
      </c>
      <c r="J303">
        <v>0</v>
      </c>
      <c r="K303">
        <v>0</v>
      </c>
      <c r="L303">
        <v>25176.7</v>
      </c>
      <c r="M303">
        <v>21227</v>
      </c>
      <c r="N303">
        <v>27387.1</v>
      </c>
      <c r="O303">
        <v>1857.4</v>
      </c>
      <c r="P303">
        <v>20527.7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1.98</v>
      </c>
      <c r="W303">
        <v>1.5</v>
      </c>
      <c r="X303">
        <v>0</v>
      </c>
      <c r="Y303">
        <v>0</v>
      </c>
      <c r="Z303">
        <v>1.9800000000000011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1.9800000000000011</v>
      </c>
      <c r="AG303">
        <v>0</v>
      </c>
      <c r="AH303">
        <v>0</v>
      </c>
      <c r="AI303">
        <v>0</v>
      </c>
      <c r="AL303">
        <v>0</v>
      </c>
      <c r="AM303">
        <v>0</v>
      </c>
      <c r="AN303">
        <v>0</v>
      </c>
    </row>
    <row r="304" spans="1:40" x14ac:dyDescent="0.25">
      <c r="A304">
        <v>303</v>
      </c>
      <c r="B304" t="s">
        <v>1249</v>
      </c>
      <c r="C304" t="s">
        <v>1250</v>
      </c>
      <c r="D304" t="s">
        <v>1251</v>
      </c>
      <c r="E304" t="s">
        <v>1252</v>
      </c>
      <c r="F304" t="s">
        <v>127</v>
      </c>
      <c r="G304">
        <v>2</v>
      </c>
      <c r="H304">
        <v>1</v>
      </c>
      <c r="I304">
        <v>878</v>
      </c>
      <c r="J304">
        <v>0</v>
      </c>
      <c r="K304">
        <v>0</v>
      </c>
      <c r="L304">
        <v>18414.900000000001</v>
      </c>
      <c r="M304">
        <v>14465.2</v>
      </c>
      <c r="N304">
        <v>20625.3</v>
      </c>
      <c r="O304">
        <v>3828.7</v>
      </c>
      <c r="P304">
        <v>31142.7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4.88</v>
      </c>
      <c r="W304">
        <v>3.5</v>
      </c>
      <c r="X304">
        <v>0</v>
      </c>
      <c r="Y304">
        <v>0</v>
      </c>
      <c r="Z304">
        <v>0</v>
      </c>
      <c r="AA304">
        <v>0</v>
      </c>
      <c r="AB304">
        <v>4.879999999999999</v>
      </c>
      <c r="AC304">
        <v>0</v>
      </c>
      <c r="AD304">
        <v>0</v>
      </c>
      <c r="AE304">
        <v>0</v>
      </c>
      <c r="AF304">
        <v>4.879999999999999</v>
      </c>
      <c r="AG304">
        <v>0</v>
      </c>
      <c r="AH304">
        <v>0</v>
      </c>
      <c r="AI304">
        <v>0</v>
      </c>
      <c r="AL304">
        <v>0</v>
      </c>
      <c r="AM304">
        <v>0</v>
      </c>
      <c r="AN304">
        <v>0</v>
      </c>
    </row>
    <row r="305" spans="1:40" x14ac:dyDescent="0.25">
      <c r="A305">
        <v>304</v>
      </c>
      <c r="B305" t="s">
        <v>1253</v>
      </c>
      <c r="C305" t="s">
        <v>1254</v>
      </c>
      <c r="D305" t="s">
        <v>1255</v>
      </c>
      <c r="E305" t="s">
        <v>1256</v>
      </c>
      <c r="F305" t="s">
        <v>315</v>
      </c>
      <c r="G305">
        <v>2</v>
      </c>
      <c r="H305">
        <v>1</v>
      </c>
      <c r="I305">
        <v>3896</v>
      </c>
      <c r="J305">
        <v>0</v>
      </c>
      <c r="K305">
        <v>0</v>
      </c>
      <c r="L305">
        <v>3310.7</v>
      </c>
      <c r="M305">
        <v>613.79999999999995</v>
      </c>
      <c r="N305">
        <v>4529.6000000000004</v>
      </c>
      <c r="O305">
        <v>201.4</v>
      </c>
      <c r="P305">
        <v>4114.8999999999996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2.23</v>
      </c>
      <c r="W305">
        <v>3</v>
      </c>
      <c r="X305">
        <v>0.2</v>
      </c>
      <c r="Y305">
        <v>0</v>
      </c>
      <c r="Z305">
        <v>1.03</v>
      </c>
      <c r="AA305">
        <v>0.2</v>
      </c>
      <c r="AB305">
        <v>0.79999999999999993</v>
      </c>
      <c r="AC305">
        <v>0</v>
      </c>
      <c r="AD305">
        <v>0</v>
      </c>
      <c r="AE305">
        <v>1.03</v>
      </c>
      <c r="AF305">
        <v>1.2</v>
      </c>
      <c r="AG305">
        <v>0</v>
      </c>
      <c r="AH305">
        <v>1</v>
      </c>
      <c r="AI305">
        <v>1</v>
      </c>
      <c r="AJ305">
        <v>2024</v>
      </c>
      <c r="AK305">
        <v>1</v>
      </c>
      <c r="AL305">
        <v>0</v>
      </c>
      <c r="AM305">
        <v>0</v>
      </c>
      <c r="AN305">
        <v>0</v>
      </c>
    </row>
    <row r="306" spans="1:40" x14ac:dyDescent="0.25">
      <c r="A306">
        <v>305</v>
      </c>
      <c r="B306" t="s">
        <v>1257</v>
      </c>
      <c r="C306" t="s">
        <v>1258</v>
      </c>
      <c r="D306" t="s">
        <v>1259</v>
      </c>
      <c r="E306" t="s">
        <v>1260</v>
      </c>
      <c r="F306" t="s">
        <v>176</v>
      </c>
      <c r="G306">
        <v>2</v>
      </c>
      <c r="H306">
        <v>1</v>
      </c>
      <c r="I306">
        <v>1049</v>
      </c>
      <c r="J306">
        <v>0</v>
      </c>
      <c r="K306">
        <v>0</v>
      </c>
      <c r="L306">
        <v>4069.8</v>
      </c>
      <c r="M306">
        <v>4190.8999999999996</v>
      </c>
      <c r="N306">
        <v>2443.1</v>
      </c>
      <c r="O306">
        <v>1566.7</v>
      </c>
      <c r="P306">
        <v>13203.1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2.02</v>
      </c>
      <c r="W306">
        <v>3.5</v>
      </c>
      <c r="X306">
        <v>2.02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2.02</v>
      </c>
      <c r="AE306">
        <v>0</v>
      </c>
      <c r="AF306">
        <v>0</v>
      </c>
      <c r="AG306">
        <v>1</v>
      </c>
      <c r="AH306">
        <v>1</v>
      </c>
      <c r="AI306">
        <v>2</v>
      </c>
      <c r="AJ306">
        <v>2023</v>
      </c>
      <c r="AK306">
        <v>2</v>
      </c>
      <c r="AL306">
        <v>0</v>
      </c>
      <c r="AM306">
        <v>0</v>
      </c>
      <c r="AN306">
        <v>0</v>
      </c>
    </row>
    <row r="307" spans="1:40" x14ac:dyDescent="0.25">
      <c r="A307">
        <v>306</v>
      </c>
      <c r="B307" t="s">
        <v>1261</v>
      </c>
      <c r="C307" t="s">
        <v>1262</v>
      </c>
      <c r="D307" t="s">
        <v>1263</v>
      </c>
      <c r="E307" t="s">
        <v>1264</v>
      </c>
      <c r="F307" t="s">
        <v>176</v>
      </c>
      <c r="G307">
        <v>2</v>
      </c>
      <c r="H307">
        <v>1</v>
      </c>
      <c r="I307">
        <v>644</v>
      </c>
      <c r="J307">
        <v>0</v>
      </c>
      <c r="K307">
        <v>0</v>
      </c>
      <c r="L307">
        <v>4359.3999999999996</v>
      </c>
      <c r="M307">
        <v>4390.1000000000004</v>
      </c>
      <c r="N307">
        <v>11531.3</v>
      </c>
      <c r="O307">
        <v>1786.9</v>
      </c>
      <c r="P307">
        <v>6516.8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2.04</v>
      </c>
      <c r="W307">
        <v>3</v>
      </c>
      <c r="X307">
        <v>0</v>
      </c>
      <c r="Y307">
        <v>0</v>
      </c>
      <c r="Z307">
        <v>0</v>
      </c>
      <c r="AA307">
        <v>2.04</v>
      </c>
      <c r="AB307">
        <v>0</v>
      </c>
      <c r="AC307">
        <v>0</v>
      </c>
      <c r="AD307">
        <v>0</v>
      </c>
      <c r="AE307">
        <v>0</v>
      </c>
      <c r="AF307">
        <v>2.04</v>
      </c>
      <c r="AG307">
        <v>0</v>
      </c>
      <c r="AH307">
        <v>0</v>
      </c>
      <c r="AI307">
        <v>0</v>
      </c>
      <c r="AL307">
        <v>1</v>
      </c>
      <c r="AM307">
        <v>1</v>
      </c>
      <c r="AN307">
        <v>0</v>
      </c>
    </row>
    <row r="308" spans="1:40" x14ac:dyDescent="0.25">
      <c r="A308">
        <v>307</v>
      </c>
      <c r="B308" t="s">
        <v>1265</v>
      </c>
      <c r="C308" t="s">
        <v>1266</v>
      </c>
      <c r="D308" t="s">
        <v>1267</v>
      </c>
      <c r="E308" t="s">
        <v>1268</v>
      </c>
      <c r="F308" t="s">
        <v>127</v>
      </c>
      <c r="G308">
        <v>1</v>
      </c>
      <c r="H308">
        <v>1</v>
      </c>
      <c r="I308">
        <v>340</v>
      </c>
      <c r="J308">
        <v>0</v>
      </c>
      <c r="K308">
        <v>0</v>
      </c>
      <c r="L308">
        <v>6198.5</v>
      </c>
      <c r="M308">
        <v>3506.8</v>
      </c>
      <c r="N308">
        <v>6173.1</v>
      </c>
      <c r="O308">
        <v>314.39999999999998</v>
      </c>
      <c r="P308">
        <v>7923.7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0.66</v>
      </c>
      <c r="W308">
        <v>3</v>
      </c>
      <c r="X308">
        <v>0.65999999999999992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0.4</v>
      </c>
      <c r="AE308">
        <v>0.2</v>
      </c>
      <c r="AF308">
        <v>0.06</v>
      </c>
      <c r="AG308">
        <v>0.60606060606060597</v>
      </c>
      <c r="AH308">
        <v>0</v>
      </c>
      <c r="AI308">
        <v>0</v>
      </c>
      <c r="AL308">
        <v>0</v>
      </c>
      <c r="AM308">
        <v>0</v>
      </c>
      <c r="AN308">
        <v>0</v>
      </c>
    </row>
    <row r="309" spans="1:40" x14ac:dyDescent="0.25">
      <c r="A309">
        <v>308</v>
      </c>
      <c r="B309" t="s">
        <v>1269</v>
      </c>
      <c r="C309" t="s">
        <v>1270</v>
      </c>
      <c r="D309" t="s">
        <v>1271</v>
      </c>
      <c r="E309" t="s">
        <v>1272</v>
      </c>
      <c r="F309" t="s">
        <v>105</v>
      </c>
      <c r="G309">
        <v>2</v>
      </c>
      <c r="H309">
        <v>1</v>
      </c>
      <c r="I309">
        <v>1152</v>
      </c>
      <c r="J309">
        <v>0</v>
      </c>
      <c r="K309">
        <v>0</v>
      </c>
      <c r="L309">
        <v>1719.7</v>
      </c>
      <c r="M309">
        <v>1507.5</v>
      </c>
      <c r="N309">
        <v>6525</v>
      </c>
      <c r="O309">
        <v>1400.5</v>
      </c>
      <c r="P309">
        <v>5074.2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1.05</v>
      </c>
      <c r="W309">
        <v>3.5</v>
      </c>
      <c r="X309">
        <v>0</v>
      </c>
      <c r="Y309">
        <v>0</v>
      </c>
      <c r="Z309">
        <v>0</v>
      </c>
      <c r="AA309">
        <v>1.05</v>
      </c>
      <c r="AB309">
        <v>0</v>
      </c>
      <c r="AC309">
        <v>0</v>
      </c>
      <c r="AD309">
        <v>0</v>
      </c>
      <c r="AE309">
        <v>0</v>
      </c>
      <c r="AF309">
        <v>1.05</v>
      </c>
      <c r="AG309">
        <v>0</v>
      </c>
      <c r="AH309">
        <v>1</v>
      </c>
      <c r="AI309">
        <v>2</v>
      </c>
      <c r="AJ309">
        <v>2023</v>
      </c>
      <c r="AK309">
        <v>2</v>
      </c>
      <c r="AL309">
        <v>0</v>
      </c>
      <c r="AM309">
        <v>0</v>
      </c>
      <c r="AN309">
        <v>0</v>
      </c>
    </row>
    <row r="310" spans="1:40" x14ac:dyDescent="0.25">
      <c r="A310">
        <v>309</v>
      </c>
      <c r="B310" t="s">
        <v>1273</v>
      </c>
      <c r="C310" t="s">
        <v>1274</v>
      </c>
      <c r="D310" t="s">
        <v>1275</v>
      </c>
      <c r="E310" t="s">
        <v>1276</v>
      </c>
      <c r="F310" t="s">
        <v>127</v>
      </c>
      <c r="G310">
        <v>2</v>
      </c>
      <c r="H310">
        <v>1</v>
      </c>
      <c r="I310">
        <v>1327</v>
      </c>
      <c r="J310">
        <v>0</v>
      </c>
      <c r="K310">
        <v>0</v>
      </c>
      <c r="L310">
        <v>1930.8</v>
      </c>
      <c r="M310">
        <v>2770.5</v>
      </c>
      <c r="N310">
        <v>6675.5</v>
      </c>
      <c r="O310">
        <v>763.3</v>
      </c>
      <c r="P310">
        <v>5253.2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1.61</v>
      </c>
      <c r="W310">
        <v>3.5</v>
      </c>
      <c r="X310">
        <v>1.61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1.61</v>
      </c>
      <c r="AE310">
        <v>0</v>
      </c>
      <c r="AF310">
        <v>0</v>
      </c>
      <c r="AG310">
        <v>1</v>
      </c>
      <c r="AH310">
        <v>1</v>
      </c>
      <c r="AI310">
        <v>2</v>
      </c>
      <c r="AJ310">
        <v>2024</v>
      </c>
      <c r="AK310">
        <v>1</v>
      </c>
      <c r="AL310">
        <v>0</v>
      </c>
      <c r="AM310">
        <v>0</v>
      </c>
      <c r="AN310">
        <v>0</v>
      </c>
    </row>
    <row r="311" spans="1:40" x14ac:dyDescent="0.25">
      <c r="A311">
        <v>310</v>
      </c>
      <c r="B311" t="s">
        <v>1277</v>
      </c>
      <c r="C311" t="s">
        <v>1278</v>
      </c>
      <c r="D311" t="s">
        <v>1279</v>
      </c>
      <c r="E311" t="s">
        <v>378</v>
      </c>
      <c r="F311" t="s">
        <v>105</v>
      </c>
      <c r="G311">
        <v>2</v>
      </c>
      <c r="H311">
        <v>1</v>
      </c>
      <c r="I311">
        <v>1247</v>
      </c>
      <c r="J311">
        <v>0</v>
      </c>
      <c r="K311">
        <v>0</v>
      </c>
      <c r="L311">
        <v>2227.1999999999998</v>
      </c>
      <c r="M311">
        <v>2247</v>
      </c>
      <c r="N311">
        <v>3854.6</v>
      </c>
      <c r="O311">
        <v>338.4</v>
      </c>
      <c r="P311">
        <v>40544.1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</v>
      </c>
      <c r="W311">
        <v>3</v>
      </c>
      <c r="X311">
        <v>0.5</v>
      </c>
      <c r="Y311">
        <v>0</v>
      </c>
      <c r="Z311">
        <v>0</v>
      </c>
      <c r="AA311">
        <v>0</v>
      </c>
      <c r="AB311">
        <v>0</v>
      </c>
      <c r="AC311">
        <v>0.5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L311">
        <v>0</v>
      </c>
      <c r="AM311">
        <v>0</v>
      </c>
      <c r="AN311">
        <v>0</v>
      </c>
    </row>
    <row r="312" spans="1:40" x14ac:dyDescent="0.25">
      <c r="A312">
        <v>311</v>
      </c>
      <c r="B312" t="s">
        <v>1280</v>
      </c>
      <c r="C312" t="s">
        <v>1281</v>
      </c>
      <c r="D312" t="s">
        <v>1282</v>
      </c>
      <c r="E312" t="s">
        <v>1283</v>
      </c>
      <c r="F312" t="s">
        <v>310</v>
      </c>
      <c r="G312">
        <v>2</v>
      </c>
      <c r="H312">
        <v>1</v>
      </c>
      <c r="I312">
        <v>383</v>
      </c>
      <c r="J312">
        <v>0</v>
      </c>
      <c r="K312">
        <v>0</v>
      </c>
      <c r="L312">
        <v>38431.300000000003</v>
      </c>
      <c r="M312">
        <v>5308.5</v>
      </c>
      <c r="N312">
        <v>40641.699999999997</v>
      </c>
      <c r="O312">
        <v>1530.9</v>
      </c>
      <c r="P312">
        <v>5930.7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1.1599999999999999</v>
      </c>
      <c r="W312">
        <v>1.5</v>
      </c>
      <c r="X312">
        <v>0</v>
      </c>
      <c r="Y312">
        <v>0</v>
      </c>
      <c r="Z312">
        <v>1.1599999999999999</v>
      </c>
      <c r="AA312">
        <v>0</v>
      </c>
      <c r="AB312">
        <v>0</v>
      </c>
      <c r="AC312">
        <v>0</v>
      </c>
      <c r="AD312">
        <v>0.36</v>
      </c>
      <c r="AE312">
        <v>0.79999999999999993</v>
      </c>
      <c r="AF312">
        <v>0</v>
      </c>
      <c r="AG312">
        <v>0.31034482758620702</v>
      </c>
      <c r="AH312">
        <v>1</v>
      </c>
      <c r="AI312">
        <v>1</v>
      </c>
      <c r="AJ312">
        <v>2023</v>
      </c>
      <c r="AK312">
        <v>2</v>
      </c>
      <c r="AL312">
        <v>0</v>
      </c>
      <c r="AM312">
        <v>0</v>
      </c>
      <c r="AN312">
        <v>0</v>
      </c>
    </row>
    <row r="313" spans="1:40" x14ac:dyDescent="0.25">
      <c r="A313">
        <v>312</v>
      </c>
      <c r="B313" t="s">
        <v>1284</v>
      </c>
      <c r="C313" t="s">
        <v>1285</v>
      </c>
      <c r="D313" t="s">
        <v>1286</v>
      </c>
      <c r="E313" t="s">
        <v>1009</v>
      </c>
      <c r="F313" t="s">
        <v>203</v>
      </c>
      <c r="G313">
        <v>3</v>
      </c>
      <c r="H313">
        <v>2</v>
      </c>
      <c r="I313">
        <v>1967</v>
      </c>
      <c r="J313">
        <v>0</v>
      </c>
      <c r="K313">
        <v>1</v>
      </c>
      <c r="L313">
        <v>1183.2</v>
      </c>
      <c r="M313">
        <v>2223.6</v>
      </c>
      <c r="N313">
        <v>7793.6</v>
      </c>
      <c r="O313">
        <v>981.5</v>
      </c>
      <c r="P313">
        <v>9536.7999999999993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1.1100000000000001</v>
      </c>
      <c r="W313">
        <v>3</v>
      </c>
      <c r="X313">
        <v>1.1100000000000001</v>
      </c>
      <c r="Y313">
        <v>0</v>
      </c>
      <c r="Z313">
        <v>0</v>
      </c>
      <c r="AA313">
        <v>0</v>
      </c>
      <c r="AB313">
        <v>0</v>
      </c>
      <c r="AC313">
        <v>1.1100000000000001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1</v>
      </c>
      <c r="AJ313">
        <v>2023</v>
      </c>
      <c r="AK313">
        <v>2</v>
      </c>
      <c r="AL313">
        <v>0</v>
      </c>
      <c r="AM313">
        <v>0</v>
      </c>
      <c r="AN313">
        <v>0</v>
      </c>
    </row>
    <row r="314" spans="1:40" x14ac:dyDescent="0.25">
      <c r="A314">
        <v>313</v>
      </c>
      <c r="B314" t="s">
        <v>1287</v>
      </c>
      <c r="C314" t="s">
        <v>1288</v>
      </c>
      <c r="D314" t="s">
        <v>1289</v>
      </c>
      <c r="E314" t="s">
        <v>1290</v>
      </c>
      <c r="F314" t="s">
        <v>203</v>
      </c>
      <c r="G314">
        <v>4</v>
      </c>
      <c r="H314">
        <v>2</v>
      </c>
      <c r="I314">
        <v>3450</v>
      </c>
      <c r="J314">
        <v>1</v>
      </c>
      <c r="K314">
        <v>1</v>
      </c>
      <c r="L314">
        <v>3451.8</v>
      </c>
      <c r="M314">
        <v>5726.6</v>
      </c>
      <c r="N314">
        <v>11399.7</v>
      </c>
      <c r="O314">
        <v>145.5</v>
      </c>
      <c r="P314">
        <v>6836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</v>
      </c>
      <c r="W314">
        <v>3</v>
      </c>
      <c r="X314">
        <v>6.7399999999999922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3.740000000000002</v>
      </c>
      <c r="AE314">
        <v>2.2000000000000011</v>
      </c>
      <c r="AF314">
        <v>0.79999999999999993</v>
      </c>
      <c r="AG314">
        <v>0.55489614243323448</v>
      </c>
      <c r="AH314">
        <v>1</v>
      </c>
      <c r="AI314">
        <v>2</v>
      </c>
      <c r="AJ314">
        <v>2024</v>
      </c>
      <c r="AK314">
        <v>1</v>
      </c>
      <c r="AL314">
        <v>1</v>
      </c>
      <c r="AM314">
        <v>0</v>
      </c>
      <c r="AN314">
        <v>1</v>
      </c>
    </row>
    <row r="315" spans="1:40" x14ac:dyDescent="0.25">
      <c r="A315">
        <v>314</v>
      </c>
      <c r="B315" t="s">
        <v>1291</v>
      </c>
      <c r="C315" t="s">
        <v>1292</v>
      </c>
      <c r="D315" t="s">
        <v>1293</v>
      </c>
      <c r="E315" t="s">
        <v>1294</v>
      </c>
      <c r="F315" t="s">
        <v>149</v>
      </c>
      <c r="G315">
        <v>2</v>
      </c>
      <c r="H315">
        <v>1</v>
      </c>
      <c r="I315">
        <v>1383</v>
      </c>
      <c r="J315">
        <v>0</v>
      </c>
      <c r="K315">
        <v>0</v>
      </c>
      <c r="L315">
        <v>1884.6</v>
      </c>
      <c r="M315">
        <v>3129</v>
      </c>
      <c r="N315">
        <v>8698.9</v>
      </c>
      <c r="O315">
        <v>1459.4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2.2599999999999998</v>
      </c>
      <c r="W315">
        <v>3</v>
      </c>
      <c r="X315">
        <v>2.2600000000000011</v>
      </c>
      <c r="Y315">
        <v>0</v>
      </c>
      <c r="Z315">
        <v>0</v>
      </c>
      <c r="AA315">
        <v>0</v>
      </c>
      <c r="AB315">
        <v>0</v>
      </c>
      <c r="AC315">
        <v>0.99999999999999989</v>
      </c>
      <c r="AD315">
        <v>0.85999999999999988</v>
      </c>
      <c r="AE315">
        <v>0.4</v>
      </c>
      <c r="AF315">
        <v>0</v>
      </c>
      <c r="AG315">
        <v>0.82300884955752218</v>
      </c>
      <c r="AH315">
        <v>1</v>
      </c>
      <c r="AI315">
        <v>1</v>
      </c>
      <c r="AJ315">
        <v>2024</v>
      </c>
      <c r="AK315">
        <v>1</v>
      </c>
      <c r="AL315">
        <v>0</v>
      </c>
      <c r="AM315">
        <v>0</v>
      </c>
      <c r="AN315">
        <v>0</v>
      </c>
    </row>
    <row r="316" spans="1:40" x14ac:dyDescent="0.25">
      <c r="A316">
        <v>315</v>
      </c>
      <c r="B316" t="s">
        <v>1295</v>
      </c>
      <c r="C316" t="s">
        <v>1296</v>
      </c>
      <c r="D316" t="s">
        <v>1297</v>
      </c>
      <c r="E316" t="s">
        <v>1298</v>
      </c>
      <c r="F316" t="s">
        <v>185</v>
      </c>
      <c r="G316">
        <v>3</v>
      </c>
      <c r="H316">
        <v>1</v>
      </c>
      <c r="I316">
        <v>1322</v>
      </c>
      <c r="J316">
        <v>0</v>
      </c>
      <c r="K316">
        <v>0</v>
      </c>
      <c r="O316">
        <v>737.9</v>
      </c>
      <c r="P316">
        <v>9365.6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8.0299999999999994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8.0299999999999869</v>
      </c>
      <c r="AC316">
        <v>0</v>
      </c>
      <c r="AD316">
        <v>0</v>
      </c>
      <c r="AE316">
        <v>0</v>
      </c>
      <c r="AF316">
        <v>8.0299999999999869</v>
      </c>
      <c r="AG316">
        <v>0</v>
      </c>
      <c r="AH316">
        <v>0</v>
      </c>
      <c r="AI316">
        <v>0</v>
      </c>
      <c r="AL316">
        <v>0</v>
      </c>
      <c r="AM316">
        <v>0</v>
      </c>
      <c r="AN316">
        <v>0</v>
      </c>
    </row>
    <row r="317" spans="1:40" x14ac:dyDescent="0.25">
      <c r="A317">
        <v>316</v>
      </c>
      <c r="B317" t="s">
        <v>1299</v>
      </c>
      <c r="C317" t="s">
        <v>1300</v>
      </c>
      <c r="D317" t="s">
        <v>1301</v>
      </c>
      <c r="E317" t="s">
        <v>1302</v>
      </c>
      <c r="F317" t="s">
        <v>176</v>
      </c>
      <c r="G317">
        <v>8</v>
      </c>
      <c r="H317">
        <v>1</v>
      </c>
      <c r="I317">
        <v>2472</v>
      </c>
      <c r="J317">
        <v>0</v>
      </c>
      <c r="K317">
        <v>1</v>
      </c>
      <c r="L317">
        <v>521.79999999999995</v>
      </c>
      <c r="M317">
        <v>552.5</v>
      </c>
      <c r="N317">
        <v>7693.7</v>
      </c>
      <c r="O317">
        <v>1000.2</v>
      </c>
      <c r="P317">
        <v>6193.3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7.3</v>
      </c>
      <c r="W317">
        <v>3</v>
      </c>
      <c r="X317">
        <v>7.2999999999999901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7.0999999999999908</v>
      </c>
      <c r="AE317">
        <v>0.2</v>
      </c>
      <c r="AF317">
        <v>0</v>
      </c>
      <c r="AG317">
        <v>0.97260273972602729</v>
      </c>
      <c r="AH317">
        <v>1</v>
      </c>
      <c r="AI317">
        <v>3</v>
      </c>
      <c r="AJ317">
        <v>2023</v>
      </c>
      <c r="AK317">
        <v>2</v>
      </c>
      <c r="AL317">
        <v>0</v>
      </c>
      <c r="AM317">
        <v>0</v>
      </c>
      <c r="AN317">
        <v>0</v>
      </c>
    </row>
    <row r="318" spans="1:40" x14ac:dyDescent="0.25">
      <c r="A318">
        <v>317</v>
      </c>
      <c r="B318" t="s">
        <v>1303</v>
      </c>
      <c r="C318" t="s">
        <v>1304</v>
      </c>
      <c r="D318" t="s">
        <v>1305</v>
      </c>
      <c r="E318" t="s">
        <v>1306</v>
      </c>
      <c r="F318" t="s">
        <v>176</v>
      </c>
      <c r="G318">
        <v>3</v>
      </c>
      <c r="H318">
        <v>1</v>
      </c>
      <c r="I318">
        <v>1361</v>
      </c>
      <c r="J318">
        <v>0</v>
      </c>
      <c r="K318">
        <v>0</v>
      </c>
      <c r="L318">
        <v>4723.8</v>
      </c>
      <c r="M318">
        <v>1843.3</v>
      </c>
      <c r="N318">
        <v>4521.5</v>
      </c>
      <c r="O318">
        <v>1010.2</v>
      </c>
      <c r="P318">
        <v>30302.6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1.59</v>
      </c>
      <c r="W318">
        <v>3</v>
      </c>
      <c r="X318">
        <v>1.59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1.0900000000000001</v>
      </c>
      <c r="AE318">
        <v>0.5</v>
      </c>
      <c r="AF318">
        <v>0</v>
      </c>
      <c r="AG318">
        <v>0.68553459119496851</v>
      </c>
      <c r="AH318">
        <v>1</v>
      </c>
      <c r="AI318">
        <v>1</v>
      </c>
      <c r="AJ318">
        <v>2022</v>
      </c>
      <c r="AK318">
        <v>3</v>
      </c>
      <c r="AL318">
        <v>0</v>
      </c>
      <c r="AM318">
        <v>0</v>
      </c>
      <c r="AN318">
        <v>0</v>
      </c>
    </row>
    <row r="319" spans="1:40" x14ac:dyDescent="0.25">
      <c r="A319">
        <v>318</v>
      </c>
      <c r="B319" t="s">
        <v>1307</v>
      </c>
      <c r="C319" t="s">
        <v>1308</v>
      </c>
      <c r="D319" t="s">
        <v>1309</v>
      </c>
      <c r="E319" t="s">
        <v>1310</v>
      </c>
      <c r="F319" t="s">
        <v>310</v>
      </c>
      <c r="G319">
        <v>2</v>
      </c>
      <c r="H319">
        <v>1</v>
      </c>
      <c r="I319">
        <v>712</v>
      </c>
      <c r="J319">
        <v>1</v>
      </c>
      <c r="K319">
        <v>0</v>
      </c>
      <c r="L319">
        <v>28189.8</v>
      </c>
      <c r="M319">
        <v>6376.2</v>
      </c>
      <c r="N319">
        <v>30400.2</v>
      </c>
      <c r="O319">
        <v>422.1</v>
      </c>
      <c r="P319">
        <v>33413.1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0.66</v>
      </c>
      <c r="W319">
        <v>1.5</v>
      </c>
      <c r="X319">
        <v>0.65999999999999992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0.65999999999999992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2024</v>
      </c>
      <c r="AK319">
        <v>1</v>
      </c>
      <c r="AL319">
        <v>0</v>
      </c>
      <c r="AM319">
        <v>0</v>
      </c>
      <c r="AN319">
        <v>0</v>
      </c>
    </row>
    <row r="320" spans="1:40" x14ac:dyDescent="0.25">
      <c r="A320">
        <v>319</v>
      </c>
      <c r="B320" t="s">
        <v>1311</v>
      </c>
      <c r="C320" t="s">
        <v>1312</v>
      </c>
      <c r="D320" t="s">
        <v>1313</v>
      </c>
      <c r="E320" t="s">
        <v>1314</v>
      </c>
      <c r="F320" t="s">
        <v>310</v>
      </c>
      <c r="G320">
        <v>2</v>
      </c>
      <c r="H320">
        <v>1</v>
      </c>
      <c r="I320">
        <v>740</v>
      </c>
      <c r="J320">
        <v>1</v>
      </c>
      <c r="K320">
        <v>0</v>
      </c>
      <c r="L320">
        <v>31300.400000000001</v>
      </c>
      <c r="M320">
        <v>10246.299999999999</v>
      </c>
      <c r="N320">
        <v>33510.699999999997</v>
      </c>
      <c r="O320">
        <v>2940.2</v>
      </c>
      <c r="P320">
        <v>34426.6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7.65</v>
      </c>
      <c r="W320">
        <v>3</v>
      </c>
      <c r="X320">
        <v>7.6499999999999888</v>
      </c>
      <c r="Y320">
        <v>0</v>
      </c>
      <c r="Z320">
        <v>0</v>
      </c>
      <c r="AA320">
        <v>0</v>
      </c>
      <c r="AB320">
        <v>0</v>
      </c>
      <c r="AC320">
        <v>1.8</v>
      </c>
      <c r="AD320">
        <v>2.6500000000000008</v>
      </c>
      <c r="AE320">
        <v>2</v>
      </c>
      <c r="AF320">
        <v>1.2</v>
      </c>
      <c r="AG320">
        <v>0.5816993464052288</v>
      </c>
      <c r="AH320">
        <v>1</v>
      </c>
      <c r="AI320">
        <v>2</v>
      </c>
      <c r="AJ320">
        <v>2024</v>
      </c>
      <c r="AK320">
        <v>1</v>
      </c>
      <c r="AL320">
        <v>1</v>
      </c>
      <c r="AM320">
        <v>0</v>
      </c>
      <c r="AN320">
        <v>1</v>
      </c>
    </row>
    <row r="321" spans="1:40" x14ac:dyDescent="0.25">
      <c r="A321">
        <v>320</v>
      </c>
      <c r="B321" t="s">
        <v>1315</v>
      </c>
      <c r="C321" t="s">
        <v>1316</v>
      </c>
      <c r="D321" t="s">
        <v>1317</v>
      </c>
      <c r="E321" t="s">
        <v>575</v>
      </c>
      <c r="F321" t="s">
        <v>310</v>
      </c>
      <c r="G321">
        <v>1</v>
      </c>
      <c r="H321">
        <v>1</v>
      </c>
      <c r="I321">
        <v>266</v>
      </c>
      <c r="J321">
        <v>0</v>
      </c>
      <c r="K321">
        <v>0</v>
      </c>
      <c r="L321">
        <v>32313.9</v>
      </c>
      <c r="M321">
        <v>11259.8</v>
      </c>
      <c r="N321">
        <v>34524.300000000003</v>
      </c>
      <c r="O321">
        <v>2327.6999999999998</v>
      </c>
      <c r="P321">
        <v>8108.2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0.4</v>
      </c>
      <c r="W321">
        <v>1.5</v>
      </c>
      <c r="X321">
        <v>0</v>
      </c>
      <c r="Y321">
        <v>0</v>
      </c>
      <c r="Z321">
        <v>0.4</v>
      </c>
      <c r="AA321">
        <v>0</v>
      </c>
      <c r="AB321">
        <v>0</v>
      </c>
      <c r="AC321">
        <v>0</v>
      </c>
      <c r="AD321">
        <v>0.2</v>
      </c>
      <c r="AE321">
        <v>0</v>
      </c>
      <c r="AF321">
        <v>0.2</v>
      </c>
      <c r="AG321">
        <v>0.5</v>
      </c>
      <c r="AH321">
        <v>0</v>
      </c>
      <c r="AI321">
        <v>0</v>
      </c>
      <c r="AL321">
        <v>0</v>
      </c>
      <c r="AM321">
        <v>0</v>
      </c>
      <c r="AN321">
        <v>0</v>
      </c>
    </row>
    <row r="322" spans="1:40" x14ac:dyDescent="0.25">
      <c r="A322">
        <v>321</v>
      </c>
      <c r="B322" t="s">
        <v>1318</v>
      </c>
      <c r="C322" t="s">
        <v>1319</v>
      </c>
      <c r="D322" t="s">
        <v>1320</v>
      </c>
      <c r="E322" t="s">
        <v>1321</v>
      </c>
      <c r="F322" t="s">
        <v>149</v>
      </c>
      <c r="G322">
        <v>3</v>
      </c>
      <c r="H322">
        <v>1</v>
      </c>
      <c r="I322">
        <v>1729</v>
      </c>
      <c r="J322">
        <v>0</v>
      </c>
      <c r="K322">
        <v>0</v>
      </c>
      <c r="L322">
        <v>1881.3</v>
      </c>
      <c r="M322">
        <v>2948.4</v>
      </c>
      <c r="N322">
        <v>9971.1</v>
      </c>
      <c r="O322">
        <v>316.3</v>
      </c>
      <c r="P322">
        <v>3930.7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1.49</v>
      </c>
      <c r="W322">
        <v>3</v>
      </c>
      <c r="X322">
        <v>1.49</v>
      </c>
      <c r="Y322">
        <v>0</v>
      </c>
      <c r="Z322">
        <v>0</v>
      </c>
      <c r="AA322">
        <v>0</v>
      </c>
      <c r="AB322">
        <v>0</v>
      </c>
      <c r="AC322">
        <v>1.49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1</v>
      </c>
      <c r="AJ322">
        <v>2024</v>
      </c>
      <c r="AK322">
        <v>1</v>
      </c>
      <c r="AL322">
        <v>0</v>
      </c>
      <c r="AM322">
        <v>0</v>
      </c>
      <c r="AN322">
        <v>0</v>
      </c>
    </row>
    <row r="323" spans="1:40" x14ac:dyDescent="0.25">
      <c r="A323">
        <v>322</v>
      </c>
      <c r="B323" t="s">
        <v>1322</v>
      </c>
      <c r="C323" t="s">
        <v>1323</v>
      </c>
      <c r="D323" t="s">
        <v>1324</v>
      </c>
      <c r="E323" t="s">
        <v>1325</v>
      </c>
      <c r="F323" t="s">
        <v>100</v>
      </c>
      <c r="G323">
        <v>2</v>
      </c>
      <c r="H323">
        <v>1</v>
      </c>
      <c r="I323">
        <v>717</v>
      </c>
      <c r="J323">
        <v>0</v>
      </c>
      <c r="K323">
        <v>0</v>
      </c>
      <c r="L323">
        <v>4249.1000000000004</v>
      </c>
      <c r="M323">
        <v>4208.3999999999996</v>
      </c>
      <c r="N323">
        <v>5604.4</v>
      </c>
      <c r="O323">
        <v>672.9</v>
      </c>
      <c r="P323">
        <v>13564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0.64</v>
      </c>
      <c r="W323">
        <v>3</v>
      </c>
      <c r="X323">
        <v>0.64</v>
      </c>
      <c r="Y323">
        <v>0</v>
      </c>
      <c r="Z323">
        <v>0</v>
      </c>
      <c r="AA323">
        <v>0</v>
      </c>
      <c r="AB323">
        <v>0</v>
      </c>
      <c r="AC323">
        <v>0.64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1</v>
      </c>
      <c r="AJ323">
        <v>2024</v>
      </c>
      <c r="AK323">
        <v>1</v>
      </c>
      <c r="AL323">
        <v>0</v>
      </c>
      <c r="AM323">
        <v>0</v>
      </c>
      <c r="AN323">
        <v>0</v>
      </c>
    </row>
    <row r="324" spans="1:40" x14ac:dyDescent="0.25">
      <c r="A324">
        <v>323</v>
      </c>
      <c r="B324" t="s">
        <v>1326</v>
      </c>
      <c r="C324" t="s">
        <v>1327</v>
      </c>
      <c r="D324" t="s">
        <v>1328</v>
      </c>
      <c r="E324" t="s">
        <v>1329</v>
      </c>
      <c r="F324" t="s">
        <v>132</v>
      </c>
      <c r="G324">
        <v>3</v>
      </c>
      <c r="H324">
        <v>1</v>
      </c>
      <c r="I324">
        <v>536</v>
      </c>
      <c r="J324">
        <v>0</v>
      </c>
      <c r="K324">
        <v>0</v>
      </c>
      <c r="L324">
        <v>5667.6</v>
      </c>
      <c r="M324">
        <v>1807.7</v>
      </c>
      <c r="N324">
        <v>15354.2</v>
      </c>
      <c r="O324">
        <v>208.6</v>
      </c>
      <c r="P324">
        <v>5233.5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2.82</v>
      </c>
      <c r="W324">
        <v>3</v>
      </c>
      <c r="X324">
        <v>2.8200000000000012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2.02</v>
      </c>
      <c r="AE324">
        <v>0.6</v>
      </c>
      <c r="AF324">
        <v>0.2</v>
      </c>
      <c r="AG324">
        <v>0.71631205673758858</v>
      </c>
      <c r="AH324">
        <v>1</v>
      </c>
      <c r="AI324">
        <v>2</v>
      </c>
      <c r="AJ324">
        <v>2022</v>
      </c>
      <c r="AK324">
        <v>3</v>
      </c>
      <c r="AL324">
        <v>0</v>
      </c>
      <c r="AM324">
        <v>0</v>
      </c>
      <c r="AN324">
        <v>0</v>
      </c>
    </row>
    <row r="325" spans="1:40" x14ac:dyDescent="0.25">
      <c r="A325">
        <v>324</v>
      </c>
      <c r="B325" t="s">
        <v>1330</v>
      </c>
      <c r="C325" t="s">
        <v>1331</v>
      </c>
      <c r="D325" t="s">
        <v>1332</v>
      </c>
      <c r="E325" t="s">
        <v>1333</v>
      </c>
      <c r="F325" t="s">
        <v>363</v>
      </c>
      <c r="G325">
        <v>1</v>
      </c>
      <c r="H325">
        <v>1</v>
      </c>
      <c r="I325">
        <v>616</v>
      </c>
      <c r="J325">
        <v>1</v>
      </c>
      <c r="K325">
        <v>0</v>
      </c>
      <c r="L325">
        <v>2918.2</v>
      </c>
      <c r="M325">
        <v>1429</v>
      </c>
      <c r="N325">
        <v>4137.1000000000004</v>
      </c>
      <c r="O325">
        <v>1065.5999999999999</v>
      </c>
      <c r="P325">
        <v>30750.2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0.18</v>
      </c>
      <c r="W325">
        <v>3</v>
      </c>
      <c r="X325">
        <v>0.18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0.18</v>
      </c>
      <c r="AG325">
        <v>0</v>
      </c>
      <c r="AH325">
        <v>1</v>
      </c>
      <c r="AI325">
        <v>1</v>
      </c>
      <c r="AJ325">
        <v>2024</v>
      </c>
      <c r="AK325">
        <v>1</v>
      </c>
      <c r="AL325">
        <v>0</v>
      </c>
      <c r="AM325">
        <v>0</v>
      </c>
      <c r="AN325">
        <v>0</v>
      </c>
    </row>
    <row r="326" spans="1:40" x14ac:dyDescent="0.25">
      <c r="A326">
        <v>325</v>
      </c>
      <c r="B326" t="s">
        <v>1334</v>
      </c>
      <c r="C326" t="s">
        <v>1335</v>
      </c>
      <c r="D326" t="s">
        <v>1336</v>
      </c>
      <c r="E326" t="s">
        <v>1333</v>
      </c>
      <c r="F326" t="s">
        <v>363</v>
      </c>
      <c r="G326">
        <v>1</v>
      </c>
      <c r="H326">
        <v>1</v>
      </c>
      <c r="I326">
        <v>616</v>
      </c>
      <c r="J326">
        <v>1</v>
      </c>
      <c r="K326">
        <v>0</v>
      </c>
      <c r="L326">
        <v>2535.4</v>
      </c>
      <c r="M326">
        <v>1804.6</v>
      </c>
      <c r="N326">
        <v>3754.3</v>
      </c>
      <c r="O326">
        <v>682.8</v>
      </c>
      <c r="P326">
        <v>30367.4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0.21</v>
      </c>
      <c r="W326">
        <v>3</v>
      </c>
      <c r="X326">
        <v>0.21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0.21</v>
      </c>
      <c r="AG326">
        <v>0</v>
      </c>
      <c r="AH326">
        <v>0</v>
      </c>
      <c r="AI326">
        <v>0</v>
      </c>
      <c r="AL326">
        <v>0</v>
      </c>
      <c r="AM326">
        <v>0</v>
      </c>
      <c r="AN326">
        <v>0</v>
      </c>
    </row>
    <row r="327" spans="1:40" x14ac:dyDescent="0.25">
      <c r="A327">
        <v>326</v>
      </c>
      <c r="B327" t="s">
        <v>1337</v>
      </c>
      <c r="C327" t="s">
        <v>1338</v>
      </c>
      <c r="D327" t="s">
        <v>1339</v>
      </c>
      <c r="E327" t="s">
        <v>705</v>
      </c>
      <c r="F327" t="s">
        <v>100</v>
      </c>
      <c r="G327">
        <v>1</v>
      </c>
      <c r="H327">
        <v>1</v>
      </c>
      <c r="I327">
        <v>3189</v>
      </c>
      <c r="J327">
        <v>0</v>
      </c>
      <c r="K327">
        <v>1</v>
      </c>
      <c r="L327">
        <v>1044</v>
      </c>
      <c r="M327">
        <v>1570.5</v>
      </c>
      <c r="N327">
        <v>2861.8</v>
      </c>
      <c r="O327">
        <v>120.5</v>
      </c>
      <c r="P327">
        <v>1157.7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1.43</v>
      </c>
      <c r="W327">
        <v>5</v>
      </c>
      <c r="X327">
        <v>1.43</v>
      </c>
      <c r="Y327">
        <v>0</v>
      </c>
      <c r="Z327">
        <v>0</v>
      </c>
      <c r="AA327">
        <v>0</v>
      </c>
      <c r="AB327">
        <v>0</v>
      </c>
      <c r="AC327">
        <v>1.23</v>
      </c>
      <c r="AD327">
        <v>0.2</v>
      </c>
      <c r="AE327">
        <v>0</v>
      </c>
      <c r="AF327">
        <v>0</v>
      </c>
      <c r="AG327">
        <v>1</v>
      </c>
      <c r="AH327">
        <v>0</v>
      </c>
      <c r="AI327">
        <v>0</v>
      </c>
      <c r="AL327">
        <v>0</v>
      </c>
      <c r="AM327">
        <v>0</v>
      </c>
      <c r="AN327">
        <v>0</v>
      </c>
    </row>
    <row r="328" spans="1:40" x14ac:dyDescent="0.25">
      <c r="A328">
        <v>327</v>
      </c>
      <c r="B328" t="s">
        <v>1340</v>
      </c>
      <c r="C328" t="s">
        <v>1341</v>
      </c>
      <c r="D328" t="s">
        <v>1342</v>
      </c>
      <c r="E328" t="s">
        <v>109</v>
      </c>
      <c r="F328" t="s">
        <v>100</v>
      </c>
      <c r="G328">
        <v>2</v>
      </c>
      <c r="H328">
        <v>1</v>
      </c>
      <c r="I328">
        <v>2315</v>
      </c>
      <c r="J328">
        <v>0</v>
      </c>
      <c r="L328">
        <v>1071.5999999999999</v>
      </c>
      <c r="M328">
        <v>1221.5999999999999</v>
      </c>
      <c r="N328">
        <v>1568.9</v>
      </c>
      <c r="O328">
        <v>323.8</v>
      </c>
      <c r="P328">
        <v>1389.9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1.64</v>
      </c>
      <c r="W328">
        <v>3.5</v>
      </c>
      <c r="X328">
        <v>1.64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1.64</v>
      </c>
      <c r="AE328">
        <v>0</v>
      </c>
      <c r="AF328">
        <v>0</v>
      </c>
      <c r="AG328">
        <v>1</v>
      </c>
      <c r="AH328">
        <v>0</v>
      </c>
      <c r="AI328">
        <v>0</v>
      </c>
      <c r="AL328">
        <v>1</v>
      </c>
      <c r="AM328">
        <v>1</v>
      </c>
      <c r="AN328">
        <v>0</v>
      </c>
    </row>
    <row r="329" spans="1:40" x14ac:dyDescent="0.25">
      <c r="A329">
        <v>328</v>
      </c>
      <c r="B329" t="s">
        <v>1343</v>
      </c>
      <c r="C329" t="s">
        <v>1344</v>
      </c>
      <c r="D329" t="s">
        <v>1345</v>
      </c>
      <c r="E329" t="s">
        <v>1346</v>
      </c>
      <c r="F329" t="s">
        <v>213</v>
      </c>
      <c r="G329">
        <v>3</v>
      </c>
      <c r="H329">
        <v>2</v>
      </c>
      <c r="I329">
        <v>3515</v>
      </c>
      <c r="J329">
        <v>0</v>
      </c>
      <c r="K329">
        <v>1</v>
      </c>
      <c r="L329">
        <v>3128.2</v>
      </c>
      <c r="M329">
        <v>2288.5</v>
      </c>
      <c r="N329">
        <v>3236.9</v>
      </c>
      <c r="O329">
        <v>1380.8</v>
      </c>
      <c r="P329">
        <v>3546.1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2.1800000000000002</v>
      </c>
      <c r="W329">
        <v>3.5</v>
      </c>
      <c r="X329">
        <v>2.180000000000001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2.180000000000001</v>
      </c>
      <c r="AE329">
        <v>0</v>
      </c>
      <c r="AF329">
        <v>0</v>
      </c>
      <c r="AG329">
        <v>1</v>
      </c>
      <c r="AH329">
        <v>1</v>
      </c>
      <c r="AI329">
        <v>2</v>
      </c>
      <c r="AJ329">
        <v>2023</v>
      </c>
      <c r="AK329">
        <v>2</v>
      </c>
      <c r="AL329">
        <v>0</v>
      </c>
      <c r="AM329">
        <v>0</v>
      </c>
      <c r="AN329">
        <v>0</v>
      </c>
    </row>
    <row r="330" spans="1:40" x14ac:dyDescent="0.25">
      <c r="A330">
        <v>329</v>
      </c>
      <c r="B330" t="s">
        <v>1347</v>
      </c>
      <c r="C330" t="s">
        <v>1348</v>
      </c>
      <c r="D330" t="s">
        <v>1349</v>
      </c>
      <c r="E330" t="s">
        <v>1350</v>
      </c>
      <c r="F330" t="s">
        <v>539</v>
      </c>
      <c r="G330">
        <v>2</v>
      </c>
      <c r="H330">
        <v>2</v>
      </c>
      <c r="I330">
        <v>748</v>
      </c>
      <c r="J330">
        <v>0</v>
      </c>
      <c r="K330">
        <v>1</v>
      </c>
      <c r="L330">
        <v>4137.8999999999996</v>
      </c>
      <c r="M330">
        <v>3602.1</v>
      </c>
      <c r="N330">
        <v>2974.2</v>
      </c>
      <c r="O330">
        <v>650.79999999999995</v>
      </c>
      <c r="P330">
        <v>4456.2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2.2200000000000002</v>
      </c>
      <c r="W330">
        <v>3.5</v>
      </c>
      <c r="X330">
        <v>2.2200000000000011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2.2200000000000011</v>
      </c>
      <c r="AE330">
        <v>0</v>
      </c>
      <c r="AF330">
        <v>0</v>
      </c>
      <c r="AG330">
        <v>1</v>
      </c>
      <c r="AH330">
        <v>1</v>
      </c>
      <c r="AI330">
        <v>1</v>
      </c>
      <c r="AJ330">
        <v>2023</v>
      </c>
      <c r="AK330">
        <v>2</v>
      </c>
      <c r="AL330">
        <v>0</v>
      </c>
      <c r="AM330">
        <v>0</v>
      </c>
      <c r="AN330">
        <v>0</v>
      </c>
    </row>
    <row r="331" spans="1:40" x14ac:dyDescent="0.25">
      <c r="A331">
        <v>330</v>
      </c>
      <c r="B331" t="s">
        <v>1351</v>
      </c>
      <c r="C331" t="s">
        <v>1352</v>
      </c>
      <c r="D331" t="s">
        <v>1353</v>
      </c>
      <c r="E331" t="s">
        <v>109</v>
      </c>
      <c r="F331" t="s">
        <v>100</v>
      </c>
      <c r="G331">
        <v>2</v>
      </c>
      <c r="H331">
        <v>1</v>
      </c>
      <c r="I331">
        <v>2315</v>
      </c>
      <c r="J331">
        <v>0</v>
      </c>
      <c r="K331">
        <v>1</v>
      </c>
      <c r="L331">
        <v>956.5</v>
      </c>
      <c r="M331">
        <v>1106.5999999999999</v>
      </c>
      <c r="N331">
        <v>1294.7</v>
      </c>
      <c r="O331">
        <v>208.7</v>
      </c>
      <c r="P331">
        <v>1274.8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0.14000000000000001</v>
      </c>
      <c r="W331">
        <v>3</v>
      </c>
      <c r="X331">
        <v>0.14000000000000001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0.14000000000000001</v>
      </c>
      <c r="AE331">
        <v>0</v>
      </c>
      <c r="AF331">
        <v>0</v>
      </c>
      <c r="AG331">
        <v>1</v>
      </c>
      <c r="AH331">
        <v>0</v>
      </c>
      <c r="AI331">
        <v>0</v>
      </c>
      <c r="AL331">
        <v>0</v>
      </c>
      <c r="AM331">
        <v>0</v>
      </c>
      <c r="AN331">
        <v>0</v>
      </c>
    </row>
    <row r="332" spans="1:40" x14ac:dyDescent="0.25">
      <c r="A332">
        <v>331</v>
      </c>
      <c r="B332" t="s">
        <v>1354</v>
      </c>
      <c r="C332" t="s">
        <v>1355</v>
      </c>
      <c r="D332" t="s">
        <v>1356</v>
      </c>
      <c r="E332" t="s">
        <v>954</v>
      </c>
      <c r="F332" t="s">
        <v>100</v>
      </c>
      <c r="G332">
        <v>2</v>
      </c>
      <c r="H332">
        <v>1</v>
      </c>
      <c r="I332">
        <v>1206</v>
      </c>
      <c r="J332">
        <v>0</v>
      </c>
      <c r="K332">
        <v>1</v>
      </c>
      <c r="L332">
        <v>2446.5</v>
      </c>
      <c r="M332">
        <v>2596.6</v>
      </c>
      <c r="N332">
        <v>2421</v>
      </c>
      <c r="O332">
        <v>891</v>
      </c>
      <c r="P332">
        <v>2301.6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</v>
      </c>
      <c r="W332">
        <v>3</v>
      </c>
      <c r="X332">
        <v>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0.3</v>
      </c>
      <c r="AE332">
        <v>0.2</v>
      </c>
      <c r="AF332">
        <v>0</v>
      </c>
      <c r="AG332">
        <v>0.60000000000000009</v>
      </c>
      <c r="AH332">
        <v>0</v>
      </c>
      <c r="AI332">
        <v>0</v>
      </c>
      <c r="AL332">
        <v>0</v>
      </c>
      <c r="AM332">
        <v>0</v>
      </c>
      <c r="AN332">
        <v>0</v>
      </c>
    </row>
    <row r="333" spans="1:40" x14ac:dyDescent="0.25">
      <c r="A333">
        <v>332</v>
      </c>
      <c r="B333" t="s">
        <v>1357</v>
      </c>
      <c r="C333" t="s">
        <v>1358</v>
      </c>
      <c r="D333" t="s">
        <v>1359</v>
      </c>
      <c r="E333" t="s">
        <v>1360</v>
      </c>
      <c r="F333" t="s">
        <v>213</v>
      </c>
      <c r="G333">
        <v>2</v>
      </c>
      <c r="H333">
        <v>2</v>
      </c>
      <c r="I333">
        <v>1157</v>
      </c>
      <c r="J333">
        <v>0</v>
      </c>
      <c r="K333">
        <v>1</v>
      </c>
      <c r="L333">
        <v>2488.8000000000002</v>
      </c>
      <c r="M333">
        <v>269.39999999999998</v>
      </c>
      <c r="N333">
        <v>5545.2</v>
      </c>
      <c r="O333">
        <v>277</v>
      </c>
      <c r="P333">
        <v>3682.3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0.37</v>
      </c>
      <c r="W333">
        <v>3</v>
      </c>
      <c r="X333">
        <v>0.37000000000000011</v>
      </c>
      <c r="Y333">
        <v>0</v>
      </c>
      <c r="Z333">
        <v>0</v>
      </c>
      <c r="AA333">
        <v>0</v>
      </c>
      <c r="AB333">
        <v>0</v>
      </c>
      <c r="AC333">
        <v>0.2</v>
      </c>
      <c r="AD333">
        <v>0.17</v>
      </c>
      <c r="AE333">
        <v>0</v>
      </c>
      <c r="AF333">
        <v>0</v>
      </c>
      <c r="AG333">
        <v>1</v>
      </c>
      <c r="AH333">
        <v>0</v>
      </c>
      <c r="AI333">
        <v>0</v>
      </c>
      <c r="AL333">
        <v>0</v>
      </c>
      <c r="AM333">
        <v>0</v>
      </c>
      <c r="AN333">
        <v>0</v>
      </c>
    </row>
    <row r="334" spans="1:40" x14ac:dyDescent="0.25">
      <c r="A334">
        <v>333</v>
      </c>
      <c r="B334" t="s">
        <v>1361</v>
      </c>
      <c r="C334" t="s">
        <v>1362</v>
      </c>
      <c r="D334" t="s">
        <v>1363</v>
      </c>
      <c r="E334" t="s">
        <v>1364</v>
      </c>
      <c r="F334" t="s">
        <v>100</v>
      </c>
      <c r="G334">
        <v>1</v>
      </c>
      <c r="H334">
        <v>1</v>
      </c>
      <c r="I334">
        <v>1850</v>
      </c>
      <c r="J334">
        <v>0</v>
      </c>
      <c r="K334">
        <v>0</v>
      </c>
      <c r="L334">
        <v>1416.8</v>
      </c>
      <c r="M334">
        <v>742.1</v>
      </c>
      <c r="N334">
        <v>2709.9</v>
      </c>
      <c r="O334">
        <v>611.79999999999995</v>
      </c>
      <c r="P334">
        <v>1735.1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0.84</v>
      </c>
      <c r="W334">
        <v>3</v>
      </c>
      <c r="X334">
        <v>0.84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0.64</v>
      </c>
      <c r="AE334">
        <v>0.2</v>
      </c>
      <c r="AF334">
        <v>0</v>
      </c>
      <c r="AG334">
        <v>0.76190476190476186</v>
      </c>
      <c r="AH334">
        <v>1</v>
      </c>
      <c r="AI334">
        <v>1</v>
      </c>
      <c r="AJ334">
        <v>2023</v>
      </c>
      <c r="AK334">
        <v>2</v>
      </c>
      <c r="AL334">
        <v>0</v>
      </c>
      <c r="AM334">
        <v>0</v>
      </c>
      <c r="AN334">
        <v>0</v>
      </c>
    </row>
    <row r="335" spans="1:40" x14ac:dyDescent="0.25">
      <c r="A335">
        <v>334</v>
      </c>
      <c r="B335" t="s">
        <v>1365</v>
      </c>
      <c r="C335" t="s">
        <v>1366</v>
      </c>
      <c r="D335" t="s">
        <v>1367</v>
      </c>
      <c r="E335" t="s">
        <v>586</v>
      </c>
      <c r="F335" t="s">
        <v>176</v>
      </c>
      <c r="G335">
        <v>1</v>
      </c>
      <c r="H335">
        <v>1</v>
      </c>
      <c r="I335">
        <v>837</v>
      </c>
      <c r="J335">
        <v>0</v>
      </c>
      <c r="K335">
        <v>0</v>
      </c>
      <c r="L335">
        <v>1852.1</v>
      </c>
      <c r="M335">
        <v>2002.2</v>
      </c>
      <c r="N335">
        <v>1298.2</v>
      </c>
      <c r="O335">
        <v>1020.5</v>
      </c>
      <c r="P335">
        <v>2170.4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0.41</v>
      </c>
      <c r="W335">
        <v>3</v>
      </c>
      <c r="X335">
        <v>0.41</v>
      </c>
      <c r="Y335">
        <v>0</v>
      </c>
      <c r="Z335">
        <v>0</v>
      </c>
      <c r="AA335">
        <v>0</v>
      </c>
      <c r="AB335">
        <v>0</v>
      </c>
      <c r="AC335">
        <v>0.41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2023</v>
      </c>
      <c r="AK335">
        <v>2</v>
      </c>
      <c r="AL335">
        <v>0</v>
      </c>
      <c r="AM335">
        <v>0</v>
      </c>
      <c r="AN335">
        <v>0</v>
      </c>
    </row>
    <row r="336" spans="1:40" x14ac:dyDescent="0.25">
      <c r="A336">
        <v>335</v>
      </c>
      <c r="B336" t="s">
        <v>1368</v>
      </c>
      <c r="C336" t="s">
        <v>1369</v>
      </c>
      <c r="D336" t="s">
        <v>1370</v>
      </c>
      <c r="E336" t="s">
        <v>586</v>
      </c>
      <c r="F336" t="s">
        <v>176</v>
      </c>
      <c r="G336">
        <v>1</v>
      </c>
      <c r="H336">
        <v>1</v>
      </c>
      <c r="I336">
        <v>837</v>
      </c>
      <c r="J336">
        <v>0</v>
      </c>
      <c r="K336">
        <v>0</v>
      </c>
      <c r="L336">
        <v>2644.2</v>
      </c>
      <c r="M336">
        <v>2794.3</v>
      </c>
      <c r="N336">
        <v>1500.9</v>
      </c>
      <c r="O336">
        <v>632.20000000000005</v>
      </c>
      <c r="P336">
        <v>2962.6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0.52</v>
      </c>
      <c r="W336">
        <v>3</v>
      </c>
      <c r="X336">
        <v>0.52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0.52</v>
      </c>
      <c r="AE336">
        <v>0</v>
      </c>
      <c r="AF336">
        <v>0</v>
      </c>
      <c r="AG336">
        <v>1</v>
      </c>
      <c r="AH336">
        <v>0</v>
      </c>
      <c r="AI336">
        <v>0</v>
      </c>
      <c r="AL336">
        <v>0</v>
      </c>
      <c r="AM336">
        <v>0</v>
      </c>
      <c r="AN336">
        <v>0</v>
      </c>
    </row>
    <row r="337" spans="1:40" x14ac:dyDescent="0.25">
      <c r="A337">
        <v>336</v>
      </c>
      <c r="B337" t="s">
        <v>1371</v>
      </c>
      <c r="C337" t="s">
        <v>1372</v>
      </c>
      <c r="D337" t="s">
        <v>1373</v>
      </c>
      <c r="E337" t="s">
        <v>1374</v>
      </c>
      <c r="F337" t="s">
        <v>489</v>
      </c>
      <c r="G337">
        <v>3</v>
      </c>
      <c r="H337">
        <v>2</v>
      </c>
      <c r="I337">
        <v>2443</v>
      </c>
      <c r="J337">
        <v>0</v>
      </c>
      <c r="K337">
        <v>0</v>
      </c>
      <c r="L337">
        <v>1790.1</v>
      </c>
      <c r="M337">
        <v>1940.2</v>
      </c>
      <c r="N337">
        <v>907.7</v>
      </c>
      <c r="O337">
        <v>882.7</v>
      </c>
      <c r="P337">
        <v>1835.2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0.86</v>
      </c>
      <c r="W337">
        <v>3</v>
      </c>
      <c r="X337">
        <v>0.85999999999999988</v>
      </c>
      <c r="Y337">
        <v>0</v>
      </c>
      <c r="Z337">
        <v>0</v>
      </c>
      <c r="AA337">
        <v>0</v>
      </c>
      <c r="AB337">
        <v>0</v>
      </c>
      <c r="AC337">
        <v>0.85999999999999988</v>
      </c>
      <c r="AD337">
        <v>0</v>
      </c>
      <c r="AE337">
        <v>0</v>
      </c>
      <c r="AF337">
        <v>0</v>
      </c>
      <c r="AG337">
        <v>1</v>
      </c>
      <c r="AH337">
        <v>1</v>
      </c>
      <c r="AI337">
        <v>1</v>
      </c>
      <c r="AJ337">
        <v>2024</v>
      </c>
      <c r="AK337">
        <v>1</v>
      </c>
      <c r="AL337">
        <v>0</v>
      </c>
      <c r="AM337">
        <v>0</v>
      </c>
      <c r="AN337">
        <v>0</v>
      </c>
    </row>
    <row r="338" spans="1:40" x14ac:dyDescent="0.25">
      <c r="A338">
        <v>337</v>
      </c>
      <c r="B338" t="s">
        <v>1375</v>
      </c>
      <c r="C338" t="s">
        <v>1376</v>
      </c>
      <c r="D338" t="s">
        <v>1377</v>
      </c>
      <c r="E338" t="s">
        <v>567</v>
      </c>
      <c r="F338" t="s">
        <v>489</v>
      </c>
      <c r="G338">
        <v>2</v>
      </c>
      <c r="H338">
        <v>2</v>
      </c>
      <c r="I338">
        <v>1775</v>
      </c>
      <c r="J338">
        <v>0</v>
      </c>
      <c r="K338">
        <v>0</v>
      </c>
      <c r="L338">
        <v>1222.3</v>
      </c>
      <c r="M338">
        <v>1372.3</v>
      </c>
      <c r="N338">
        <v>1028.9000000000001</v>
      </c>
      <c r="O338">
        <v>390.6</v>
      </c>
      <c r="P338">
        <v>1540.6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0.91</v>
      </c>
      <c r="W338">
        <v>3.5</v>
      </c>
      <c r="X338">
        <v>0.90999999999999992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0.90999999999999992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2023</v>
      </c>
      <c r="AK338">
        <v>2</v>
      </c>
      <c r="AL338">
        <v>0</v>
      </c>
      <c r="AM338">
        <v>0</v>
      </c>
      <c r="AN338">
        <v>0</v>
      </c>
    </row>
    <row r="339" spans="1:40" x14ac:dyDescent="0.25">
      <c r="A339">
        <v>338</v>
      </c>
      <c r="B339" t="s">
        <v>1378</v>
      </c>
      <c r="C339" t="s">
        <v>1379</v>
      </c>
      <c r="D339" t="s">
        <v>1380</v>
      </c>
      <c r="E339" t="s">
        <v>880</v>
      </c>
      <c r="F339" t="s">
        <v>176</v>
      </c>
      <c r="G339">
        <v>1</v>
      </c>
      <c r="H339">
        <v>1</v>
      </c>
      <c r="I339">
        <v>588</v>
      </c>
      <c r="J339">
        <v>0</v>
      </c>
      <c r="K339">
        <v>0</v>
      </c>
      <c r="L339">
        <v>5679.4</v>
      </c>
      <c r="M339">
        <v>2870.1</v>
      </c>
      <c r="N339">
        <v>7259.7</v>
      </c>
      <c r="O339">
        <v>3159.3</v>
      </c>
      <c r="P339">
        <v>8931.6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0.85</v>
      </c>
      <c r="W339">
        <v>6</v>
      </c>
      <c r="X339">
        <v>0.85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0.85</v>
      </c>
      <c r="AE339">
        <v>0</v>
      </c>
      <c r="AF339">
        <v>0</v>
      </c>
      <c r="AG339">
        <v>1</v>
      </c>
      <c r="AH339">
        <v>0</v>
      </c>
      <c r="AI339">
        <v>0</v>
      </c>
      <c r="AL339">
        <v>0</v>
      </c>
      <c r="AM339">
        <v>0</v>
      </c>
      <c r="AN339">
        <v>0</v>
      </c>
    </row>
    <row r="340" spans="1:40" x14ac:dyDescent="0.2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t="s">
        <v>315</v>
      </c>
      <c r="G340">
        <v>1</v>
      </c>
      <c r="H340">
        <v>1</v>
      </c>
      <c r="I340">
        <v>1738</v>
      </c>
      <c r="J340">
        <v>0</v>
      </c>
      <c r="K340">
        <v>0</v>
      </c>
      <c r="L340">
        <v>3270.7</v>
      </c>
      <c r="M340">
        <v>280.5</v>
      </c>
      <c r="N340">
        <v>4489.5</v>
      </c>
      <c r="O340">
        <v>131.9</v>
      </c>
      <c r="P340">
        <v>31102.7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0.48</v>
      </c>
      <c r="W340">
        <v>3</v>
      </c>
      <c r="X340">
        <v>0</v>
      </c>
      <c r="Y340">
        <v>0</v>
      </c>
      <c r="Z340">
        <v>0</v>
      </c>
      <c r="AA340">
        <v>0.48</v>
      </c>
      <c r="AB340">
        <v>0</v>
      </c>
      <c r="AC340">
        <v>0</v>
      </c>
      <c r="AD340">
        <v>0</v>
      </c>
      <c r="AE340">
        <v>0</v>
      </c>
      <c r="AF340">
        <v>0.48</v>
      </c>
      <c r="AG340">
        <v>0</v>
      </c>
      <c r="AH340">
        <v>1</v>
      </c>
      <c r="AI340">
        <v>1</v>
      </c>
      <c r="AJ340">
        <v>2023</v>
      </c>
      <c r="AK340">
        <v>2</v>
      </c>
      <c r="AL340">
        <v>1</v>
      </c>
      <c r="AM340">
        <v>1</v>
      </c>
      <c r="AN340">
        <v>0</v>
      </c>
    </row>
    <row r="341" spans="1:40" x14ac:dyDescent="0.25">
      <c r="A341">
        <v>340</v>
      </c>
      <c r="B341" t="s">
        <v>1385</v>
      </c>
      <c r="C341" t="s">
        <v>1386</v>
      </c>
      <c r="D341" t="s">
        <v>1387</v>
      </c>
      <c r="E341" t="s">
        <v>1388</v>
      </c>
      <c r="F341" t="s">
        <v>315</v>
      </c>
      <c r="G341">
        <v>6</v>
      </c>
      <c r="H341">
        <v>1</v>
      </c>
      <c r="I341">
        <v>5088</v>
      </c>
      <c r="J341">
        <v>0</v>
      </c>
      <c r="K341">
        <v>0</v>
      </c>
      <c r="L341">
        <v>2798.2</v>
      </c>
      <c r="M341">
        <v>1629.9</v>
      </c>
      <c r="N341">
        <v>4017.1</v>
      </c>
      <c r="O341">
        <v>627.70000000000005</v>
      </c>
      <c r="P341">
        <v>30630.2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</v>
      </c>
      <c r="W341">
        <v>3.5</v>
      </c>
      <c r="X341">
        <v>4.9999999999999982</v>
      </c>
      <c r="Y341">
        <v>0</v>
      </c>
      <c r="Z341">
        <v>0</v>
      </c>
      <c r="AA341">
        <v>0</v>
      </c>
      <c r="AB341">
        <v>0</v>
      </c>
      <c r="AC341">
        <v>4.9999999999999982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2</v>
      </c>
      <c r="AJ341">
        <v>2023</v>
      </c>
      <c r="AK341">
        <v>2</v>
      </c>
      <c r="AL341">
        <v>1</v>
      </c>
      <c r="AM341">
        <v>0</v>
      </c>
      <c r="AN341">
        <v>1</v>
      </c>
    </row>
    <row r="342" spans="1:40" x14ac:dyDescent="0.25">
      <c r="A342">
        <v>341</v>
      </c>
      <c r="B342" t="s">
        <v>1389</v>
      </c>
      <c r="C342" t="s">
        <v>1390</v>
      </c>
      <c r="D342" t="s">
        <v>1391</v>
      </c>
      <c r="E342" t="s">
        <v>1392</v>
      </c>
      <c r="F342" t="s">
        <v>105</v>
      </c>
      <c r="G342">
        <v>2</v>
      </c>
      <c r="H342">
        <v>1</v>
      </c>
      <c r="I342">
        <v>1117</v>
      </c>
      <c r="J342">
        <v>0</v>
      </c>
      <c r="K342">
        <v>1</v>
      </c>
      <c r="L342">
        <v>3754.5</v>
      </c>
      <c r="M342">
        <v>1012.8</v>
      </c>
      <c r="N342">
        <v>5054.6000000000004</v>
      </c>
      <c r="O342">
        <v>744</v>
      </c>
      <c r="P342">
        <v>4992.7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1.24</v>
      </c>
      <c r="W342">
        <v>3</v>
      </c>
      <c r="X342">
        <v>1.24</v>
      </c>
      <c r="Y342">
        <v>0</v>
      </c>
      <c r="Z342">
        <v>0</v>
      </c>
      <c r="AA342">
        <v>0</v>
      </c>
      <c r="AB342">
        <v>0</v>
      </c>
      <c r="AC342">
        <v>0.44</v>
      </c>
      <c r="AD342">
        <v>0.2</v>
      </c>
      <c r="AE342">
        <v>0</v>
      </c>
      <c r="AF342">
        <v>0.6</v>
      </c>
      <c r="AG342">
        <v>0.5161290322580645</v>
      </c>
      <c r="AH342">
        <v>1</v>
      </c>
      <c r="AI342">
        <v>1</v>
      </c>
      <c r="AJ342">
        <v>2022</v>
      </c>
      <c r="AK342">
        <v>3</v>
      </c>
      <c r="AL342">
        <v>0</v>
      </c>
      <c r="AM342">
        <v>0</v>
      </c>
      <c r="AN342">
        <v>0</v>
      </c>
    </row>
    <row r="343" spans="1:40" x14ac:dyDescent="0.25">
      <c r="A343">
        <v>342</v>
      </c>
      <c r="B343" t="s">
        <v>1393</v>
      </c>
      <c r="C343" t="s">
        <v>1394</v>
      </c>
      <c r="D343" t="s">
        <v>1395</v>
      </c>
      <c r="E343" t="s">
        <v>575</v>
      </c>
      <c r="F343" t="s">
        <v>310</v>
      </c>
      <c r="G343">
        <v>1</v>
      </c>
      <c r="H343">
        <v>1</v>
      </c>
      <c r="I343">
        <v>266</v>
      </c>
      <c r="J343">
        <v>0</v>
      </c>
      <c r="K343">
        <v>0</v>
      </c>
      <c r="L343">
        <v>36897.300000000003</v>
      </c>
      <c r="M343">
        <v>15843.2</v>
      </c>
      <c r="N343">
        <v>39107.699999999997</v>
      </c>
      <c r="O343">
        <v>2656.7</v>
      </c>
      <c r="P343">
        <v>39010.1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3.56</v>
      </c>
      <c r="W343">
        <v>1.5</v>
      </c>
      <c r="X343">
        <v>0</v>
      </c>
      <c r="Y343">
        <v>0</v>
      </c>
      <c r="Z343">
        <v>3.5600000000000018</v>
      </c>
      <c r="AA343">
        <v>0</v>
      </c>
      <c r="AB343">
        <v>0</v>
      </c>
      <c r="AC343">
        <v>0</v>
      </c>
      <c r="AD343">
        <v>0</v>
      </c>
      <c r="AE343">
        <v>1.36</v>
      </c>
      <c r="AF343">
        <v>2.2000000000000011</v>
      </c>
      <c r="AG343">
        <v>0</v>
      </c>
      <c r="AH343">
        <v>0</v>
      </c>
      <c r="AI343">
        <v>0</v>
      </c>
      <c r="AL343">
        <v>0</v>
      </c>
      <c r="AM343">
        <v>0</v>
      </c>
      <c r="AN343">
        <v>0</v>
      </c>
    </row>
    <row r="344" spans="1:40" x14ac:dyDescent="0.25">
      <c r="A344">
        <v>343</v>
      </c>
      <c r="B344" t="s">
        <v>1396</v>
      </c>
      <c r="C344" t="s">
        <v>1397</v>
      </c>
      <c r="D344" t="s">
        <v>1398</v>
      </c>
      <c r="E344" t="s">
        <v>575</v>
      </c>
      <c r="F344" t="s">
        <v>310</v>
      </c>
      <c r="G344">
        <v>1</v>
      </c>
      <c r="H344">
        <v>1</v>
      </c>
      <c r="I344">
        <v>266</v>
      </c>
      <c r="J344">
        <v>0</v>
      </c>
      <c r="K344">
        <v>0</v>
      </c>
      <c r="L344">
        <v>35953.1</v>
      </c>
      <c r="M344">
        <v>14899</v>
      </c>
      <c r="N344">
        <v>38163.5</v>
      </c>
      <c r="O344">
        <v>1712.5</v>
      </c>
      <c r="P344">
        <v>38065.9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1.75</v>
      </c>
      <c r="W344">
        <v>2</v>
      </c>
      <c r="X344">
        <v>0</v>
      </c>
      <c r="Y344">
        <v>0</v>
      </c>
      <c r="Z344">
        <v>1.75</v>
      </c>
      <c r="AA344">
        <v>0</v>
      </c>
      <c r="AB344">
        <v>0</v>
      </c>
      <c r="AC344">
        <v>0</v>
      </c>
      <c r="AD344">
        <v>1.4</v>
      </c>
      <c r="AE344">
        <v>0</v>
      </c>
      <c r="AF344">
        <v>0.35</v>
      </c>
      <c r="AG344">
        <v>0.79999999999999993</v>
      </c>
      <c r="AH344">
        <v>1</v>
      </c>
      <c r="AI344">
        <v>1</v>
      </c>
      <c r="AJ344">
        <v>2023</v>
      </c>
      <c r="AK344">
        <v>2</v>
      </c>
      <c r="AL344">
        <v>0</v>
      </c>
      <c r="AM344">
        <v>0</v>
      </c>
      <c r="AN344">
        <v>0</v>
      </c>
    </row>
    <row r="345" spans="1:40" x14ac:dyDescent="0.25">
      <c r="A345">
        <v>344</v>
      </c>
      <c r="B345" t="s">
        <v>1399</v>
      </c>
      <c r="C345" t="s">
        <v>1400</v>
      </c>
      <c r="D345" t="s">
        <v>1401</v>
      </c>
      <c r="E345" t="s">
        <v>745</v>
      </c>
      <c r="F345" t="s">
        <v>105</v>
      </c>
      <c r="G345">
        <v>2</v>
      </c>
      <c r="H345">
        <v>1</v>
      </c>
      <c r="I345">
        <v>1333</v>
      </c>
      <c r="J345">
        <v>0</v>
      </c>
      <c r="K345">
        <v>0</v>
      </c>
      <c r="L345">
        <v>5253.7</v>
      </c>
      <c r="M345">
        <v>3395</v>
      </c>
      <c r="N345">
        <v>7436.8</v>
      </c>
      <c r="O345">
        <v>247.2</v>
      </c>
      <c r="P345">
        <v>7601.5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3.91</v>
      </c>
      <c r="W345">
        <v>3.5</v>
      </c>
      <c r="X345">
        <v>3.9100000000000019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0.6</v>
      </c>
      <c r="AE345">
        <v>2</v>
      </c>
      <c r="AF345">
        <v>1.31</v>
      </c>
      <c r="AG345">
        <v>0.15345268542199489</v>
      </c>
      <c r="AH345">
        <v>0</v>
      </c>
      <c r="AI345">
        <v>0</v>
      </c>
      <c r="AL345">
        <v>0</v>
      </c>
      <c r="AM345">
        <v>0</v>
      </c>
      <c r="AN345">
        <v>0</v>
      </c>
    </row>
    <row r="346" spans="1:40" x14ac:dyDescent="0.25">
      <c r="A346">
        <v>345</v>
      </c>
      <c r="B346" t="s">
        <v>1402</v>
      </c>
      <c r="C346" t="s">
        <v>1403</v>
      </c>
      <c r="D346" t="s">
        <v>1404</v>
      </c>
      <c r="E346" t="s">
        <v>1405</v>
      </c>
      <c r="F346" t="s">
        <v>132</v>
      </c>
      <c r="G346">
        <v>1</v>
      </c>
      <c r="H346">
        <v>1</v>
      </c>
      <c r="I346">
        <v>371</v>
      </c>
      <c r="J346">
        <v>0</v>
      </c>
      <c r="K346">
        <v>0</v>
      </c>
      <c r="L346">
        <v>22468.799999999999</v>
      </c>
      <c r="M346">
        <v>18426.099999999999</v>
      </c>
      <c r="N346">
        <v>24679.200000000001</v>
      </c>
      <c r="O346">
        <v>755</v>
      </c>
      <c r="P346">
        <v>24581.599999999999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0.56000000000000005</v>
      </c>
      <c r="W346">
        <v>3.5</v>
      </c>
      <c r="X346">
        <v>0.56000000000000005</v>
      </c>
      <c r="Y346">
        <v>0</v>
      </c>
      <c r="Z346">
        <v>0</v>
      </c>
      <c r="AA346">
        <v>0</v>
      </c>
      <c r="AB346">
        <v>0</v>
      </c>
      <c r="AC346">
        <v>0.56000000000000005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L346">
        <v>0</v>
      </c>
      <c r="AM346">
        <v>0</v>
      </c>
      <c r="AN346">
        <v>0</v>
      </c>
    </row>
    <row r="347" spans="1:40" x14ac:dyDescent="0.25">
      <c r="A347">
        <v>346</v>
      </c>
      <c r="B347" t="s">
        <v>1406</v>
      </c>
      <c r="C347" t="s">
        <v>1407</v>
      </c>
      <c r="D347" t="s">
        <v>1408</v>
      </c>
      <c r="E347" t="s">
        <v>194</v>
      </c>
      <c r="F347" t="s">
        <v>100</v>
      </c>
      <c r="G347">
        <v>1</v>
      </c>
      <c r="H347">
        <v>1</v>
      </c>
      <c r="I347">
        <v>1874</v>
      </c>
      <c r="J347">
        <v>0</v>
      </c>
      <c r="K347">
        <v>1</v>
      </c>
      <c r="L347">
        <v>705.7</v>
      </c>
      <c r="M347">
        <v>1202.3</v>
      </c>
      <c r="N347">
        <v>2250.3000000000002</v>
      </c>
      <c r="O347">
        <v>328.4</v>
      </c>
      <c r="P347">
        <v>387.4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0.12</v>
      </c>
      <c r="W347">
        <v>6</v>
      </c>
      <c r="X347">
        <v>0.12</v>
      </c>
      <c r="Y347">
        <v>0</v>
      </c>
      <c r="Z347">
        <v>0</v>
      </c>
      <c r="AA347">
        <v>0</v>
      </c>
      <c r="AB347">
        <v>0</v>
      </c>
      <c r="AC347">
        <v>0.12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L347">
        <v>0</v>
      </c>
      <c r="AM347">
        <v>0</v>
      </c>
      <c r="AN347">
        <v>0</v>
      </c>
    </row>
    <row r="348" spans="1:40" x14ac:dyDescent="0.25">
      <c r="A348">
        <v>347</v>
      </c>
      <c r="B348" t="s">
        <v>1409</v>
      </c>
      <c r="C348" t="s">
        <v>1410</v>
      </c>
      <c r="D348" t="s">
        <v>1411</v>
      </c>
      <c r="E348" t="s">
        <v>1412</v>
      </c>
      <c r="F348" t="s">
        <v>105</v>
      </c>
      <c r="G348">
        <v>2</v>
      </c>
      <c r="H348">
        <v>1</v>
      </c>
      <c r="I348">
        <v>1171</v>
      </c>
      <c r="J348">
        <v>0</v>
      </c>
      <c r="K348">
        <v>1</v>
      </c>
      <c r="L348">
        <v>1485.7</v>
      </c>
      <c r="M348">
        <v>2749</v>
      </c>
      <c r="N348">
        <v>7203.5</v>
      </c>
      <c r="O348">
        <v>1357.6</v>
      </c>
      <c r="P348">
        <v>7368.2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2.93</v>
      </c>
      <c r="W348">
        <v>3</v>
      </c>
      <c r="X348">
        <v>2.930000000000001</v>
      </c>
      <c r="Y348">
        <v>0</v>
      </c>
      <c r="Z348">
        <v>0</v>
      </c>
      <c r="AA348">
        <v>0</v>
      </c>
      <c r="AB348">
        <v>0</v>
      </c>
      <c r="AC348">
        <v>0.99999999999999989</v>
      </c>
      <c r="AD348">
        <v>0</v>
      </c>
      <c r="AE348">
        <v>1.930000000000001</v>
      </c>
      <c r="AF348">
        <v>0</v>
      </c>
      <c r="AG348">
        <v>0.34129692832764502</v>
      </c>
      <c r="AH348">
        <v>0</v>
      </c>
      <c r="AI348">
        <v>0</v>
      </c>
      <c r="AL348">
        <v>1</v>
      </c>
      <c r="AM348">
        <v>0</v>
      </c>
      <c r="AN348">
        <v>1</v>
      </c>
    </row>
    <row r="349" spans="1:40" x14ac:dyDescent="0.25">
      <c r="A349">
        <v>348</v>
      </c>
      <c r="B349" t="s">
        <v>1413</v>
      </c>
      <c r="C349" t="s">
        <v>1414</v>
      </c>
      <c r="D349" t="s">
        <v>1415</v>
      </c>
      <c r="E349" t="s">
        <v>1416</v>
      </c>
      <c r="F349" t="s">
        <v>503</v>
      </c>
      <c r="G349">
        <v>2</v>
      </c>
      <c r="H349">
        <v>2</v>
      </c>
      <c r="I349">
        <v>1110</v>
      </c>
      <c r="J349">
        <v>0</v>
      </c>
      <c r="K349">
        <v>1</v>
      </c>
      <c r="L349">
        <v>1619.3</v>
      </c>
      <c r="M349">
        <v>2456.8000000000002</v>
      </c>
      <c r="N349">
        <v>5860.5</v>
      </c>
      <c r="O349">
        <v>1289.8</v>
      </c>
      <c r="P349">
        <v>7361.8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3.13</v>
      </c>
      <c r="W349">
        <v>3</v>
      </c>
      <c r="X349">
        <v>3.1300000000000008</v>
      </c>
      <c r="Y349">
        <v>0</v>
      </c>
      <c r="Z349">
        <v>0</v>
      </c>
      <c r="AA349">
        <v>0</v>
      </c>
      <c r="AB349">
        <v>0</v>
      </c>
      <c r="AC349">
        <v>2.930000000000001</v>
      </c>
      <c r="AD349">
        <v>0</v>
      </c>
      <c r="AE349">
        <v>0.2</v>
      </c>
      <c r="AF349">
        <v>0</v>
      </c>
      <c r="AG349">
        <v>0.93610223642172519</v>
      </c>
      <c r="AH349">
        <v>1</v>
      </c>
      <c r="AI349">
        <v>3</v>
      </c>
      <c r="AJ349">
        <v>2023</v>
      </c>
      <c r="AK349">
        <v>2</v>
      </c>
      <c r="AL349">
        <v>0</v>
      </c>
      <c r="AM349">
        <v>0</v>
      </c>
      <c r="AN349">
        <v>0</v>
      </c>
    </row>
    <row r="350" spans="1:40" x14ac:dyDescent="0.25">
      <c r="A350">
        <v>349</v>
      </c>
      <c r="B350" t="s">
        <v>1417</v>
      </c>
      <c r="C350" t="s">
        <v>1418</v>
      </c>
      <c r="D350" t="s">
        <v>1419</v>
      </c>
      <c r="E350" t="s">
        <v>1420</v>
      </c>
      <c r="F350" t="s">
        <v>105</v>
      </c>
      <c r="G350">
        <v>6</v>
      </c>
      <c r="H350">
        <v>1</v>
      </c>
      <c r="I350">
        <v>2885</v>
      </c>
      <c r="J350">
        <v>0</v>
      </c>
      <c r="K350">
        <v>1</v>
      </c>
      <c r="L350">
        <v>3325.3</v>
      </c>
      <c r="M350">
        <v>3394.2</v>
      </c>
      <c r="N350">
        <v>7436</v>
      </c>
      <c r="O350">
        <v>146.6</v>
      </c>
      <c r="P350">
        <v>7600.7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6.36</v>
      </c>
      <c r="W350">
        <v>3.5</v>
      </c>
      <c r="X350">
        <v>6.3599999999999932</v>
      </c>
      <c r="Y350">
        <v>0</v>
      </c>
      <c r="Z350">
        <v>0</v>
      </c>
      <c r="AA350">
        <v>0</v>
      </c>
      <c r="AB350">
        <v>0</v>
      </c>
      <c r="AC350">
        <v>0.6</v>
      </c>
      <c r="AD350">
        <v>0</v>
      </c>
      <c r="AE350">
        <v>5.7599999999999953</v>
      </c>
      <c r="AF350">
        <v>0</v>
      </c>
      <c r="AG350">
        <v>9.433962264150951E-2</v>
      </c>
      <c r="AH350">
        <v>1</v>
      </c>
      <c r="AI350">
        <v>1</v>
      </c>
      <c r="AJ350">
        <v>2023</v>
      </c>
      <c r="AK350">
        <v>2</v>
      </c>
      <c r="AL350">
        <v>0</v>
      </c>
      <c r="AM350">
        <v>0</v>
      </c>
      <c r="AN350">
        <v>0</v>
      </c>
    </row>
    <row r="351" spans="1:40" x14ac:dyDescent="0.25">
      <c r="A351">
        <v>350</v>
      </c>
      <c r="B351" t="s">
        <v>1421</v>
      </c>
      <c r="C351" t="s">
        <v>1422</v>
      </c>
      <c r="D351" t="s">
        <v>1423</v>
      </c>
      <c r="E351" t="s">
        <v>1424</v>
      </c>
      <c r="F351" t="s">
        <v>503</v>
      </c>
      <c r="G351">
        <v>3</v>
      </c>
      <c r="H351">
        <v>2</v>
      </c>
      <c r="I351">
        <v>1628</v>
      </c>
      <c r="J351">
        <v>0</v>
      </c>
      <c r="K351">
        <v>1</v>
      </c>
      <c r="L351">
        <v>2782.1</v>
      </c>
      <c r="M351">
        <v>2691.8</v>
      </c>
      <c r="N351">
        <v>3352.4</v>
      </c>
      <c r="O351">
        <v>744.2</v>
      </c>
      <c r="P351">
        <v>4751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3.35</v>
      </c>
      <c r="W351">
        <v>3.5</v>
      </c>
      <c r="X351">
        <v>3.350000000000001</v>
      </c>
      <c r="Y351">
        <v>0</v>
      </c>
      <c r="Z351">
        <v>0</v>
      </c>
      <c r="AA351">
        <v>0</v>
      </c>
      <c r="AB351">
        <v>0</v>
      </c>
      <c r="AC351">
        <v>3.350000000000001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1</v>
      </c>
      <c r="AJ351">
        <v>2024</v>
      </c>
      <c r="AK351">
        <v>1</v>
      </c>
      <c r="AL351">
        <v>0</v>
      </c>
      <c r="AM351">
        <v>0</v>
      </c>
      <c r="AN3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D3C0-03CA-4E12-B905-058C0D5481A3}">
  <dimension ref="A1:BQ351"/>
  <sheetViews>
    <sheetView tabSelected="1" topLeftCell="AG1" workbookViewId="0">
      <selection activeCell="AU1" sqref="AU1"/>
    </sheetView>
  </sheetViews>
  <sheetFormatPr defaultRowHeight="15" x14ac:dyDescent="0.25"/>
  <cols>
    <col min="46" max="46" width="20.5703125" bestFit="1" customWidth="1"/>
    <col min="47" max="47" width="24.7109375" bestFit="1" customWidth="1"/>
    <col min="48" max="59" width="13" customWidth="1"/>
    <col min="60" max="65" width="24.42578125" bestFit="1" customWidth="1"/>
    <col min="66" max="66" width="20.5703125" bestFit="1" customWidth="1"/>
    <col min="67" max="67" width="15.140625" bestFit="1" customWidth="1"/>
    <col min="68" max="68" width="15.140625" customWidth="1"/>
    <col min="69" max="69" width="22.140625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90</v>
      </c>
      <c r="AS1" s="1" t="s">
        <v>92</v>
      </c>
      <c r="AT1" s="1" t="s">
        <v>94</v>
      </c>
      <c r="AU1" s="4" t="s">
        <v>1446</v>
      </c>
      <c r="AV1" s="1" t="s">
        <v>1425</v>
      </c>
      <c r="AW1" s="1" t="s">
        <v>1426</v>
      </c>
      <c r="AX1" s="1" t="s">
        <v>1427</v>
      </c>
      <c r="AY1" s="1" t="s">
        <v>1428</v>
      </c>
      <c r="AZ1" s="1" t="s">
        <v>1429</v>
      </c>
      <c r="BA1" s="1" t="s">
        <v>1430</v>
      </c>
      <c r="BB1" s="1" t="s">
        <v>1431</v>
      </c>
      <c r="BC1" s="1" t="s">
        <v>1432</v>
      </c>
      <c r="BD1" s="1" t="s">
        <v>1433</v>
      </c>
      <c r="BE1" s="1" t="s">
        <v>1434</v>
      </c>
      <c r="BF1" s="1" t="s">
        <v>1435</v>
      </c>
      <c r="BG1" s="1" t="s">
        <v>1436</v>
      </c>
      <c r="BH1" s="1" t="s">
        <v>1437</v>
      </c>
      <c r="BI1" s="1" t="s">
        <v>1438</v>
      </c>
      <c r="BJ1" s="1" t="s">
        <v>1439</v>
      </c>
      <c r="BK1" s="1" t="s">
        <v>1440</v>
      </c>
      <c r="BL1" s="1" t="s">
        <v>1441</v>
      </c>
      <c r="BM1" s="1" t="s">
        <v>1442</v>
      </c>
      <c r="BN1" s="1" t="s">
        <v>95</v>
      </c>
      <c r="BO1" s="2" t="s">
        <v>1443</v>
      </c>
      <c r="BP1" s="3" t="s">
        <v>1444</v>
      </c>
      <c r="BQ1" s="3" t="s">
        <v>1445</v>
      </c>
    </row>
    <row r="2" spans="1:69" x14ac:dyDescent="0.25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>
        <v>1</v>
      </c>
      <c r="H2">
        <v>1</v>
      </c>
      <c r="I2">
        <v>1377</v>
      </c>
      <c r="J2">
        <v>0</v>
      </c>
      <c r="K2">
        <v>0</v>
      </c>
      <c r="L2">
        <v>714.1</v>
      </c>
      <c r="M2">
        <v>954.7</v>
      </c>
      <c r="N2">
        <v>1467.1</v>
      </c>
      <c r="O2">
        <v>166.2</v>
      </c>
      <c r="P2">
        <v>395.8</v>
      </c>
      <c r="Q2">
        <v>0</v>
      </c>
      <c r="R2">
        <v>0</v>
      </c>
      <c r="S2">
        <v>0</v>
      </c>
      <c r="T2">
        <v>0</v>
      </c>
      <c r="U2">
        <v>0</v>
      </c>
      <c r="V2">
        <v>0.24</v>
      </c>
      <c r="W2">
        <v>0</v>
      </c>
      <c r="X2">
        <v>0</v>
      </c>
      <c r="Y2">
        <v>0.239999994635582</v>
      </c>
      <c r="Z2">
        <v>0</v>
      </c>
      <c r="AA2">
        <v>0.239999994635582</v>
      </c>
      <c r="AB2">
        <v>0</v>
      </c>
      <c r="AC2">
        <v>0</v>
      </c>
      <c r="AD2">
        <v>0</v>
      </c>
      <c r="AE2">
        <v>0.239999994635582</v>
      </c>
      <c r="AF2">
        <v>0</v>
      </c>
      <c r="AG2">
        <v>1</v>
      </c>
      <c r="AH2">
        <v>0</v>
      </c>
      <c r="AI2">
        <v>150</v>
      </c>
      <c r="AJ2">
        <v>0.239999994635582</v>
      </c>
      <c r="AK2">
        <v>0</v>
      </c>
      <c r="AL2">
        <v>0</v>
      </c>
      <c r="AM2">
        <v>0</v>
      </c>
      <c r="AN2">
        <v>1</v>
      </c>
      <c r="AO2">
        <v>1</v>
      </c>
      <c r="AP2">
        <v>2024</v>
      </c>
      <c r="AQ2">
        <v>2</v>
      </c>
      <c r="AR2">
        <v>0</v>
      </c>
      <c r="AS2">
        <v>0</v>
      </c>
      <c r="AT2">
        <v>0</v>
      </c>
      <c r="AU2">
        <v>0</v>
      </c>
      <c r="AV2">
        <f t="shared" ref="AV2:AV65" si="0">IFERROR($BE2-$BD2,0)</f>
        <v>0</v>
      </c>
      <c r="AW2">
        <f t="shared" ref="AW2:AW65" si="1">IFERROR($BF2-$BE2,0)</f>
        <v>0</v>
      </c>
      <c r="AX2">
        <f t="shared" ref="AX2:AX65" si="2">IFERROR($BF2*$I2,0)</f>
        <v>0</v>
      </c>
      <c r="AY2">
        <f t="shared" ref="AY2:AY65" si="3">SUM($Q2:$U2)</f>
        <v>0</v>
      </c>
      <c r="AZ2">
        <f t="shared" ref="AZ2:AZ65" si="4">IFERROR($V2*$BF2,0)</f>
        <v>0</v>
      </c>
      <c r="BA2">
        <f t="shared" ref="BA2:BA65" si="5">IFERROR(IF($BG2=0,"",2025-$BG2),"")</f>
        <v>1</v>
      </c>
      <c r="BB2">
        <f t="shared" ref="BB2:BB65" si="6">$AG2</f>
        <v>1</v>
      </c>
      <c r="BC2">
        <f>MATCH($B2,clean_historis!$B:$B,0)</f>
        <v>2</v>
      </c>
      <c r="BD2">
        <f>IFERROR(INDEX(clean_historis!$AF:$AF,$BC2)/INDEX(clean_historis!$V:$V,$BC2),0)</f>
        <v>0</v>
      </c>
      <c r="BE2">
        <f>IFERROR(INDEX(clean_historis!$AR:$AR,$BC2)/INDEX(clean_historis!$AH:$AH,$BC2),0)</f>
        <v>0</v>
      </c>
      <c r="BF2">
        <f t="shared" ref="BF2:BF65" si="7">IFERROR($AD2/$V2,0)</f>
        <v>0</v>
      </c>
      <c r="BG2">
        <f>MAX(IF(INDEX(clean_historis!$CL:$CL,$BC2)=1,2025,0),IF(INDEX(clean_historis!$CK:$CK,$BC2)=1,2024,0),IF(INDEX(clean_historis!$CJ:$CJ,$BC2)=1,2023,0),IF(INDEX(clean_historis!$CI:$CI,$BC2)=1,2022,0),IF(INDEX(clean_historis!$CH:$CH,$BC2)=1,2021,0))</f>
        <v>2024</v>
      </c>
      <c r="BH2">
        <f t="shared" ref="BH2:BH65" si="8">IF($AG2&lt;&gt;"",1-$AG2,IF($BB2&lt;&gt;"",1-$BB2,IFERROR($AF2/$V2,0)))</f>
        <v>0</v>
      </c>
      <c r="BI2">
        <f t="shared" ref="BI2:BI65" si="9">IFERROR($BH2*$I2,0)</f>
        <v>0</v>
      </c>
      <c r="BJ2">
        <f t="shared" ref="BJ2:BJ65" si="10">IF(OR(AND($P2&lt;&gt;"",$P2&lt;=5000),AND($L2&lt;&gt;"",$L2&lt;=2000)),1,0)</f>
        <v>1</v>
      </c>
      <c r="BK2">
        <f t="shared" ref="BK2:BK65" si="11">IFERROR(($P2+$L2+$N2+$M2)/1000,0)</f>
        <v>3.5316999999999998</v>
      </c>
      <c r="BL2">
        <f t="shared" ref="BL2:BL65" si="12">IF(OR(ISNUMBER(SEARCH("stadion",$C2)),ISNUMBER(SEARCH("pasar",$C2)),ISNUMBER(SEARCH("pustu",$C2)),ISNUMBER(SEARCH("puskesmas",$C2)),ISNUMBER(SEARCH("sekolah",$C2)),ISNUMBER(SEARCH("kantor",$C2)),ISNUMBER(SEARCH("terminal",$C2))),1,0)</f>
        <v>0</v>
      </c>
      <c r="BM2">
        <f t="shared" ref="BM2:BM65" si="13">IF(IF($BF2&lt;&gt;"",$BF2,IFERROR($AD2/$V2,0))&gt;=0.3,1,0)</f>
        <v>0</v>
      </c>
      <c r="BN2">
        <v>0</v>
      </c>
      <c r="BO2">
        <f>IF($V2&lt;1,1,0)</f>
        <v>1</v>
      </c>
      <c r="BP2">
        <f t="shared" ref="BP2:BP65" si="14">IF(AO2&gt;=1,1,0)</f>
        <v>1</v>
      </c>
      <c r="BQ2">
        <f t="shared" ref="BQ2:BQ65" si="15">IF(OR(BO2=1,BL2=1,BH2&gt;0.5),1,0)</f>
        <v>1</v>
      </c>
    </row>
    <row r="3" spans="1:69" x14ac:dyDescent="0.25">
      <c r="A3">
        <v>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>
        <v>2</v>
      </c>
      <c r="H3">
        <v>1</v>
      </c>
      <c r="I3">
        <v>1294</v>
      </c>
      <c r="J3">
        <v>0</v>
      </c>
      <c r="K3">
        <v>1</v>
      </c>
      <c r="L3">
        <v>961.1</v>
      </c>
      <c r="M3">
        <v>2012.5</v>
      </c>
      <c r="N3">
        <v>5681</v>
      </c>
      <c r="O3">
        <v>667.2</v>
      </c>
      <c r="P3">
        <v>6453.8</v>
      </c>
      <c r="Q3">
        <v>0</v>
      </c>
      <c r="R3">
        <v>0</v>
      </c>
      <c r="S3">
        <v>0</v>
      </c>
      <c r="T3">
        <v>0</v>
      </c>
      <c r="U3">
        <v>0</v>
      </c>
      <c r="V3">
        <v>1.06</v>
      </c>
      <c r="W3">
        <v>0</v>
      </c>
      <c r="X3">
        <v>0</v>
      </c>
      <c r="Y3">
        <v>1.059999942779541</v>
      </c>
      <c r="Z3">
        <v>0</v>
      </c>
      <c r="AA3">
        <v>0.25999999046325678</v>
      </c>
      <c r="AB3">
        <v>0.80000001192092896</v>
      </c>
      <c r="AC3">
        <v>0</v>
      </c>
      <c r="AD3">
        <v>0</v>
      </c>
      <c r="AE3">
        <v>1.060000002384186</v>
      </c>
      <c r="AF3">
        <v>0</v>
      </c>
      <c r="AG3">
        <v>1</v>
      </c>
      <c r="AH3">
        <v>0</v>
      </c>
      <c r="AI3">
        <v>150</v>
      </c>
      <c r="AJ3">
        <v>0.25999999046325678</v>
      </c>
      <c r="AK3">
        <v>0.80000001192092896</v>
      </c>
      <c r="AL3">
        <v>0</v>
      </c>
      <c r="AM3">
        <v>0</v>
      </c>
      <c r="AN3">
        <v>0</v>
      </c>
      <c r="AO3">
        <v>0</v>
      </c>
      <c r="AR3">
        <v>0</v>
      </c>
      <c r="AS3">
        <v>0</v>
      </c>
      <c r="AT3">
        <v>0</v>
      </c>
      <c r="AU3">
        <v>0</v>
      </c>
      <c r="AV3">
        <f t="shared" si="0"/>
        <v>0</v>
      </c>
      <c r="AW3">
        <f t="shared" si="1"/>
        <v>0</v>
      </c>
      <c r="AX3">
        <f t="shared" si="2"/>
        <v>0</v>
      </c>
      <c r="AY3">
        <f t="shared" si="3"/>
        <v>0</v>
      </c>
      <c r="AZ3">
        <f t="shared" si="4"/>
        <v>0</v>
      </c>
      <c r="BA3" t="str">
        <f t="shared" si="5"/>
        <v/>
      </c>
      <c r="BB3">
        <f t="shared" si="6"/>
        <v>1</v>
      </c>
      <c r="BC3">
        <f>MATCH($B3,clean_historis!$B:$B,0)</f>
        <v>3</v>
      </c>
      <c r="BD3">
        <f>IFERROR(INDEX(clean_historis!$AF:$AF,$BC3)/INDEX(clean_historis!$V:$V,$BC3),0)</f>
        <v>0</v>
      </c>
      <c r="BE3">
        <f>IFERROR(INDEX(clean_historis!$AR:$AR,$BC3)/INDEX(clean_historis!$AH:$AH,$BC3),0)</f>
        <v>0</v>
      </c>
      <c r="BF3">
        <f t="shared" si="7"/>
        <v>0</v>
      </c>
      <c r="BG3">
        <f>MAX(IF(INDEX(clean_historis!$CL:$CL,$BC3)=1,2025,0),IF(INDEX(clean_historis!$CK:$CK,$BC3)=1,2024,0),IF(INDEX(clean_historis!$CJ:$CJ,$BC3)=1,2023,0),IF(INDEX(clean_historis!$CI:$CI,$BC3)=1,2022,0),IF(INDEX(clean_historis!$CH:$CH,$BC3)=1,2021,0))</f>
        <v>0</v>
      </c>
      <c r="BH3">
        <f t="shared" si="8"/>
        <v>0</v>
      </c>
      <c r="BI3">
        <f t="shared" si="9"/>
        <v>0</v>
      </c>
      <c r="BJ3">
        <f t="shared" si="10"/>
        <v>1</v>
      </c>
      <c r="BK3">
        <f t="shared" si="11"/>
        <v>15.108400000000001</v>
      </c>
      <c r="BL3">
        <f t="shared" si="12"/>
        <v>0</v>
      </c>
      <c r="BM3">
        <f t="shared" si="13"/>
        <v>0</v>
      </c>
      <c r="BN3">
        <v>0</v>
      </c>
      <c r="BO3">
        <f t="shared" ref="BO3:BO66" si="16">IF($V3&lt;1,1,0)</f>
        <v>0</v>
      </c>
      <c r="BP3">
        <f t="shared" si="14"/>
        <v>0</v>
      </c>
      <c r="BQ3">
        <f t="shared" si="15"/>
        <v>0</v>
      </c>
    </row>
    <row r="4" spans="1:69" x14ac:dyDescent="0.25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100</v>
      </c>
      <c r="G4">
        <v>2</v>
      </c>
      <c r="H4">
        <v>1</v>
      </c>
      <c r="I4">
        <v>2315</v>
      </c>
      <c r="J4">
        <v>0</v>
      </c>
      <c r="K4">
        <v>0</v>
      </c>
      <c r="L4">
        <v>1257.5</v>
      </c>
      <c r="M4">
        <v>1407.6</v>
      </c>
      <c r="N4">
        <v>1286.8</v>
      </c>
      <c r="O4">
        <v>425.9</v>
      </c>
      <c r="P4">
        <v>1575.8</v>
      </c>
      <c r="Q4">
        <v>0</v>
      </c>
      <c r="R4">
        <v>0</v>
      </c>
      <c r="S4">
        <v>0</v>
      </c>
      <c r="T4">
        <v>0</v>
      </c>
      <c r="U4">
        <v>0</v>
      </c>
      <c r="V4">
        <v>0.38</v>
      </c>
      <c r="W4">
        <v>0</v>
      </c>
      <c r="X4">
        <v>0</v>
      </c>
      <c r="Y4">
        <v>0.37999999523162842</v>
      </c>
      <c r="Z4">
        <v>0</v>
      </c>
      <c r="AA4">
        <v>0.37999999523162842</v>
      </c>
      <c r="AB4">
        <v>0</v>
      </c>
      <c r="AC4">
        <v>0</v>
      </c>
      <c r="AD4">
        <v>0</v>
      </c>
      <c r="AE4">
        <v>0.37999999523162842</v>
      </c>
      <c r="AF4">
        <v>0</v>
      </c>
      <c r="AG4">
        <v>1</v>
      </c>
      <c r="AH4">
        <v>0</v>
      </c>
      <c r="AI4">
        <v>150</v>
      </c>
      <c r="AJ4">
        <v>0.37999999523162842</v>
      </c>
      <c r="AK4">
        <v>0</v>
      </c>
      <c r="AL4">
        <v>0</v>
      </c>
      <c r="AM4">
        <v>0</v>
      </c>
      <c r="AN4">
        <v>1</v>
      </c>
      <c r="AO4">
        <v>1</v>
      </c>
      <c r="AP4">
        <v>2024</v>
      </c>
      <c r="AQ4">
        <v>2</v>
      </c>
      <c r="AR4">
        <v>0</v>
      </c>
      <c r="AS4">
        <v>0</v>
      </c>
      <c r="AT4">
        <v>0</v>
      </c>
      <c r="AU4">
        <v>0</v>
      </c>
      <c r="AV4">
        <f t="shared" si="0"/>
        <v>-1</v>
      </c>
      <c r="AW4">
        <f t="shared" si="1"/>
        <v>0</v>
      </c>
      <c r="AX4">
        <f t="shared" si="2"/>
        <v>0</v>
      </c>
      <c r="AY4">
        <f t="shared" si="3"/>
        <v>0</v>
      </c>
      <c r="AZ4">
        <f t="shared" si="4"/>
        <v>0</v>
      </c>
      <c r="BA4">
        <f t="shared" si="5"/>
        <v>1</v>
      </c>
      <c r="BB4">
        <f t="shared" si="6"/>
        <v>1</v>
      </c>
      <c r="BC4">
        <f>MATCH($B4,clean_historis!$B:$B,0)</f>
        <v>4</v>
      </c>
      <c r="BD4">
        <f>IFERROR(INDEX(clean_historis!$AF:$AF,$BC4)/INDEX(clean_historis!$V:$V,$BC4),0)</f>
        <v>1</v>
      </c>
      <c r="BE4">
        <f>IFERROR(INDEX(clean_historis!$AR:$AR,$BC4)/INDEX(clean_historis!$AH:$AH,$BC4),0)</f>
        <v>0</v>
      </c>
      <c r="BF4">
        <f t="shared" si="7"/>
        <v>0</v>
      </c>
      <c r="BG4">
        <f>MAX(IF(INDEX(clean_historis!$CL:$CL,$BC4)=1,2025,0),IF(INDEX(clean_historis!$CK:$CK,$BC4)=1,2024,0),IF(INDEX(clean_historis!$CJ:$CJ,$BC4)=1,2023,0),IF(INDEX(clean_historis!$CI:$CI,$BC4)=1,2022,0),IF(INDEX(clean_historis!$CH:$CH,$BC4)=1,2021,0))</f>
        <v>2024</v>
      </c>
      <c r="BH4">
        <f t="shared" si="8"/>
        <v>0</v>
      </c>
      <c r="BI4">
        <f t="shared" si="9"/>
        <v>0</v>
      </c>
      <c r="BJ4">
        <f t="shared" si="10"/>
        <v>1</v>
      </c>
      <c r="BK4">
        <f t="shared" si="11"/>
        <v>5.5277000000000012</v>
      </c>
      <c r="BL4">
        <f t="shared" si="12"/>
        <v>0</v>
      </c>
      <c r="BM4">
        <f t="shared" si="13"/>
        <v>0</v>
      </c>
      <c r="BN4">
        <v>0</v>
      </c>
      <c r="BO4">
        <f t="shared" si="16"/>
        <v>1</v>
      </c>
      <c r="BP4">
        <f t="shared" si="14"/>
        <v>1</v>
      </c>
      <c r="BQ4">
        <f t="shared" si="15"/>
        <v>1</v>
      </c>
    </row>
    <row r="5" spans="1:69" x14ac:dyDescent="0.2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100</v>
      </c>
      <c r="G5">
        <v>3</v>
      </c>
      <c r="H5">
        <v>1</v>
      </c>
      <c r="I5">
        <v>6205</v>
      </c>
      <c r="J5">
        <v>0</v>
      </c>
      <c r="K5">
        <v>1</v>
      </c>
      <c r="L5">
        <v>1109.5</v>
      </c>
      <c r="M5">
        <v>461.8</v>
      </c>
      <c r="N5">
        <v>2807.8</v>
      </c>
      <c r="O5">
        <v>138.80000000000001</v>
      </c>
      <c r="P5">
        <v>944.9</v>
      </c>
      <c r="Q5">
        <v>0</v>
      </c>
      <c r="R5">
        <v>0</v>
      </c>
      <c r="S5">
        <v>0</v>
      </c>
      <c r="T5">
        <v>0</v>
      </c>
      <c r="U5">
        <v>0</v>
      </c>
      <c r="V5">
        <v>1.34</v>
      </c>
      <c r="W5">
        <v>0</v>
      </c>
      <c r="X5">
        <v>0</v>
      </c>
      <c r="Y5">
        <v>1.3400000333786011</v>
      </c>
      <c r="Z5">
        <v>0</v>
      </c>
      <c r="AA5">
        <v>0.5</v>
      </c>
      <c r="AB5">
        <v>0.8399999737739563</v>
      </c>
      <c r="AC5">
        <v>0</v>
      </c>
      <c r="AD5">
        <v>0</v>
      </c>
      <c r="AE5">
        <v>1.3399999737739561</v>
      </c>
      <c r="AF5">
        <v>0</v>
      </c>
      <c r="AG5">
        <v>1</v>
      </c>
      <c r="AH5">
        <v>0</v>
      </c>
      <c r="AI5">
        <v>100</v>
      </c>
      <c r="AJ5">
        <v>0.5</v>
      </c>
      <c r="AK5">
        <v>0.8399999737739563</v>
      </c>
      <c r="AL5">
        <v>0</v>
      </c>
      <c r="AM5">
        <v>0</v>
      </c>
      <c r="AN5">
        <v>0</v>
      </c>
      <c r="AO5">
        <v>0</v>
      </c>
      <c r="AR5">
        <v>0</v>
      </c>
      <c r="AS5">
        <v>0</v>
      </c>
      <c r="AT5">
        <v>0</v>
      </c>
      <c r="AU5">
        <v>0</v>
      </c>
      <c r="AV5">
        <f t="shared" si="0"/>
        <v>0</v>
      </c>
      <c r="AW5">
        <f t="shared" si="1"/>
        <v>0</v>
      </c>
      <c r="AX5">
        <f t="shared" si="2"/>
        <v>0</v>
      </c>
      <c r="AY5">
        <f t="shared" si="3"/>
        <v>0</v>
      </c>
      <c r="AZ5">
        <f t="shared" si="4"/>
        <v>0</v>
      </c>
      <c r="BA5" t="str">
        <f t="shared" si="5"/>
        <v/>
      </c>
      <c r="BB5">
        <f t="shared" si="6"/>
        <v>1</v>
      </c>
      <c r="BC5">
        <f>MATCH($B5,clean_historis!$B:$B,0)</f>
        <v>5</v>
      </c>
      <c r="BD5">
        <f>IFERROR(INDEX(clean_historis!$AF:$AF,$BC5)/INDEX(clean_historis!$V:$V,$BC5),0)</f>
        <v>0</v>
      </c>
      <c r="BE5">
        <f>IFERROR(INDEX(clean_historis!$AR:$AR,$BC5)/INDEX(clean_historis!$AH:$AH,$BC5),0)</f>
        <v>0</v>
      </c>
      <c r="BF5">
        <f t="shared" si="7"/>
        <v>0</v>
      </c>
      <c r="BG5">
        <f>MAX(IF(INDEX(clean_historis!$CL:$CL,$BC5)=1,2025,0),IF(INDEX(clean_historis!$CK:$CK,$BC5)=1,2024,0),IF(INDEX(clean_historis!$CJ:$CJ,$BC5)=1,2023,0),IF(INDEX(clean_historis!$CI:$CI,$BC5)=1,2022,0),IF(INDEX(clean_historis!$CH:$CH,$BC5)=1,2021,0))</f>
        <v>0</v>
      </c>
      <c r="BH5">
        <f t="shared" si="8"/>
        <v>0</v>
      </c>
      <c r="BI5">
        <f t="shared" si="9"/>
        <v>0</v>
      </c>
      <c r="BJ5">
        <f t="shared" si="10"/>
        <v>1</v>
      </c>
      <c r="BK5">
        <f t="shared" si="11"/>
        <v>5.3240000000000007</v>
      </c>
      <c r="BL5">
        <f t="shared" si="12"/>
        <v>0</v>
      </c>
      <c r="BM5">
        <f t="shared" si="13"/>
        <v>0</v>
      </c>
      <c r="BN5">
        <v>1</v>
      </c>
      <c r="BO5">
        <f t="shared" si="16"/>
        <v>0</v>
      </c>
      <c r="BP5">
        <f t="shared" si="14"/>
        <v>0</v>
      </c>
      <c r="BQ5">
        <f t="shared" si="15"/>
        <v>0</v>
      </c>
    </row>
    <row r="6" spans="1:69" x14ac:dyDescent="0.25">
      <c r="A6">
        <v>5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  <c r="G6">
        <v>2</v>
      </c>
      <c r="H6">
        <v>2</v>
      </c>
      <c r="I6">
        <v>1122</v>
      </c>
      <c r="J6">
        <v>0</v>
      </c>
      <c r="K6">
        <v>1</v>
      </c>
      <c r="L6">
        <v>3281</v>
      </c>
      <c r="M6">
        <v>1687.3</v>
      </c>
      <c r="N6">
        <v>2540.1999999999998</v>
      </c>
      <c r="O6">
        <v>459.8</v>
      </c>
      <c r="P6">
        <v>3136</v>
      </c>
      <c r="Q6">
        <v>0</v>
      </c>
      <c r="R6">
        <v>0</v>
      </c>
      <c r="S6">
        <v>0</v>
      </c>
      <c r="T6">
        <v>0</v>
      </c>
      <c r="U6">
        <v>0</v>
      </c>
      <c r="V6">
        <v>3.17</v>
      </c>
      <c r="W6">
        <v>0</v>
      </c>
      <c r="X6">
        <v>0</v>
      </c>
      <c r="Y6">
        <v>3.1700000762939449</v>
      </c>
      <c r="Z6">
        <v>0</v>
      </c>
      <c r="AA6">
        <v>0</v>
      </c>
      <c r="AB6">
        <v>2.470000028610229</v>
      </c>
      <c r="AC6">
        <v>0.69999998807907104</v>
      </c>
      <c r="AD6">
        <v>0</v>
      </c>
      <c r="AE6">
        <v>2.470000028610229</v>
      </c>
      <c r="AF6">
        <v>0.69999998807907104</v>
      </c>
      <c r="AG6">
        <v>0.77917981564866357</v>
      </c>
      <c r="AH6">
        <v>0.22082018435133649</v>
      </c>
      <c r="AI6">
        <v>150</v>
      </c>
      <c r="AJ6">
        <v>0</v>
      </c>
      <c r="AK6">
        <v>2.470000028610229</v>
      </c>
      <c r="AL6">
        <v>0.69999998807907104</v>
      </c>
      <c r="AM6">
        <v>0</v>
      </c>
      <c r="AN6">
        <v>1</v>
      </c>
      <c r="AO6">
        <v>1</v>
      </c>
      <c r="AP6">
        <v>2023</v>
      </c>
      <c r="AQ6">
        <v>3</v>
      </c>
      <c r="AR6">
        <v>0</v>
      </c>
      <c r="AS6">
        <v>0</v>
      </c>
      <c r="AT6">
        <v>0</v>
      </c>
      <c r="AU6">
        <v>0</v>
      </c>
      <c r="AV6">
        <f t="shared" si="0"/>
        <v>0</v>
      </c>
      <c r="AW6">
        <f t="shared" si="1"/>
        <v>0</v>
      </c>
      <c r="AX6">
        <f t="shared" si="2"/>
        <v>0</v>
      </c>
      <c r="AY6">
        <f t="shared" si="3"/>
        <v>0</v>
      </c>
      <c r="AZ6">
        <f t="shared" si="4"/>
        <v>0</v>
      </c>
      <c r="BA6" t="str">
        <f t="shared" si="5"/>
        <v/>
      </c>
      <c r="BB6">
        <f t="shared" si="6"/>
        <v>0.77917981564866357</v>
      </c>
      <c r="BC6">
        <f>MATCH($B6,clean_historis!$B:$B,0)</f>
        <v>6</v>
      </c>
      <c r="BD6">
        <f>IFERROR(INDEX(clean_historis!$AF:$AF,$BC6)/INDEX(clean_historis!$V:$V,$BC6),0)</f>
        <v>0</v>
      </c>
      <c r="BE6">
        <f>IFERROR(INDEX(clean_historis!$AR:$AR,$BC6)/INDEX(clean_historis!$AH:$AH,$BC6),0)</f>
        <v>0</v>
      </c>
      <c r="BF6">
        <f t="shared" si="7"/>
        <v>0</v>
      </c>
      <c r="BG6">
        <f>MAX(IF(INDEX(clean_historis!$CL:$CL,$BC6)=1,2025,0),IF(INDEX(clean_historis!$CK:$CK,$BC6)=1,2024,0),IF(INDEX(clean_historis!$CJ:$CJ,$BC6)=1,2023,0),IF(INDEX(clean_historis!$CI:$CI,$BC6)=1,2022,0),IF(INDEX(clean_historis!$CH:$CH,$BC6)=1,2021,0))</f>
        <v>0</v>
      </c>
      <c r="BH6">
        <f t="shared" si="8"/>
        <v>0.22082018435133643</v>
      </c>
      <c r="BI6">
        <f t="shared" si="9"/>
        <v>247.76024684219948</v>
      </c>
      <c r="BJ6">
        <f t="shared" si="10"/>
        <v>1</v>
      </c>
      <c r="BK6">
        <f t="shared" si="11"/>
        <v>10.644500000000001</v>
      </c>
      <c r="BL6">
        <f t="shared" si="12"/>
        <v>0</v>
      </c>
      <c r="BM6">
        <f t="shared" si="13"/>
        <v>0</v>
      </c>
      <c r="BN6">
        <v>0</v>
      </c>
      <c r="BO6">
        <f t="shared" si="16"/>
        <v>0</v>
      </c>
      <c r="BP6">
        <f t="shared" si="14"/>
        <v>1</v>
      </c>
      <c r="BQ6">
        <f t="shared" si="15"/>
        <v>0</v>
      </c>
    </row>
    <row r="7" spans="1:69" x14ac:dyDescent="0.25">
      <c r="A7">
        <v>6</v>
      </c>
      <c r="B7" t="s">
        <v>119</v>
      </c>
      <c r="C7" t="s">
        <v>120</v>
      </c>
      <c r="D7" t="s">
        <v>121</v>
      </c>
      <c r="E7" t="s">
        <v>122</v>
      </c>
      <c r="F7" t="s">
        <v>100</v>
      </c>
      <c r="G7">
        <v>4</v>
      </c>
      <c r="H7">
        <v>1</v>
      </c>
      <c r="I7">
        <v>2479</v>
      </c>
      <c r="J7">
        <v>0</v>
      </c>
      <c r="K7">
        <v>0</v>
      </c>
      <c r="L7">
        <v>4114.1000000000004</v>
      </c>
      <c r="M7">
        <v>3726.6</v>
      </c>
      <c r="N7">
        <v>5380</v>
      </c>
      <c r="O7">
        <v>191.1</v>
      </c>
      <c r="P7">
        <v>3795.8</v>
      </c>
      <c r="Q7">
        <v>0</v>
      </c>
      <c r="R7">
        <v>0</v>
      </c>
      <c r="S7">
        <v>0</v>
      </c>
      <c r="T7">
        <v>0</v>
      </c>
      <c r="U7">
        <v>0</v>
      </c>
      <c r="V7">
        <v>5.41</v>
      </c>
      <c r="W7">
        <v>0</v>
      </c>
      <c r="X7">
        <v>0</v>
      </c>
      <c r="Y7">
        <v>5.4099998474121094</v>
      </c>
      <c r="Z7">
        <v>0</v>
      </c>
      <c r="AA7">
        <v>4.5</v>
      </c>
      <c r="AB7">
        <v>0.40999999642372131</v>
      </c>
      <c r="AC7">
        <v>0.5</v>
      </c>
      <c r="AD7">
        <v>0</v>
      </c>
      <c r="AE7">
        <v>4.9099999964237213</v>
      </c>
      <c r="AF7">
        <v>0.5</v>
      </c>
      <c r="AG7">
        <v>0.90757855816441313</v>
      </c>
      <c r="AH7">
        <v>9.2421441835586843E-2</v>
      </c>
      <c r="AI7">
        <v>150</v>
      </c>
      <c r="AJ7">
        <v>4.5</v>
      </c>
      <c r="AK7">
        <v>0.40999999642372131</v>
      </c>
      <c r="AL7">
        <v>0.5</v>
      </c>
      <c r="AM7">
        <v>0</v>
      </c>
      <c r="AN7">
        <v>1</v>
      </c>
      <c r="AO7">
        <v>3</v>
      </c>
      <c r="AP7">
        <v>2025</v>
      </c>
      <c r="AQ7">
        <v>1</v>
      </c>
      <c r="AR7">
        <v>0</v>
      </c>
      <c r="AS7">
        <v>0</v>
      </c>
      <c r="AT7">
        <v>0</v>
      </c>
      <c r="AU7">
        <v>0</v>
      </c>
      <c r="AV7">
        <f t="shared" si="0"/>
        <v>0</v>
      </c>
      <c r="AW7">
        <f t="shared" si="1"/>
        <v>0</v>
      </c>
      <c r="AX7">
        <f t="shared" si="2"/>
        <v>0</v>
      </c>
      <c r="AY7">
        <f t="shared" si="3"/>
        <v>0</v>
      </c>
      <c r="AZ7">
        <f t="shared" si="4"/>
        <v>0</v>
      </c>
      <c r="BA7" t="str">
        <f t="shared" si="5"/>
        <v/>
      </c>
      <c r="BB7">
        <f t="shared" si="6"/>
        <v>0.90757855816441313</v>
      </c>
      <c r="BC7">
        <f>MATCH($B7,clean_historis!$B:$B,0)</f>
        <v>7</v>
      </c>
      <c r="BD7">
        <f>IFERROR(INDEX(clean_historis!$AF:$AF,$BC7)/INDEX(clean_historis!$V:$V,$BC7),0)</f>
        <v>0</v>
      </c>
      <c r="BE7">
        <f>IFERROR(INDEX(clean_historis!$AR:$AR,$BC7)/INDEX(clean_historis!$AH:$AH,$BC7),0)</f>
        <v>0</v>
      </c>
      <c r="BF7">
        <f t="shared" si="7"/>
        <v>0</v>
      </c>
      <c r="BG7">
        <f>MAX(IF(INDEX(clean_historis!$CL:$CL,$BC7)=1,2025,0),IF(INDEX(clean_historis!$CK:$CK,$BC7)=1,2024,0),IF(INDEX(clean_historis!$CJ:$CJ,$BC7)=1,2023,0),IF(INDEX(clean_historis!$CI:$CI,$BC7)=1,2022,0),IF(INDEX(clean_historis!$CH:$CH,$BC7)=1,2021,0))</f>
        <v>0</v>
      </c>
      <c r="BH7">
        <f t="shared" si="8"/>
        <v>9.2421441835586871E-2</v>
      </c>
      <c r="BI7">
        <f t="shared" si="9"/>
        <v>229.11275431041986</v>
      </c>
      <c r="BJ7">
        <f t="shared" si="10"/>
        <v>1</v>
      </c>
      <c r="BK7">
        <f t="shared" si="11"/>
        <v>17.016500000000001</v>
      </c>
      <c r="BL7">
        <f t="shared" si="12"/>
        <v>0</v>
      </c>
      <c r="BM7">
        <f t="shared" si="13"/>
        <v>0</v>
      </c>
      <c r="BN7">
        <v>0</v>
      </c>
      <c r="BO7">
        <f t="shared" si="16"/>
        <v>0</v>
      </c>
      <c r="BP7">
        <f t="shared" si="14"/>
        <v>1</v>
      </c>
      <c r="BQ7">
        <f t="shared" si="15"/>
        <v>0</v>
      </c>
    </row>
    <row r="8" spans="1:69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>
        <v>2</v>
      </c>
      <c r="H8">
        <v>1</v>
      </c>
      <c r="I8">
        <v>1088</v>
      </c>
      <c r="J8">
        <v>0</v>
      </c>
      <c r="K8">
        <v>0</v>
      </c>
      <c r="L8">
        <v>2381.1999999999998</v>
      </c>
      <c r="M8">
        <v>3220.9</v>
      </c>
      <c r="N8">
        <v>7125.8</v>
      </c>
      <c r="O8">
        <v>1028.5</v>
      </c>
      <c r="P8">
        <v>5524.6</v>
      </c>
      <c r="Q8">
        <v>0</v>
      </c>
      <c r="R8">
        <v>0</v>
      </c>
      <c r="S8">
        <v>0</v>
      </c>
      <c r="T8">
        <v>0</v>
      </c>
      <c r="U8">
        <v>0</v>
      </c>
      <c r="V8">
        <v>1.74</v>
      </c>
      <c r="W8">
        <v>0</v>
      </c>
      <c r="X8">
        <v>0</v>
      </c>
      <c r="Y8">
        <v>1.7400000095367429</v>
      </c>
      <c r="Z8">
        <v>0</v>
      </c>
      <c r="AA8">
        <v>1.3400000333786011</v>
      </c>
      <c r="AB8">
        <v>0.40000000596046448</v>
      </c>
      <c r="AC8">
        <v>0</v>
      </c>
      <c r="AD8">
        <v>0</v>
      </c>
      <c r="AE8">
        <v>1.740000039339066</v>
      </c>
      <c r="AF8">
        <v>0</v>
      </c>
      <c r="AG8">
        <v>1</v>
      </c>
      <c r="AH8">
        <v>0</v>
      </c>
      <c r="AI8">
        <v>150</v>
      </c>
      <c r="AJ8">
        <v>1.3400000333786011</v>
      </c>
      <c r="AK8">
        <v>0.40000000596046448</v>
      </c>
      <c r="AL8">
        <v>0</v>
      </c>
      <c r="AM8">
        <v>0</v>
      </c>
      <c r="AN8">
        <v>1</v>
      </c>
      <c r="AO8">
        <v>1</v>
      </c>
      <c r="AP8">
        <v>2024</v>
      </c>
      <c r="AQ8">
        <v>2</v>
      </c>
      <c r="AR8">
        <v>1</v>
      </c>
      <c r="AS8">
        <v>1</v>
      </c>
      <c r="AT8">
        <v>0</v>
      </c>
      <c r="AU8">
        <v>0</v>
      </c>
      <c r="AV8">
        <f t="shared" si="0"/>
        <v>0</v>
      </c>
      <c r="AW8">
        <f t="shared" si="1"/>
        <v>0</v>
      </c>
      <c r="AX8">
        <f t="shared" si="2"/>
        <v>0</v>
      </c>
      <c r="AY8">
        <f t="shared" si="3"/>
        <v>0</v>
      </c>
      <c r="AZ8">
        <f t="shared" si="4"/>
        <v>0</v>
      </c>
      <c r="BA8" t="str">
        <f t="shared" si="5"/>
        <v/>
      </c>
      <c r="BB8">
        <f t="shared" si="6"/>
        <v>1</v>
      </c>
      <c r="BC8">
        <f>MATCH($B8,clean_historis!$B:$B,0)</f>
        <v>8</v>
      </c>
      <c r="BD8">
        <f>IFERROR(INDEX(clean_historis!$AF:$AF,$BC8)/INDEX(clean_historis!$V:$V,$BC8),0)</f>
        <v>0</v>
      </c>
      <c r="BE8">
        <f>IFERROR(INDEX(clean_historis!$AR:$AR,$BC8)/INDEX(clean_historis!$AH:$AH,$BC8),0)</f>
        <v>0</v>
      </c>
      <c r="BF8">
        <f t="shared" si="7"/>
        <v>0</v>
      </c>
      <c r="BG8">
        <f>MAX(IF(INDEX(clean_historis!$CL:$CL,$BC8)=1,2025,0),IF(INDEX(clean_historis!$CK:$CK,$BC8)=1,2024,0),IF(INDEX(clean_historis!$CJ:$CJ,$BC8)=1,2023,0),IF(INDEX(clean_historis!$CI:$CI,$BC8)=1,2022,0),IF(INDEX(clean_historis!$CH:$CH,$BC8)=1,2021,0))</f>
        <v>0</v>
      </c>
      <c r="BH8">
        <f t="shared" si="8"/>
        <v>0</v>
      </c>
      <c r="BI8">
        <f t="shared" si="9"/>
        <v>0</v>
      </c>
      <c r="BJ8">
        <f t="shared" si="10"/>
        <v>0</v>
      </c>
      <c r="BK8">
        <f t="shared" si="11"/>
        <v>18.252500000000001</v>
      </c>
      <c r="BL8">
        <f t="shared" si="12"/>
        <v>0</v>
      </c>
      <c r="BM8">
        <f t="shared" si="13"/>
        <v>0</v>
      </c>
      <c r="BN8">
        <v>0</v>
      </c>
      <c r="BO8">
        <f t="shared" si="16"/>
        <v>0</v>
      </c>
      <c r="BP8">
        <f t="shared" si="14"/>
        <v>1</v>
      </c>
      <c r="BQ8">
        <f t="shared" si="15"/>
        <v>0</v>
      </c>
    </row>
    <row r="9" spans="1:69" x14ac:dyDescent="0.25">
      <c r="A9">
        <v>8</v>
      </c>
      <c r="B9" t="s">
        <v>128</v>
      </c>
      <c r="C9" t="s">
        <v>129</v>
      </c>
      <c r="D9" t="s">
        <v>130</v>
      </c>
      <c r="E9" t="s">
        <v>131</v>
      </c>
      <c r="F9" t="s">
        <v>132</v>
      </c>
      <c r="G9">
        <v>2</v>
      </c>
      <c r="H9">
        <v>1</v>
      </c>
      <c r="I9">
        <v>763</v>
      </c>
      <c r="J9">
        <v>0</v>
      </c>
      <c r="K9">
        <v>0</v>
      </c>
      <c r="L9">
        <v>4179.5</v>
      </c>
      <c r="M9">
        <v>2818.2</v>
      </c>
      <c r="N9">
        <v>13938.7</v>
      </c>
      <c r="O9">
        <v>1329.4</v>
      </c>
      <c r="P9">
        <v>12075.8</v>
      </c>
      <c r="Q9">
        <v>0</v>
      </c>
      <c r="R9">
        <v>0</v>
      </c>
      <c r="S9">
        <v>0</v>
      </c>
      <c r="T9">
        <v>0</v>
      </c>
      <c r="U9">
        <v>0</v>
      </c>
      <c r="V9">
        <v>1.57</v>
      </c>
      <c r="W9">
        <v>0</v>
      </c>
      <c r="X9">
        <v>0</v>
      </c>
      <c r="Y9">
        <v>0.20000000298023221</v>
      </c>
      <c r="Z9">
        <v>0</v>
      </c>
      <c r="AA9">
        <v>0</v>
      </c>
      <c r="AB9">
        <v>0</v>
      </c>
      <c r="AC9">
        <v>0</v>
      </c>
      <c r="AD9">
        <v>0.20000000298023221</v>
      </c>
      <c r="AE9">
        <v>0</v>
      </c>
      <c r="AF9">
        <v>0.20000000298023221</v>
      </c>
      <c r="AG9">
        <v>0</v>
      </c>
      <c r="AH9">
        <v>1</v>
      </c>
      <c r="AI9">
        <v>150</v>
      </c>
      <c r="AJ9">
        <v>0</v>
      </c>
      <c r="AK9">
        <v>0</v>
      </c>
      <c r="AL9">
        <v>0</v>
      </c>
      <c r="AM9">
        <v>0.20000000298023221</v>
      </c>
      <c r="AN9">
        <v>0</v>
      </c>
      <c r="AO9">
        <v>0</v>
      </c>
      <c r="AR9">
        <v>0</v>
      </c>
      <c r="AS9">
        <v>0</v>
      </c>
      <c r="AT9">
        <v>0</v>
      </c>
      <c r="AU9">
        <v>1</v>
      </c>
      <c r="AV9">
        <f t="shared" si="0"/>
        <v>0</v>
      </c>
      <c r="AW9">
        <f t="shared" si="1"/>
        <v>-0.87261146306991577</v>
      </c>
      <c r="AX9">
        <f t="shared" si="2"/>
        <v>97.197453677654252</v>
      </c>
      <c r="AY9">
        <f t="shared" si="3"/>
        <v>0</v>
      </c>
      <c r="AZ9">
        <f t="shared" si="4"/>
        <v>0.20000000298023221</v>
      </c>
      <c r="BA9" t="str">
        <f t="shared" si="5"/>
        <v/>
      </c>
      <c r="BB9">
        <f t="shared" si="6"/>
        <v>0</v>
      </c>
      <c r="BC9">
        <f>MATCH($B9,clean_historis!$B:$B,0)</f>
        <v>9</v>
      </c>
      <c r="BD9">
        <f>IFERROR(INDEX(clean_historis!$AF:$AF,$BC9)/INDEX(clean_historis!$V:$V,$BC9),0)</f>
        <v>1</v>
      </c>
      <c r="BE9">
        <f>IFERROR(INDEX(clean_historis!$AR:$AR,$BC9)/INDEX(clean_historis!$AH:$AH,$BC9),0)</f>
        <v>1</v>
      </c>
      <c r="BF9">
        <f t="shared" si="7"/>
        <v>0.1273885369300842</v>
      </c>
      <c r="BG9">
        <f>MAX(IF(INDEX(clean_historis!$CL:$CL,$BC9)=1,2025,0),IF(INDEX(clean_historis!$CK:$CK,$BC9)=1,2024,0),IF(INDEX(clean_historis!$CJ:$CJ,$BC9)=1,2023,0),IF(INDEX(clean_historis!$CI:$CI,$BC9)=1,2022,0),IF(INDEX(clean_historis!$CH:$CH,$BC9)=1,2021,0))</f>
        <v>0</v>
      </c>
      <c r="BH9">
        <f t="shared" si="8"/>
        <v>1</v>
      </c>
      <c r="BI9">
        <f t="shared" si="9"/>
        <v>763</v>
      </c>
      <c r="BJ9">
        <f t="shared" si="10"/>
        <v>0</v>
      </c>
      <c r="BK9">
        <f t="shared" si="11"/>
        <v>33.0122</v>
      </c>
      <c r="BL9">
        <f t="shared" si="12"/>
        <v>0</v>
      </c>
      <c r="BM9">
        <f t="shared" si="13"/>
        <v>0</v>
      </c>
      <c r="BN9">
        <v>1</v>
      </c>
      <c r="BO9">
        <f t="shared" si="16"/>
        <v>0</v>
      </c>
      <c r="BP9">
        <f t="shared" si="14"/>
        <v>0</v>
      </c>
      <c r="BQ9">
        <f t="shared" si="15"/>
        <v>1</v>
      </c>
    </row>
    <row r="10" spans="1:69" x14ac:dyDescent="0.25">
      <c r="A10">
        <v>9</v>
      </c>
      <c r="B10" t="s">
        <v>133</v>
      </c>
      <c r="C10" t="s">
        <v>134</v>
      </c>
      <c r="D10" t="s">
        <v>135</v>
      </c>
      <c r="E10" t="s">
        <v>136</v>
      </c>
      <c r="F10" t="s">
        <v>105</v>
      </c>
      <c r="G10">
        <v>2</v>
      </c>
      <c r="H10">
        <v>1</v>
      </c>
      <c r="I10">
        <v>1032</v>
      </c>
      <c r="J10">
        <v>0</v>
      </c>
      <c r="K10">
        <v>0</v>
      </c>
      <c r="L10">
        <v>4608.7</v>
      </c>
      <c r="M10">
        <v>5179.2</v>
      </c>
      <c r="N10">
        <v>10259.5</v>
      </c>
      <c r="O10">
        <v>1207.7</v>
      </c>
      <c r="P10">
        <v>10424.200000000001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4.3600000000000003</v>
      </c>
      <c r="W10">
        <v>0</v>
      </c>
      <c r="X10">
        <v>0</v>
      </c>
      <c r="Y10">
        <v>4.3600001335144043</v>
      </c>
      <c r="Z10">
        <v>0</v>
      </c>
      <c r="AA10">
        <v>2</v>
      </c>
      <c r="AB10">
        <v>2.160000085830688</v>
      </c>
      <c r="AC10">
        <v>0.20000000298023221</v>
      </c>
      <c r="AD10">
        <v>0</v>
      </c>
      <c r="AE10">
        <v>4.1600000858306876</v>
      </c>
      <c r="AF10">
        <v>0.20000000298023221</v>
      </c>
      <c r="AG10">
        <v>0.95412844061781266</v>
      </c>
      <c r="AH10">
        <v>4.5871559382187337E-2</v>
      </c>
      <c r="AI10">
        <v>150</v>
      </c>
      <c r="AJ10">
        <v>2</v>
      </c>
      <c r="AK10">
        <v>2.160000085830688</v>
      </c>
      <c r="AL10">
        <v>0.20000000298023221</v>
      </c>
      <c r="AM10">
        <v>0</v>
      </c>
      <c r="AN10">
        <v>1</v>
      </c>
      <c r="AO10">
        <v>3</v>
      </c>
      <c r="AP10">
        <v>2023</v>
      </c>
      <c r="AQ10">
        <v>3</v>
      </c>
      <c r="AR10">
        <v>0</v>
      </c>
      <c r="AS10">
        <v>0</v>
      </c>
      <c r="AT10">
        <v>0</v>
      </c>
      <c r="AU10">
        <v>0</v>
      </c>
      <c r="AV10">
        <f t="shared" si="0"/>
        <v>0</v>
      </c>
      <c r="AW10">
        <f t="shared" si="1"/>
        <v>0</v>
      </c>
      <c r="AX10">
        <f t="shared" si="2"/>
        <v>0</v>
      </c>
      <c r="AY10">
        <f t="shared" si="3"/>
        <v>0</v>
      </c>
      <c r="AZ10">
        <f t="shared" si="4"/>
        <v>0</v>
      </c>
      <c r="BA10" t="str">
        <f t="shared" si="5"/>
        <v/>
      </c>
      <c r="BB10">
        <f t="shared" si="6"/>
        <v>0.95412844061781266</v>
      </c>
      <c r="BC10">
        <f>MATCH($B10,clean_historis!$B:$B,0)</f>
        <v>10</v>
      </c>
      <c r="BD10">
        <f>IFERROR(INDEX(clean_historis!$AF:$AF,$BC10)/INDEX(clean_historis!$V:$V,$BC10),0)</f>
        <v>0</v>
      </c>
      <c r="BE10">
        <f>IFERROR(INDEX(clean_historis!$AR:$AR,$BC10)/INDEX(clean_historis!$AH:$AH,$BC10),0)</f>
        <v>0</v>
      </c>
      <c r="BF10">
        <f t="shared" si="7"/>
        <v>0</v>
      </c>
      <c r="BG10">
        <f>MAX(IF(INDEX(clean_historis!$CL:$CL,$BC10)=1,2025,0),IF(INDEX(clean_historis!$CK:$CK,$BC10)=1,2024,0),IF(INDEX(clean_historis!$CJ:$CJ,$BC10)=1,2023,0),IF(INDEX(clean_historis!$CI:$CI,$BC10)=1,2022,0),IF(INDEX(clean_historis!$CH:$CH,$BC10)=1,2021,0))</f>
        <v>0</v>
      </c>
      <c r="BH10">
        <f t="shared" si="8"/>
        <v>4.5871559382187344E-2</v>
      </c>
      <c r="BI10">
        <f t="shared" si="9"/>
        <v>47.339449282417341</v>
      </c>
      <c r="BJ10">
        <f t="shared" si="10"/>
        <v>0</v>
      </c>
      <c r="BK10">
        <f t="shared" si="11"/>
        <v>30.471600000000002</v>
      </c>
      <c r="BL10">
        <f t="shared" si="12"/>
        <v>0</v>
      </c>
      <c r="BM10">
        <f t="shared" si="13"/>
        <v>0</v>
      </c>
      <c r="BN10">
        <v>0</v>
      </c>
      <c r="BO10">
        <f t="shared" si="16"/>
        <v>0</v>
      </c>
      <c r="BP10">
        <f t="shared" si="14"/>
        <v>1</v>
      </c>
      <c r="BQ10">
        <f t="shared" si="15"/>
        <v>0</v>
      </c>
    </row>
    <row r="11" spans="1:69" x14ac:dyDescent="0.25">
      <c r="A11">
        <v>10</v>
      </c>
      <c r="B11" t="s">
        <v>137</v>
      </c>
      <c r="C11" t="s">
        <v>138</v>
      </c>
      <c r="D11" t="s">
        <v>139</v>
      </c>
      <c r="E11" t="s">
        <v>140</v>
      </c>
      <c r="F11" t="s">
        <v>100</v>
      </c>
      <c r="G11">
        <v>2</v>
      </c>
      <c r="H11">
        <v>1</v>
      </c>
      <c r="I11">
        <v>4331</v>
      </c>
      <c r="J11">
        <v>0</v>
      </c>
      <c r="K11">
        <v>0</v>
      </c>
      <c r="L11">
        <v>781.6</v>
      </c>
      <c r="M11">
        <v>796.9</v>
      </c>
      <c r="N11">
        <v>2773.5</v>
      </c>
      <c r="O11">
        <v>196.3</v>
      </c>
      <c r="P11">
        <v>910.6</v>
      </c>
      <c r="Q11">
        <v>0</v>
      </c>
      <c r="R11">
        <v>0</v>
      </c>
      <c r="S11">
        <v>0</v>
      </c>
      <c r="T11">
        <v>0</v>
      </c>
      <c r="U11">
        <v>0</v>
      </c>
      <c r="V11">
        <v>0.23</v>
      </c>
      <c r="W11">
        <v>0</v>
      </c>
      <c r="X11">
        <v>0</v>
      </c>
      <c r="Y11">
        <v>0.23000000417232511</v>
      </c>
      <c r="Z11">
        <v>0</v>
      </c>
      <c r="AA11">
        <v>0.23000000417232511</v>
      </c>
      <c r="AB11">
        <v>0</v>
      </c>
      <c r="AC11">
        <v>0</v>
      </c>
      <c r="AD11">
        <v>0</v>
      </c>
      <c r="AE11">
        <v>0.23000000417232511</v>
      </c>
      <c r="AF11">
        <v>0</v>
      </c>
      <c r="AG11">
        <v>1</v>
      </c>
      <c r="AH11">
        <v>0</v>
      </c>
      <c r="AI11">
        <v>150</v>
      </c>
      <c r="AJ11">
        <v>0.23000000417232511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2023</v>
      </c>
      <c r="AQ11">
        <v>3</v>
      </c>
      <c r="AR11">
        <v>0</v>
      </c>
      <c r="AS11">
        <v>0</v>
      </c>
      <c r="AT11">
        <v>0</v>
      </c>
      <c r="AU11">
        <v>0</v>
      </c>
      <c r="AV11">
        <f t="shared" si="0"/>
        <v>0</v>
      </c>
      <c r="AW11">
        <f t="shared" si="1"/>
        <v>0</v>
      </c>
      <c r="AX11">
        <f t="shared" si="2"/>
        <v>0</v>
      </c>
      <c r="AY11">
        <f t="shared" si="3"/>
        <v>0</v>
      </c>
      <c r="AZ11">
        <f t="shared" si="4"/>
        <v>0</v>
      </c>
      <c r="BA11">
        <f t="shared" si="5"/>
        <v>2</v>
      </c>
      <c r="BB11">
        <f t="shared" si="6"/>
        <v>1</v>
      </c>
      <c r="BC11">
        <f>MATCH($B11,clean_historis!$B:$B,0)</f>
        <v>11</v>
      </c>
      <c r="BD11">
        <f>IFERROR(INDEX(clean_historis!$AF:$AF,$BC11)/INDEX(clean_historis!$V:$V,$BC11),0)</f>
        <v>0</v>
      </c>
      <c r="BE11">
        <f>IFERROR(INDEX(clean_historis!$AR:$AR,$BC11)/INDEX(clean_historis!$AH:$AH,$BC11),0)</f>
        <v>0</v>
      </c>
      <c r="BF11">
        <f t="shared" si="7"/>
        <v>0</v>
      </c>
      <c r="BG11">
        <f>MAX(IF(INDEX(clean_historis!$CL:$CL,$BC11)=1,2025,0),IF(INDEX(clean_historis!$CK:$CK,$BC11)=1,2024,0),IF(INDEX(clean_historis!$CJ:$CJ,$BC11)=1,2023,0),IF(INDEX(clean_historis!$CI:$CI,$BC11)=1,2022,0),IF(INDEX(clean_historis!$CH:$CH,$BC11)=1,2021,0))</f>
        <v>2023</v>
      </c>
      <c r="BH11">
        <f t="shared" si="8"/>
        <v>0</v>
      </c>
      <c r="BI11">
        <f t="shared" si="9"/>
        <v>0</v>
      </c>
      <c r="BJ11">
        <f t="shared" si="10"/>
        <v>1</v>
      </c>
      <c r="BK11">
        <f t="shared" si="11"/>
        <v>5.2625999999999991</v>
      </c>
      <c r="BL11">
        <f t="shared" si="12"/>
        <v>0</v>
      </c>
      <c r="BM11">
        <f t="shared" si="13"/>
        <v>0</v>
      </c>
      <c r="BN11">
        <v>0</v>
      </c>
      <c r="BO11">
        <f t="shared" si="16"/>
        <v>1</v>
      </c>
      <c r="BP11">
        <f t="shared" si="14"/>
        <v>1</v>
      </c>
      <c r="BQ11">
        <f t="shared" si="15"/>
        <v>1</v>
      </c>
    </row>
    <row r="12" spans="1:69" x14ac:dyDescent="0.25">
      <c r="A12">
        <v>11</v>
      </c>
      <c r="B12" t="s">
        <v>141</v>
      </c>
      <c r="C12" t="s">
        <v>142</v>
      </c>
      <c r="D12" t="s">
        <v>143</v>
      </c>
      <c r="E12" t="s">
        <v>144</v>
      </c>
      <c r="F12" t="s">
        <v>100</v>
      </c>
      <c r="G12">
        <v>1</v>
      </c>
      <c r="H12">
        <v>1</v>
      </c>
      <c r="I12">
        <v>786</v>
      </c>
      <c r="J12">
        <v>0</v>
      </c>
      <c r="K12">
        <v>0</v>
      </c>
      <c r="L12">
        <v>4664.3</v>
      </c>
      <c r="M12">
        <v>3176.4</v>
      </c>
      <c r="N12">
        <v>5196.3999999999996</v>
      </c>
      <c r="O12">
        <v>490.7</v>
      </c>
      <c r="P12">
        <v>4346</v>
      </c>
      <c r="Q12">
        <v>0</v>
      </c>
      <c r="R12">
        <v>0</v>
      </c>
      <c r="S12">
        <v>0</v>
      </c>
      <c r="T12">
        <v>0</v>
      </c>
      <c r="U12">
        <v>0</v>
      </c>
      <c r="V12">
        <v>0.4</v>
      </c>
      <c r="W12">
        <v>0</v>
      </c>
      <c r="X12">
        <v>0</v>
      </c>
      <c r="Y12">
        <v>0.40000000596046448</v>
      </c>
      <c r="Z12">
        <v>0</v>
      </c>
      <c r="AA12">
        <v>0.40000000596046448</v>
      </c>
      <c r="AB12">
        <v>0</v>
      </c>
      <c r="AC12">
        <v>0</v>
      </c>
      <c r="AD12">
        <v>0</v>
      </c>
      <c r="AE12">
        <v>0.40000000596046448</v>
      </c>
      <c r="AF12">
        <v>0</v>
      </c>
      <c r="AG12">
        <v>1</v>
      </c>
      <c r="AH12">
        <v>0</v>
      </c>
      <c r="AI12">
        <v>150</v>
      </c>
      <c r="AJ12">
        <v>0.40000000596046448</v>
      </c>
      <c r="AK12">
        <v>0</v>
      </c>
      <c r="AL12">
        <v>0</v>
      </c>
      <c r="AM12">
        <v>0</v>
      </c>
      <c r="AN12">
        <v>0</v>
      </c>
      <c r="AO12">
        <v>0</v>
      </c>
      <c r="AR12">
        <v>0</v>
      </c>
      <c r="AS12">
        <v>0</v>
      </c>
      <c r="AT12">
        <v>0</v>
      </c>
      <c r="AU12">
        <v>0</v>
      </c>
      <c r="AV12">
        <f t="shared" si="0"/>
        <v>-1</v>
      </c>
      <c r="AW12">
        <f t="shared" si="1"/>
        <v>0</v>
      </c>
      <c r="AX12">
        <f t="shared" si="2"/>
        <v>0</v>
      </c>
      <c r="AY12">
        <f t="shared" si="3"/>
        <v>0</v>
      </c>
      <c r="AZ12">
        <f t="shared" si="4"/>
        <v>0</v>
      </c>
      <c r="BA12" t="str">
        <f t="shared" si="5"/>
        <v/>
      </c>
      <c r="BB12">
        <f t="shared" si="6"/>
        <v>1</v>
      </c>
      <c r="BC12">
        <f>MATCH($B12,clean_historis!$B:$B,0)</f>
        <v>12</v>
      </c>
      <c r="BD12">
        <f>IFERROR(INDEX(clean_historis!$AF:$AF,$BC12)/INDEX(clean_historis!$V:$V,$BC12),0)</f>
        <v>1</v>
      </c>
      <c r="BE12">
        <f>IFERROR(INDEX(clean_historis!$AR:$AR,$BC12)/INDEX(clean_historis!$AH:$AH,$BC12),0)</f>
        <v>0</v>
      </c>
      <c r="BF12">
        <f t="shared" si="7"/>
        <v>0</v>
      </c>
      <c r="BG12">
        <f>MAX(IF(INDEX(clean_historis!$CL:$CL,$BC12)=1,2025,0),IF(INDEX(clean_historis!$CK:$CK,$BC12)=1,2024,0),IF(INDEX(clean_historis!$CJ:$CJ,$BC12)=1,2023,0),IF(INDEX(clean_historis!$CI:$CI,$BC12)=1,2022,0),IF(INDEX(clean_historis!$CH:$CH,$BC12)=1,2021,0))</f>
        <v>0</v>
      </c>
      <c r="BH12">
        <f t="shared" si="8"/>
        <v>0</v>
      </c>
      <c r="BI12">
        <f t="shared" si="9"/>
        <v>0</v>
      </c>
      <c r="BJ12">
        <f t="shared" si="10"/>
        <v>1</v>
      </c>
      <c r="BK12">
        <f t="shared" si="11"/>
        <v>17.383099999999999</v>
      </c>
      <c r="BL12">
        <f t="shared" si="12"/>
        <v>0</v>
      </c>
      <c r="BM12">
        <f t="shared" si="13"/>
        <v>0</v>
      </c>
      <c r="BN12">
        <v>0</v>
      </c>
      <c r="BO12">
        <f t="shared" si="16"/>
        <v>1</v>
      </c>
      <c r="BP12">
        <f t="shared" si="14"/>
        <v>0</v>
      </c>
      <c r="BQ12">
        <f t="shared" si="15"/>
        <v>1</v>
      </c>
    </row>
    <row r="13" spans="1:69" x14ac:dyDescent="0.25">
      <c r="A13">
        <v>12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>
        <v>3</v>
      </c>
      <c r="H13">
        <v>1</v>
      </c>
      <c r="I13">
        <v>2516</v>
      </c>
      <c r="J13">
        <v>0</v>
      </c>
      <c r="K13">
        <v>1</v>
      </c>
      <c r="L13">
        <v>4170.6000000000004</v>
      </c>
      <c r="M13">
        <v>4803.8999999999996</v>
      </c>
      <c r="N13">
        <v>12260.5</v>
      </c>
      <c r="O13">
        <v>1030.9000000000001</v>
      </c>
      <c r="P13">
        <v>10397.6</v>
      </c>
      <c r="Q13">
        <v>0</v>
      </c>
      <c r="R13">
        <v>0</v>
      </c>
      <c r="S13">
        <v>0</v>
      </c>
      <c r="T13">
        <v>0</v>
      </c>
      <c r="U13">
        <v>0</v>
      </c>
      <c r="V13">
        <v>7</v>
      </c>
      <c r="W13">
        <v>0</v>
      </c>
      <c r="X13">
        <v>0</v>
      </c>
      <c r="Y13">
        <v>5.4000000953674316</v>
      </c>
      <c r="Z13">
        <v>0</v>
      </c>
      <c r="AA13">
        <v>1.3999999761581421</v>
      </c>
      <c r="AB13">
        <v>1.1000000238418579</v>
      </c>
      <c r="AC13">
        <v>1.299999952316284</v>
      </c>
      <c r="AD13">
        <v>1.6000000238418579</v>
      </c>
      <c r="AE13">
        <v>2.5</v>
      </c>
      <c r="AF13">
        <v>2.8999999761581421</v>
      </c>
      <c r="AG13">
        <v>0.462962965007018</v>
      </c>
      <c r="AH13">
        <v>0.53703703499298194</v>
      </c>
      <c r="AI13">
        <v>150</v>
      </c>
      <c r="AJ13">
        <v>1.3999999761581421</v>
      </c>
      <c r="AK13">
        <v>1.1000000238418579</v>
      </c>
      <c r="AL13">
        <v>1.299999952316284</v>
      </c>
      <c r="AM13">
        <v>1.6000000238418579</v>
      </c>
      <c r="AN13">
        <v>1</v>
      </c>
      <c r="AO13">
        <v>3</v>
      </c>
      <c r="AP13">
        <v>2024</v>
      </c>
      <c r="AQ13">
        <v>2</v>
      </c>
      <c r="AR13">
        <v>0</v>
      </c>
      <c r="AS13">
        <v>0</v>
      </c>
      <c r="AT13">
        <v>0</v>
      </c>
      <c r="AU13">
        <v>0</v>
      </c>
      <c r="AV13">
        <f t="shared" si="0"/>
        <v>-0.12857142857142839</v>
      </c>
      <c r="AW13">
        <f t="shared" si="1"/>
        <v>-7.1428568022591871E-2</v>
      </c>
      <c r="AX13">
        <f t="shared" si="2"/>
        <v>575.08572285515925</v>
      </c>
      <c r="AY13">
        <f t="shared" si="3"/>
        <v>0</v>
      </c>
      <c r="AZ13">
        <f t="shared" si="4"/>
        <v>1.6000000238418579</v>
      </c>
      <c r="BA13" t="str">
        <f t="shared" si="5"/>
        <v/>
      </c>
      <c r="BB13">
        <f t="shared" si="6"/>
        <v>0.462962965007018</v>
      </c>
      <c r="BC13">
        <f>MATCH($B13,clean_historis!$B:$B,0)</f>
        <v>13</v>
      </c>
      <c r="BD13">
        <f>IFERROR(INDEX(clean_historis!$AF:$AF,$BC13)/INDEX(clean_historis!$V:$V,$BC13),0)</f>
        <v>0.42857142857142855</v>
      </c>
      <c r="BE13">
        <f>IFERROR(INDEX(clean_historis!$AR:$AR,$BC13)/INDEX(clean_historis!$AH:$AH,$BC13),0)</f>
        <v>0.30000000000000016</v>
      </c>
      <c r="BF13">
        <f t="shared" si="7"/>
        <v>0.22857143197740828</v>
      </c>
      <c r="BG13">
        <f>MAX(IF(INDEX(clean_historis!$CL:$CL,$BC13)=1,2025,0),IF(INDEX(clean_historis!$CK:$CK,$BC13)=1,2024,0),IF(INDEX(clean_historis!$CJ:$CJ,$BC13)=1,2023,0),IF(INDEX(clean_historis!$CI:$CI,$BC13)=1,2022,0),IF(INDEX(clean_historis!$CH:$CH,$BC13)=1,2021,0))</f>
        <v>0</v>
      </c>
      <c r="BH13">
        <f t="shared" si="8"/>
        <v>0.53703703499298205</v>
      </c>
      <c r="BI13">
        <f t="shared" si="9"/>
        <v>1351.1851800423428</v>
      </c>
      <c r="BJ13">
        <f t="shared" si="10"/>
        <v>0</v>
      </c>
      <c r="BK13">
        <f t="shared" si="11"/>
        <v>31.6326</v>
      </c>
      <c r="BL13">
        <f t="shared" si="12"/>
        <v>0</v>
      </c>
      <c r="BM13">
        <f t="shared" si="13"/>
        <v>0</v>
      </c>
      <c r="BN13">
        <v>0</v>
      </c>
      <c r="BO13">
        <f t="shared" si="16"/>
        <v>0</v>
      </c>
      <c r="BP13">
        <f t="shared" si="14"/>
        <v>1</v>
      </c>
      <c r="BQ13">
        <f t="shared" si="15"/>
        <v>1</v>
      </c>
    </row>
    <row r="14" spans="1:69" x14ac:dyDescent="0.25">
      <c r="A14">
        <v>13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>
        <v>5</v>
      </c>
      <c r="H14">
        <v>2</v>
      </c>
      <c r="I14">
        <v>2430</v>
      </c>
      <c r="J14">
        <v>0</v>
      </c>
      <c r="K14">
        <v>1</v>
      </c>
      <c r="L14">
        <v>2807.7</v>
      </c>
      <c r="M14">
        <v>2660.1</v>
      </c>
      <c r="N14">
        <v>12566.9</v>
      </c>
      <c r="O14">
        <v>42.4</v>
      </c>
      <c r="P14">
        <v>10704</v>
      </c>
      <c r="Q14">
        <v>0</v>
      </c>
      <c r="R14">
        <v>0</v>
      </c>
      <c r="S14">
        <v>0</v>
      </c>
      <c r="T14">
        <v>0</v>
      </c>
      <c r="U14">
        <v>0</v>
      </c>
      <c r="V14">
        <v>5.58</v>
      </c>
      <c r="W14">
        <v>0</v>
      </c>
      <c r="X14">
        <v>0</v>
      </c>
      <c r="Y14">
        <v>5.5799999237060547</v>
      </c>
      <c r="Z14">
        <v>0</v>
      </c>
      <c r="AA14">
        <v>0.40000000596046448</v>
      </c>
      <c r="AB14">
        <v>3.9800000190734859</v>
      </c>
      <c r="AC14">
        <v>1.200000047683716</v>
      </c>
      <c r="AD14">
        <v>0</v>
      </c>
      <c r="AE14">
        <v>4.3800000250339508</v>
      </c>
      <c r="AF14">
        <v>1.200000047683716</v>
      </c>
      <c r="AG14">
        <v>0.78494623081621728</v>
      </c>
      <c r="AH14">
        <v>0.21505376918378269</v>
      </c>
      <c r="AI14">
        <v>150</v>
      </c>
      <c r="AJ14">
        <v>0.40000000596046448</v>
      </c>
      <c r="AK14">
        <v>3.9800000190734859</v>
      </c>
      <c r="AL14">
        <v>1.200000047683716</v>
      </c>
      <c r="AM14">
        <v>0</v>
      </c>
      <c r="AN14">
        <v>1</v>
      </c>
      <c r="AO14">
        <v>3</v>
      </c>
      <c r="AP14">
        <v>2025</v>
      </c>
      <c r="AQ14">
        <v>1</v>
      </c>
      <c r="AR14">
        <v>0</v>
      </c>
      <c r="AS14">
        <v>0</v>
      </c>
      <c r="AT14">
        <v>0</v>
      </c>
      <c r="AU14">
        <v>0</v>
      </c>
      <c r="AV14">
        <f t="shared" si="0"/>
        <v>0</v>
      </c>
      <c r="AW14">
        <f t="shared" si="1"/>
        <v>0</v>
      </c>
      <c r="AX14">
        <f t="shared" si="2"/>
        <v>0</v>
      </c>
      <c r="AY14">
        <f t="shared" si="3"/>
        <v>0</v>
      </c>
      <c r="AZ14">
        <f t="shared" si="4"/>
        <v>0</v>
      </c>
      <c r="BA14">
        <f t="shared" si="5"/>
        <v>1</v>
      </c>
      <c r="BB14">
        <f t="shared" si="6"/>
        <v>0.78494623081621728</v>
      </c>
      <c r="BC14">
        <f>MATCH($B14,clean_historis!$B:$B,0)</f>
        <v>14</v>
      </c>
      <c r="BD14">
        <f>IFERROR(INDEX(clean_historis!$AF:$AF,$BC14)/INDEX(clean_historis!$V:$V,$BC14),0)</f>
        <v>0</v>
      </c>
      <c r="BE14">
        <f>IFERROR(INDEX(clean_historis!$AR:$AR,$BC14)/INDEX(clean_historis!$AH:$AH,$BC14),0)</f>
        <v>0</v>
      </c>
      <c r="BF14">
        <f t="shared" si="7"/>
        <v>0</v>
      </c>
      <c r="BG14">
        <f>MAX(IF(INDEX(clean_historis!$CL:$CL,$BC14)=1,2025,0),IF(INDEX(clean_historis!$CK:$CK,$BC14)=1,2024,0),IF(INDEX(clean_historis!$CJ:$CJ,$BC14)=1,2023,0),IF(INDEX(clean_historis!$CI:$CI,$BC14)=1,2022,0),IF(INDEX(clean_historis!$CH:$CH,$BC14)=1,2021,0))</f>
        <v>2024</v>
      </c>
      <c r="BH14">
        <f t="shared" si="8"/>
        <v>0.21505376918378272</v>
      </c>
      <c r="BI14">
        <f t="shared" si="9"/>
        <v>522.58065911659196</v>
      </c>
      <c r="BJ14">
        <f t="shared" si="10"/>
        <v>0</v>
      </c>
      <c r="BK14">
        <f t="shared" si="11"/>
        <v>28.738699999999998</v>
      </c>
      <c r="BL14">
        <f t="shared" si="12"/>
        <v>0</v>
      </c>
      <c r="BM14">
        <f t="shared" si="13"/>
        <v>0</v>
      </c>
      <c r="BN14">
        <v>0</v>
      </c>
      <c r="BO14">
        <f t="shared" si="16"/>
        <v>0</v>
      </c>
      <c r="BP14">
        <f t="shared" si="14"/>
        <v>1</v>
      </c>
      <c r="BQ14">
        <f t="shared" si="15"/>
        <v>0</v>
      </c>
    </row>
    <row r="15" spans="1:69" x14ac:dyDescent="0.25">
      <c r="A15">
        <v>14</v>
      </c>
      <c r="B15" t="s">
        <v>155</v>
      </c>
      <c r="C15" t="s">
        <v>156</v>
      </c>
      <c r="D15" t="s">
        <v>157</v>
      </c>
      <c r="E15" t="s">
        <v>158</v>
      </c>
      <c r="F15" t="s">
        <v>149</v>
      </c>
      <c r="G15">
        <v>4</v>
      </c>
      <c r="H15">
        <v>1</v>
      </c>
      <c r="I15">
        <v>3114</v>
      </c>
      <c r="J15">
        <v>0</v>
      </c>
      <c r="K15">
        <v>0</v>
      </c>
      <c r="L15">
        <v>3473.9</v>
      </c>
      <c r="M15">
        <v>4541</v>
      </c>
      <c r="N15">
        <v>11563.7</v>
      </c>
      <c r="O15">
        <v>1798.1</v>
      </c>
      <c r="P15">
        <v>9700.7999999999993</v>
      </c>
      <c r="Q15">
        <v>0</v>
      </c>
      <c r="R15">
        <v>0</v>
      </c>
      <c r="S15">
        <v>0</v>
      </c>
      <c r="T15">
        <v>0</v>
      </c>
      <c r="U15">
        <v>0</v>
      </c>
      <c r="V15">
        <v>5.88</v>
      </c>
      <c r="W15">
        <v>0</v>
      </c>
      <c r="X15">
        <v>0</v>
      </c>
      <c r="Y15">
        <v>5.880000114440918</v>
      </c>
      <c r="Z15">
        <v>0</v>
      </c>
      <c r="AA15">
        <v>1.700000047683716</v>
      </c>
      <c r="AB15">
        <v>3.279999971389771</v>
      </c>
      <c r="AC15">
        <v>0.89999997615814209</v>
      </c>
      <c r="AD15">
        <v>0</v>
      </c>
      <c r="AE15">
        <v>4.9800000190734863</v>
      </c>
      <c r="AF15">
        <v>0.89999997615814209</v>
      </c>
      <c r="AG15">
        <v>0.84693877944081719</v>
      </c>
      <c r="AH15">
        <v>0.15306122055918281</v>
      </c>
      <c r="AI15">
        <v>150</v>
      </c>
      <c r="AJ15">
        <v>1.700000047683716</v>
      </c>
      <c r="AK15">
        <v>3.279999971389771</v>
      </c>
      <c r="AL15">
        <v>0.89999997615814209</v>
      </c>
      <c r="AM15">
        <v>0</v>
      </c>
      <c r="AN15">
        <v>1</v>
      </c>
      <c r="AO15">
        <v>2</v>
      </c>
      <c r="AP15">
        <v>2024</v>
      </c>
      <c r="AQ15">
        <v>2</v>
      </c>
      <c r="AR15">
        <v>1</v>
      </c>
      <c r="AS15">
        <v>0</v>
      </c>
      <c r="AT15">
        <v>1</v>
      </c>
      <c r="AU15">
        <v>0</v>
      </c>
      <c r="AV15">
        <f t="shared" si="0"/>
        <v>0</v>
      </c>
      <c r="AW15">
        <f t="shared" si="1"/>
        <v>0</v>
      </c>
      <c r="AX15">
        <f t="shared" si="2"/>
        <v>0</v>
      </c>
      <c r="AY15">
        <f t="shared" si="3"/>
        <v>0</v>
      </c>
      <c r="AZ15">
        <f t="shared" si="4"/>
        <v>0</v>
      </c>
      <c r="BA15">
        <f t="shared" si="5"/>
        <v>1</v>
      </c>
      <c r="BB15">
        <f t="shared" si="6"/>
        <v>0.84693877944081719</v>
      </c>
      <c r="BC15">
        <f>MATCH($B15,clean_historis!$B:$B,0)</f>
        <v>15</v>
      </c>
      <c r="BD15">
        <f>IFERROR(INDEX(clean_historis!$AF:$AF,$BC15)/INDEX(clean_historis!$V:$V,$BC15),0)</f>
        <v>0</v>
      </c>
      <c r="BE15">
        <f>IFERROR(INDEX(clean_historis!$AR:$AR,$BC15)/INDEX(clean_historis!$AH:$AH,$BC15),0)</f>
        <v>0</v>
      </c>
      <c r="BF15">
        <f t="shared" si="7"/>
        <v>0</v>
      </c>
      <c r="BG15">
        <f>MAX(IF(INDEX(clean_historis!$CL:$CL,$BC15)=1,2025,0),IF(INDEX(clean_historis!$CK:$CK,$BC15)=1,2024,0),IF(INDEX(clean_historis!$CJ:$CJ,$BC15)=1,2023,0),IF(INDEX(clean_historis!$CI:$CI,$BC15)=1,2022,0),IF(INDEX(clean_historis!$CH:$CH,$BC15)=1,2021,0))</f>
        <v>2024</v>
      </c>
      <c r="BH15">
        <f t="shared" si="8"/>
        <v>0.15306122055918281</v>
      </c>
      <c r="BI15">
        <f t="shared" si="9"/>
        <v>476.63264082129524</v>
      </c>
      <c r="BJ15">
        <f t="shared" si="10"/>
        <v>0</v>
      </c>
      <c r="BK15">
        <f t="shared" si="11"/>
        <v>29.279400000000003</v>
      </c>
      <c r="BL15">
        <f t="shared" si="12"/>
        <v>0</v>
      </c>
      <c r="BM15">
        <f t="shared" si="13"/>
        <v>0</v>
      </c>
      <c r="BN15">
        <v>1</v>
      </c>
      <c r="BO15">
        <f t="shared" si="16"/>
        <v>0</v>
      </c>
      <c r="BP15">
        <f t="shared" si="14"/>
        <v>1</v>
      </c>
      <c r="BQ15">
        <f t="shared" si="15"/>
        <v>0</v>
      </c>
    </row>
    <row r="16" spans="1:69" x14ac:dyDescent="0.25">
      <c r="A16">
        <v>15</v>
      </c>
      <c r="B16" t="s">
        <v>159</v>
      </c>
      <c r="C16" t="s">
        <v>160</v>
      </c>
      <c r="D16" t="s">
        <v>161</v>
      </c>
      <c r="E16" t="s">
        <v>162</v>
      </c>
      <c r="F16" t="s">
        <v>149</v>
      </c>
      <c r="G16">
        <v>1</v>
      </c>
      <c r="H16">
        <v>1</v>
      </c>
      <c r="I16">
        <v>545</v>
      </c>
      <c r="J16">
        <v>0</v>
      </c>
      <c r="K16">
        <v>1</v>
      </c>
      <c r="L16">
        <v>2869.7</v>
      </c>
      <c r="M16">
        <v>3143.5</v>
      </c>
      <c r="N16">
        <v>8536.5</v>
      </c>
      <c r="O16">
        <v>474.2</v>
      </c>
      <c r="P16">
        <v>6673.6</v>
      </c>
      <c r="Q16">
        <v>0</v>
      </c>
      <c r="R16">
        <v>0</v>
      </c>
      <c r="S16">
        <v>0</v>
      </c>
      <c r="T16">
        <v>0</v>
      </c>
      <c r="U16">
        <v>0</v>
      </c>
      <c r="V16">
        <v>1.21</v>
      </c>
      <c r="W16">
        <v>0</v>
      </c>
      <c r="X16">
        <v>0</v>
      </c>
      <c r="Y16">
        <v>0.70999997854232788</v>
      </c>
      <c r="Z16">
        <v>0</v>
      </c>
      <c r="AA16">
        <v>0</v>
      </c>
      <c r="AB16">
        <v>0</v>
      </c>
      <c r="AC16">
        <v>0</v>
      </c>
      <c r="AD16">
        <v>0.70999997854232788</v>
      </c>
      <c r="AE16">
        <v>0</v>
      </c>
      <c r="AF16">
        <v>0.70999997854232788</v>
      </c>
      <c r="AG16">
        <v>0</v>
      </c>
      <c r="AH16">
        <v>1</v>
      </c>
      <c r="AI16">
        <v>150</v>
      </c>
      <c r="AJ16">
        <v>0</v>
      </c>
      <c r="AK16">
        <v>0</v>
      </c>
      <c r="AL16">
        <v>0</v>
      </c>
      <c r="AM16">
        <v>0.70999997854232788</v>
      </c>
      <c r="AN16">
        <v>0</v>
      </c>
      <c r="AO16">
        <v>0</v>
      </c>
      <c r="AR16">
        <v>0</v>
      </c>
      <c r="AS16">
        <v>0</v>
      </c>
      <c r="AT16">
        <v>0</v>
      </c>
      <c r="AU16">
        <v>1</v>
      </c>
      <c r="AV16">
        <f t="shared" si="0"/>
        <v>0</v>
      </c>
      <c r="AW16">
        <f t="shared" si="1"/>
        <v>-0.41322315822948108</v>
      </c>
      <c r="AX16">
        <f t="shared" si="2"/>
        <v>319.79337876493281</v>
      </c>
      <c r="AY16">
        <f t="shared" si="3"/>
        <v>0</v>
      </c>
      <c r="AZ16">
        <f t="shared" si="4"/>
        <v>0.70999997854232788</v>
      </c>
      <c r="BA16" t="str">
        <f t="shared" si="5"/>
        <v/>
      </c>
      <c r="BB16">
        <f t="shared" si="6"/>
        <v>0</v>
      </c>
      <c r="BC16">
        <f>MATCH($B16,clean_historis!$B:$B,0)</f>
        <v>16</v>
      </c>
      <c r="BD16">
        <f>IFERROR(INDEX(clean_historis!$AF:$AF,$BC16)/INDEX(clean_historis!$V:$V,$BC16),0)</f>
        <v>1</v>
      </c>
      <c r="BE16">
        <f>IFERROR(INDEX(clean_historis!$AR:$AR,$BC16)/INDEX(clean_historis!$AH:$AH,$BC16),0)</f>
        <v>1</v>
      </c>
      <c r="BF16">
        <f t="shared" si="7"/>
        <v>0.58677684177051892</v>
      </c>
      <c r="BG16">
        <f>MAX(IF(INDEX(clean_historis!$CL:$CL,$BC16)=1,2025,0),IF(INDEX(clean_historis!$CK:$CK,$BC16)=1,2024,0),IF(INDEX(clean_historis!$CJ:$CJ,$BC16)=1,2023,0),IF(INDEX(clean_historis!$CI:$CI,$BC16)=1,2022,0),IF(INDEX(clean_historis!$CH:$CH,$BC16)=1,2021,0))</f>
        <v>0</v>
      </c>
      <c r="BH16">
        <f t="shared" si="8"/>
        <v>1</v>
      </c>
      <c r="BI16">
        <f t="shared" si="9"/>
        <v>545</v>
      </c>
      <c r="BJ16">
        <f t="shared" si="10"/>
        <v>0</v>
      </c>
      <c r="BK16">
        <f t="shared" si="11"/>
        <v>21.223299999999998</v>
      </c>
      <c r="BL16">
        <f t="shared" si="12"/>
        <v>0</v>
      </c>
      <c r="BM16">
        <f t="shared" si="13"/>
        <v>1</v>
      </c>
      <c r="BN16">
        <v>1</v>
      </c>
      <c r="BO16">
        <f t="shared" si="16"/>
        <v>0</v>
      </c>
      <c r="BP16">
        <f t="shared" si="14"/>
        <v>0</v>
      </c>
      <c r="BQ16">
        <f t="shared" si="15"/>
        <v>1</v>
      </c>
    </row>
    <row r="17" spans="1:69" x14ac:dyDescent="0.25">
      <c r="A17">
        <v>16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>
        <v>3</v>
      </c>
      <c r="H17">
        <v>3</v>
      </c>
      <c r="I17">
        <v>1790</v>
      </c>
      <c r="J17">
        <v>0</v>
      </c>
      <c r="K17">
        <v>0</v>
      </c>
      <c r="L17">
        <v>2965.8</v>
      </c>
      <c r="M17">
        <v>2977.4</v>
      </c>
      <c r="N17">
        <v>2083.4</v>
      </c>
      <c r="O17">
        <v>862.4</v>
      </c>
      <c r="P17">
        <v>3010.9</v>
      </c>
      <c r="Q17">
        <v>0</v>
      </c>
      <c r="R17">
        <v>0</v>
      </c>
      <c r="S17">
        <v>0</v>
      </c>
      <c r="T17">
        <v>0</v>
      </c>
      <c r="U17">
        <v>0</v>
      </c>
      <c r="V17">
        <v>0.83</v>
      </c>
      <c r="W17">
        <v>0</v>
      </c>
      <c r="X17">
        <v>0</v>
      </c>
      <c r="Y17">
        <v>0.82999998331069946</v>
      </c>
      <c r="Z17">
        <v>0</v>
      </c>
      <c r="AA17">
        <v>0</v>
      </c>
      <c r="AB17">
        <v>0</v>
      </c>
      <c r="AC17">
        <v>0</v>
      </c>
      <c r="AD17">
        <v>0.82999998331069946</v>
      </c>
      <c r="AE17">
        <v>0</v>
      </c>
      <c r="AF17">
        <v>0.82999998331069946</v>
      </c>
      <c r="AG17">
        <v>0</v>
      </c>
      <c r="AH17">
        <v>1</v>
      </c>
      <c r="AI17">
        <v>150</v>
      </c>
      <c r="AJ17">
        <v>0</v>
      </c>
      <c r="AK17">
        <v>0</v>
      </c>
      <c r="AL17">
        <v>0</v>
      </c>
      <c r="AM17">
        <v>0.82999998331069946</v>
      </c>
      <c r="AN17">
        <v>0</v>
      </c>
      <c r="AO17">
        <v>0</v>
      </c>
      <c r="AR17">
        <v>0</v>
      </c>
      <c r="AS17">
        <v>0</v>
      </c>
      <c r="AT17">
        <v>0</v>
      </c>
      <c r="AU17">
        <v>0</v>
      </c>
      <c r="AV17">
        <f t="shared" si="0"/>
        <v>0</v>
      </c>
      <c r="AW17">
        <f t="shared" si="1"/>
        <v>-2.010759092563319E-8</v>
      </c>
      <c r="AX17">
        <f t="shared" si="2"/>
        <v>1789.9999640074122</v>
      </c>
      <c r="AY17">
        <f t="shared" si="3"/>
        <v>0</v>
      </c>
      <c r="AZ17">
        <f t="shared" si="4"/>
        <v>0.82999998331069946</v>
      </c>
      <c r="BA17" t="str">
        <f t="shared" si="5"/>
        <v/>
      </c>
      <c r="BB17">
        <f t="shared" si="6"/>
        <v>0</v>
      </c>
      <c r="BC17">
        <f>MATCH($B17,clean_historis!$B:$B,0)</f>
        <v>17</v>
      </c>
      <c r="BD17">
        <f>IFERROR(INDEX(clean_historis!$AF:$AF,$BC17)/INDEX(clean_historis!$V:$V,$BC17),0)</f>
        <v>1</v>
      </c>
      <c r="BE17">
        <f>IFERROR(INDEX(clean_historis!$AR:$AR,$BC17)/INDEX(clean_historis!$AH:$AH,$BC17),0)</f>
        <v>1</v>
      </c>
      <c r="BF17">
        <f t="shared" si="7"/>
        <v>0.99999997989240907</v>
      </c>
      <c r="BG17">
        <f>MAX(IF(INDEX(clean_historis!$CL:$CL,$BC17)=1,2025,0),IF(INDEX(clean_historis!$CK:$CK,$BC17)=1,2024,0),IF(INDEX(clean_historis!$CJ:$CJ,$BC17)=1,2023,0),IF(INDEX(clean_historis!$CI:$CI,$BC17)=1,2022,0),IF(INDEX(clean_historis!$CH:$CH,$BC17)=1,2021,0))</f>
        <v>0</v>
      </c>
      <c r="BH17">
        <f t="shared" si="8"/>
        <v>1</v>
      </c>
      <c r="BI17">
        <f t="shared" si="9"/>
        <v>1790</v>
      </c>
      <c r="BJ17">
        <f t="shared" si="10"/>
        <v>1</v>
      </c>
      <c r="BK17">
        <f t="shared" si="11"/>
        <v>11.0375</v>
      </c>
      <c r="BL17">
        <f t="shared" si="12"/>
        <v>0</v>
      </c>
      <c r="BM17">
        <f t="shared" si="13"/>
        <v>1</v>
      </c>
      <c r="BN17">
        <v>0</v>
      </c>
      <c r="BO17">
        <f t="shared" si="16"/>
        <v>1</v>
      </c>
      <c r="BP17">
        <f t="shared" si="14"/>
        <v>0</v>
      </c>
      <c r="BQ17">
        <f t="shared" si="15"/>
        <v>1</v>
      </c>
    </row>
    <row r="18" spans="1:69" x14ac:dyDescent="0.25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105</v>
      </c>
      <c r="G18">
        <v>1</v>
      </c>
      <c r="H18">
        <v>1</v>
      </c>
      <c r="I18">
        <v>708</v>
      </c>
      <c r="J18">
        <v>0</v>
      </c>
      <c r="K18">
        <v>0</v>
      </c>
      <c r="L18">
        <v>4362.8999999999996</v>
      </c>
      <c r="M18">
        <v>4148.6000000000004</v>
      </c>
      <c r="N18">
        <v>11085.9</v>
      </c>
      <c r="O18">
        <v>532.9</v>
      </c>
      <c r="P18">
        <v>7234.7</v>
      </c>
      <c r="Q18">
        <v>0</v>
      </c>
      <c r="R18">
        <v>0</v>
      </c>
      <c r="S18">
        <v>0</v>
      </c>
      <c r="T18">
        <v>0</v>
      </c>
      <c r="U18">
        <v>0</v>
      </c>
      <c r="V18">
        <v>1.1100000000000001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2</v>
      </c>
      <c r="AP18">
        <v>2023</v>
      </c>
      <c r="AQ18">
        <v>3</v>
      </c>
      <c r="AR18">
        <v>1</v>
      </c>
      <c r="AS18">
        <v>0</v>
      </c>
      <c r="AT18">
        <v>1</v>
      </c>
      <c r="AU18">
        <v>0</v>
      </c>
      <c r="AV18">
        <f t="shared" si="0"/>
        <v>0</v>
      </c>
      <c r="AW18">
        <f t="shared" si="1"/>
        <v>-1</v>
      </c>
      <c r="AX18">
        <f t="shared" si="2"/>
        <v>0</v>
      </c>
      <c r="AY18">
        <f t="shared" si="3"/>
        <v>0</v>
      </c>
      <c r="AZ18">
        <f t="shared" si="4"/>
        <v>0</v>
      </c>
      <c r="BA18" t="str">
        <f t="shared" si="5"/>
        <v/>
      </c>
      <c r="BB18">
        <f t="shared" si="6"/>
        <v>0</v>
      </c>
      <c r="BC18">
        <f>MATCH($B18,clean_historis!$B:$B,0)</f>
        <v>18</v>
      </c>
      <c r="BD18">
        <f>IFERROR(INDEX(clean_historis!$AF:$AF,$BC18)/INDEX(clean_historis!$V:$V,$BC18),0)</f>
        <v>1</v>
      </c>
      <c r="BE18">
        <f>IFERROR(INDEX(clean_historis!$AR:$AR,$BC18)/INDEX(clean_historis!$AH:$AH,$BC18),0)</f>
        <v>1</v>
      </c>
      <c r="BF18">
        <f t="shared" si="7"/>
        <v>0</v>
      </c>
      <c r="BG18">
        <f>MAX(IF(INDEX(clean_historis!$CL:$CL,$BC18)=1,2025,0),IF(INDEX(clean_historis!$CK:$CK,$BC18)=1,2024,0),IF(INDEX(clean_historis!$CJ:$CJ,$BC18)=1,2023,0),IF(INDEX(clean_historis!$CI:$CI,$BC18)=1,2022,0),IF(INDEX(clean_historis!$CH:$CH,$BC18)=1,2021,0))</f>
        <v>0</v>
      </c>
      <c r="BH18">
        <f t="shared" si="8"/>
        <v>1</v>
      </c>
      <c r="BI18">
        <f t="shared" si="9"/>
        <v>708</v>
      </c>
      <c r="BJ18">
        <f t="shared" si="10"/>
        <v>0</v>
      </c>
      <c r="BK18">
        <f t="shared" si="11"/>
        <v>26.832099999999997</v>
      </c>
      <c r="BL18">
        <f t="shared" si="12"/>
        <v>0</v>
      </c>
      <c r="BM18">
        <f t="shared" si="13"/>
        <v>0</v>
      </c>
      <c r="BN18">
        <v>0</v>
      </c>
      <c r="BO18">
        <f t="shared" si="16"/>
        <v>0</v>
      </c>
      <c r="BP18">
        <f t="shared" si="14"/>
        <v>1</v>
      </c>
      <c r="BQ18">
        <f t="shared" si="15"/>
        <v>1</v>
      </c>
    </row>
    <row r="19" spans="1:69" x14ac:dyDescent="0.25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>
        <v>2</v>
      </c>
      <c r="H19">
        <v>1</v>
      </c>
      <c r="I19">
        <v>797</v>
      </c>
      <c r="J19">
        <v>0</v>
      </c>
      <c r="K19">
        <v>0</v>
      </c>
      <c r="L19">
        <v>7415</v>
      </c>
      <c r="M19">
        <v>4953</v>
      </c>
      <c r="N19">
        <v>8268.7000000000007</v>
      </c>
      <c r="O19">
        <v>979.8</v>
      </c>
      <c r="P19">
        <v>12484.5</v>
      </c>
      <c r="Q19">
        <v>0</v>
      </c>
      <c r="R19">
        <v>0</v>
      </c>
      <c r="S19">
        <v>0</v>
      </c>
      <c r="T19">
        <v>0</v>
      </c>
      <c r="U19">
        <v>0</v>
      </c>
      <c r="V19">
        <v>1.02</v>
      </c>
      <c r="W19">
        <v>1.0199999809265139</v>
      </c>
      <c r="X19">
        <v>0</v>
      </c>
      <c r="Y19">
        <v>0</v>
      </c>
      <c r="Z19">
        <v>0</v>
      </c>
      <c r="AA19">
        <v>1.0199999809265139</v>
      </c>
      <c r="AB19">
        <v>0</v>
      </c>
      <c r="AC19">
        <v>0</v>
      </c>
      <c r="AD19">
        <v>0</v>
      </c>
      <c r="AE19">
        <v>1.0199999809265139</v>
      </c>
      <c r="AF19">
        <v>0</v>
      </c>
      <c r="AG19">
        <v>1</v>
      </c>
      <c r="AH19">
        <v>0</v>
      </c>
      <c r="AI19">
        <v>150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2022</v>
      </c>
      <c r="AQ19">
        <v>4</v>
      </c>
      <c r="AR19">
        <v>0</v>
      </c>
      <c r="AS19">
        <v>0</v>
      </c>
      <c r="AT19">
        <v>0</v>
      </c>
      <c r="AU19">
        <v>1</v>
      </c>
      <c r="AV19">
        <f t="shared" si="0"/>
        <v>0</v>
      </c>
      <c r="AW19">
        <f t="shared" si="1"/>
        <v>-1</v>
      </c>
      <c r="AX19">
        <f t="shared" si="2"/>
        <v>0</v>
      </c>
      <c r="AY19">
        <f t="shared" si="3"/>
        <v>0</v>
      </c>
      <c r="AZ19">
        <f t="shared" si="4"/>
        <v>0</v>
      </c>
      <c r="BA19" t="str">
        <f t="shared" si="5"/>
        <v/>
      </c>
      <c r="BB19">
        <f t="shared" si="6"/>
        <v>1</v>
      </c>
      <c r="BC19">
        <f>MATCH($B19,clean_historis!$B:$B,0)</f>
        <v>19</v>
      </c>
      <c r="BD19">
        <f>IFERROR(INDEX(clean_historis!$AF:$AF,$BC19)/INDEX(clean_historis!$V:$V,$BC19),0)</f>
        <v>1</v>
      </c>
      <c r="BE19">
        <f>IFERROR(INDEX(clean_historis!$AR:$AR,$BC19)/INDEX(clean_historis!$AH:$AH,$BC19),0)</f>
        <v>1</v>
      </c>
      <c r="BF19">
        <f t="shared" si="7"/>
        <v>0</v>
      </c>
      <c r="BG19">
        <f>MAX(IF(INDEX(clean_historis!$CL:$CL,$BC19)=1,2025,0),IF(INDEX(clean_historis!$CK:$CK,$BC19)=1,2024,0),IF(INDEX(clean_historis!$CJ:$CJ,$BC19)=1,2023,0),IF(INDEX(clean_historis!$CI:$CI,$BC19)=1,2022,0),IF(INDEX(clean_historis!$CH:$CH,$BC19)=1,2021,0))</f>
        <v>0</v>
      </c>
      <c r="BH19">
        <f t="shared" si="8"/>
        <v>0</v>
      </c>
      <c r="BI19">
        <f t="shared" si="9"/>
        <v>0</v>
      </c>
      <c r="BJ19">
        <f t="shared" si="10"/>
        <v>0</v>
      </c>
      <c r="BK19">
        <f t="shared" si="11"/>
        <v>33.121199999999995</v>
      </c>
      <c r="BL19">
        <f t="shared" si="12"/>
        <v>0</v>
      </c>
      <c r="BM19">
        <f t="shared" si="13"/>
        <v>0</v>
      </c>
      <c r="BN19">
        <v>0</v>
      </c>
      <c r="BO19">
        <f t="shared" si="16"/>
        <v>0</v>
      </c>
      <c r="BP19">
        <f t="shared" si="14"/>
        <v>1</v>
      </c>
      <c r="BQ19">
        <f t="shared" si="15"/>
        <v>0</v>
      </c>
    </row>
    <row r="20" spans="1:69" x14ac:dyDescent="0.25">
      <c r="A20">
        <v>19</v>
      </c>
      <c r="B20" t="s">
        <v>177</v>
      </c>
      <c r="C20" t="s">
        <v>178</v>
      </c>
      <c r="D20" t="s">
        <v>179</v>
      </c>
      <c r="E20" t="s">
        <v>180</v>
      </c>
      <c r="F20" t="s">
        <v>105</v>
      </c>
      <c r="G20">
        <v>1</v>
      </c>
      <c r="H20">
        <v>1</v>
      </c>
      <c r="I20">
        <v>682</v>
      </c>
      <c r="J20">
        <v>0</v>
      </c>
      <c r="K20">
        <v>0</v>
      </c>
      <c r="L20">
        <v>2565.8000000000002</v>
      </c>
      <c r="M20">
        <v>3045</v>
      </c>
      <c r="N20">
        <v>3705.6</v>
      </c>
      <c r="O20">
        <v>527.9</v>
      </c>
      <c r="P20">
        <v>5104.2</v>
      </c>
      <c r="Q20">
        <v>0</v>
      </c>
      <c r="R20">
        <v>0</v>
      </c>
      <c r="S20">
        <v>0</v>
      </c>
      <c r="T20">
        <v>0</v>
      </c>
      <c r="U20">
        <v>0</v>
      </c>
      <c r="V20">
        <v>0.47</v>
      </c>
      <c r="W20">
        <v>0</v>
      </c>
      <c r="X20">
        <v>0</v>
      </c>
      <c r="Y20">
        <v>0.4699999988079071</v>
      </c>
      <c r="Z20">
        <v>0</v>
      </c>
      <c r="AA20">
        <v>0.10000000149011611</v>
      </c>
      <c r="AB20">
        <v>0.37000000476837158</v>
      </c>
      <c r="AC20">
        <v>0</v>
      </c>
      <c r="AD20">
        <v>0</v>
      </c>
      <c r="AE20">
        <v>0.4700000062584877</v>
      </c>
      <c r="AF20">
        <v>0</v>
      </c>
      <c r="AG20">
        <v>1</v>
      </c>
      <c r="AH20">
        <v>0</v>
      </c>
      <c r="AI20">
        <v>150</v>
      </c>
      <c r="AJ20">
        <v>0.10000000149011611</v>
      </c>
      <c r="AK20">
        <v>0.37000000476837158</v>
      </c>
      <c r="AL20">
        <v>0</v>
      </c>
      <c r="AM20">
        <v>0</v>
      </c>
      <c r="AN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f t="shared" si="0"/>
        <v>0</v>
      </c>
      <c r="AW20">
        <f t="shared" si="1"/>
        <v>0</v>
      </c>
      <c r="AX20">
        <f t="shared" si="2"/>
        <v>0</v>
      </c>
      <c r="AY20">
        <f t="shared" si="3"/>
        <v>0</v>
      </c>
      <c r="AZ20">
        <f t="shared" si="4"/>
        <v>0</v>
      </c>
      <c r="BA20" t="str">
        <f t="shared" si="5"/>
        <v/>
      </c>
      <c r="BB20">
        <f t="shared" si="6"/>
        <v>1</v>
      </c>
      <c r="BC20">
        <f>MATCH($B20,clean_historis!$B:$B,0)</f>
        <v>20</v>
      </c>
      <c r="BD20">
        <f>IFERROR(INDEX(clean_historis!$AF:$AF,$BC20)/INDEX(clean_historis!$V:$V,$BC20),0)</f>
        <v>0</v>
      </c>
      <c r="BE20">
        <f>IFERROR(INDEX(clean_historis!$AR:$AR,$BC20)/INDEX(clean_historis!$AH:$AH,$BC20),0)</f>
        <v>0</v>
      </c>
      <c r="BF20">
        <f t="shared" si="7"/>
        <v>0</v>
      </c>
      <c r="BG20">
        <f>MAX(IF(INDEX(clean_historis!$CL:$CL,$BC20)=1,2025,0),IF(INDEX(clean_historis!$CK:$CK,$BC20)=1,2024,0),IF(INDEX(clean_historis!$CJ:$CJ,$BC20)=1,2023,0),IF(INDEX(clean_historis!$CI:$CI,$BC20)=1,2022,0),IF(INDEX(clean_historis!$CH:$CH,$BC20)=1,2021,0))</f>
        <v>0</v>
      </c>
      <c r="BH20">
        <f t="shared" si="8"/>
        <v>0</v>
      </c>
      <c r="BI20">
        <f t="shared" si="9"/>
        <v>0</v>
      </c>
      <c r="BJ20">
        <f t="shared" si="10"/>
        <v>0</v>
      </c>
      <c r="BK20">
        <f t="shared" si="11"/>
        <v>14.4206</v>
      </c>
      <c r="BL20">
        <f t="shared" si="12"/>
        <v>0</v>
      </c>
      <c r="BM20">
        <f t="shared" si="13"/>
        <v>0</v>
      </c>
      <c r="BN20">
        <v>0</v>
      </c>
      <c r="BO20">
        <f t="shared" si="16"/>
        <v>1</v>
      </c>
      <c r="BP20">
        <f t="shared" si="14"/>
        <v>0</v>
      </c>
      <c r="BQ20">
        <f t="shared" si="15"/>
        <v>1</v>
      </c>
    </row>
    <row r="21" spans="1:69" x14ac:dyDescent="0.25">
      <c r="A21">
        <v>20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>
        <v>1</v>
      </c>
      <c r="H21">
        <v>1</v>
      </c>
      <c r="I21">
        <v>426</v>
      </c>
      <c r="J21">
        <v>0</v>
      </c>
      <c r="K21">
        <v>0</v>
      </c>
      <c r="O21">
        <v>612</v>
      </c>
      <c r="Q21">
        <v>1</v>
      </c>
      <c r="R21">
        <v>1</v>
      </c>
      <c r="S21">
        <v>1</v>
      </c>
      <c r="T21">
        <v>1</v>
      </c>
      <c r="U21">
        <v>0</v>
      </c>
      <c r="V21">
        <v>3.1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150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R21">
        <v>0</v>
      </c>
      <c r="AS21">
        <v>0</v>
      </c>
      <c r="AT21">
        <v>0</v>
      </c>
      <c r="AU21">
        <v>0</v>
      </c>
      <c r="AV21">
        <f t="shared" si="0"/>
        <v>2.2204460492503131E-16</v>
      </c>
      <c r="AW21">
        <f t="shared" si="1"/>
        <v>-1.0000000000000002</v>
      </c>
      <c r="AX21">
        <f t="shared" si="2"/>
        <v>0</v>
      </c>
      <c r="AY21">
        <f t="shared" si="3"/>
        <v>4</v>
      </c>
      <c r="AZ21">
        <f t="shared" si="4"/>
        <v>0</v>
      </c>
      <c r="BA21" t="str">
        <f t="shared" si="5"/>
        <v/>
      </c>
      <c r="BB21">
        <f t="shared" si="6"/>
        <v>0</v>
      </c>
      <c r="BC21">
        <f>MATCH($B21,clean_historis!$B:$B,0)</f>
        <v>21</v>
      </c>
      <c r="BD21">
        <f>IFERROR(INDEX(clean_historis!$AF:$AF,$BC21)/INDEX(clean_historis!$V:$V,$BC21),0)</f>
        <v>1</v>
      </c>
      <c r="BE21">
        <f>IFERROR(INDEX(clean_historis!$AR:$AR,$BC21)/INDEX(clean_historis!$AH:$AH,$BC21),0)</f>
        <v>1.0000000000000002</v>
      </c>
      <c r="BF21">
        <f t="shared" si="7"/>
        <v>0</v>
      </c>
      <c r="BG21">
        <f>MAX(IF(INDEX(clean_historis!$CL:$CL,$BC21)=1,2025,0),IF(INDEX(clean_historis!$CK:$CK,$BC21)=1,2024,0),IF(INDEX(clean_historis!$CJ:$CJ,$BC21)=1,2023,0),IF(INDEX(clean_historis!$CI:$CI,$BC21)=1,2022,0),IF(INDEX(clean_historis!$CH:$CH,$BC21)=1,2021,0))</f>
        <v>0</v>
      </c>
      <c r="BH21">
        <f t="shared" si="8"/>
        <v>1</v>
      </c>
      <c r="BI21">
        <f t="shared" si="9"/>
        <v>426</v>
      </c>
      <c r="BJ21">
        <f t="shared" si="10"/>
        <v>0</v>
      </c>
      <c r="BK21">
        <f t="shared" si="11"/>
        <v>0</v>
      </c>
      <c r="BL21">
        <f t="shared" si="12"/>
        <v>0</v>
      </c>
      <c r="BM21">
        <f t="shared" si="13"/>
        <v>0</v>
      </c>
      <c r="BN21">
        <v>0</v>
      </c>
      <c r="BO21">
        <f t="shared" si="16"/>
        <v>0</v>
      </c>
      <c r="BP21">
        <f t="shared" si="14"/>
        <v>0</v>
      </c>
      <c r="BQ21">
        <f t="shared" si="15"/>
        <v>1</v>
      </c>
    </row>
    <row r="22" spans="1:69" x14ac:dyDescent="0.25">
      <c r="A22">
        <v>21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>
        <v>4</v>
      </c>
      <c r="H22">
        <v>1</v>
      </c>
      <c r="I22">
        <v>960</v>
      </c>
      <c r="J22">
        <v>0</v>
      </c>
      <c r="K22">
        <v>0</v>
      </c>
      <c r="L22">
        <v>10210.5</v>
      </c>
      <c r="M22">
        <v>7816.6</v>
      </c>
      <c r="N22">
        <v>20724.2</v>
      </c>
      <c r="O22">
        <v>161.6</v>
      </c>
      <c r="P22">
        <v>22103.7</v>
      </c>
      <c r="Q22">
        <v>0</v>
      </c>
      <c r="R22">
        <v>0</v>
      </c>
      <c r="S22">
        <v>0</v>
      </c>
      <c r="T22">
        <v>0</v>
      </c>
      <c r="U22">
        <v>0</v>
      </c>
      <c r="V22">
        <v>9.7100000000000009</v>
      </c>
      <c r="W22">
        <v>0</v>
      </c>
      <c r="X22">
        <v>0</v>
      </c>
      <c r="Y22">
        <v>7.3000001907348633</v>
      </c>
      <c r="Z22">
        <v>0</v>
      </c>
      <c r="AA22">
        <v>6.5999999046325684</v>
      </c>
      <c r="AB22">
        <v>0.69999998807907104</v>
      </c>
      <c r="AC22">
        <v>0</v>
      </c>
      <c r="AD22">
        <v>0</v>
      </c>
      <c r="AE22">
        <v>7.2999998927116394</v>
      </c>
      <c r="AF22">
        <v>0</v>
      </c>
      <c r="AG22">
        <v>1</v>
      </c>
      <c r="AH22">
        <v>0</v>
      </c>
      <c r="AI22">
        <v>150</v>
      </c>
      <c r="AJ22">
        <v>6.5999999046325684</v>
      </c>
      <c r="AK22">
        <v>0.69999998807907104</v>
      </c>
      <c r="AL22">
        <v>0</v>
      </c>
      <c r="AM22">
        <v>0</v>
      </c>
      <c r="AN22">
        <v>1</v>
      </c>
      <c r="AO22">
        <v>1</v>
      </c>
      <c r="AP22">
        <v>2022</v>
      </c>
      <c r="AQ22">
        <v>4</v>
      </c>
      <c r="AR22">
        <v>0</v>
      </c>
      <c r="AS22">
        <v>0</v>
      </c>
      <c r="AT22">
        <v>0</v>
      </c>
      <c r="AU22">
        <v>0</v>
      </c>
      <c r="AV22">
        <f t="shared" si="0"/>
        <v>8.3266726846886741E-17</v>
      </c>
      <c r="AW22">
        <f t="shared" si="1"/>
        <v>-0.24819773429454178</v>
      </c>
      <c r="AX22">
        <f t="shared" si="2"/>
        <v>0</v>
      </c>
      <c r="AY22">
        <f t="shared" si="3"/>
        <v>0</v>
      </c>
      <c r="AZ22">
        <f t="shared" si="4"/>
        <v>0</v>
      </c>
      <c r="BA22">
        <f t="shared" si="5"/>
        <v>3</v>
      </c>
      <c r="BB22">
        <f t="shared" si="6"/>
        <v>1</v>
      </c>
      <c r="BC22">
        <f>MATCH($B22,clean_historis!$B:$B,0)</f>
        <v>22</v>
      </c>
      <c r="BD22">
        <f>IFERROR(INDEX(clean_historis!$AF:$AF,$BC22)/INDEX(clean_historis!$V:$V,$BC22),0)</f>
        <v>0.2481977342945417</v>
      </c>
      <c r="BE22">
        <f>IFERROR(INDEX(clean_historis!$AR:$AR,$BC22)/INDEX(clean_historis!$AH:$AH,$BC22),0)</f>
        <v>0.24819773429454178</v>
      </c>
      <c r="BF22">
        <f t="shared" si="7"/>
        <v>0</v>
      </c>
      <c r="BG22">
        <f>MAX(IF(INDEX(clean_historis!$CL:$CL,$BC22)=1,2025,0),IF(INDEX(clean_historis!$CK:$CK,$BC22)=1,2024,0),IF(INDEX(clean_historis!$CJ:$CJ,$BC22)=1,2023,0),IF(INDEX(clean_historis!$CI:$CI,$BC22)=1,2022,0),IF(INDEX(clean_historis!$CH:$CH,$BC22)=1,2021,0))</f>
        <v>2022</v>
      </c>
      <c r="BH22">
        <f t="shared" si="8"/>
        <v>0</v>
      </c>
      <c r="BI22">
        <f t="shared" si="9"/>
        <v>0</v>
      </c>
      <c r="BJ22">
        <f t="shared" si="10"/>
        <v>0</v>
      </c>
      <c r="BK22">
        <f t="shared" si="11"/>
        <v>60.854999999999997</v>
      </c>
      <c r="BL22">
        <f t="shared" si="12"/>
        <v>0</v>
      </c>
      <c r="BM22">
        <f t="shared" si="13"/>
        <v>0</v>
      </c>
      <c r="BN22">
        <v>0</v>
      </c>
      <c r="BO22">
        <f t="shared" si="16"/>
        <v>0</v>
      </c>
      <c r="BP22">
        <f t="shared" si="14"/>
        <v>1</v>
      </c>
      <c r="BQ22">
        <f t="shared" si="15"/>
        <v>0</v>
      </c>
    </row>
    <row r="23" spans="1:69" x14ac:dyDescent="0.25">
      <c r="A23">
        <v>22</v>
      </c>
      <c r="B23" t="s">
        <v>191</v>
      </c>
      <c r="C23" t="s">
        <v>192</v>
      </c>
      <c r="D23" t="s">
        <v>193</v>
      </c>
      <c r="E23" t="s">
        <v>194</v>
      </c>
      <c r="F23" t="s">
        <v>100</v>
      </c>
      <c r="G23">
        <v>1</v>
      </c>
      <c r="H23">
        <v>1</v>
      </c>
      <c r="I23">
        <v>1874</v>
      </c>
      <c r="J23">
        <v>0</v>
      </c>
      <c r="K23">
        <v>1</v>
      </c>
      <c r="L23">
        <v>2675.7</v>
      </c>
      <c r="M23">
        <v>2608.4</v>
      </c>
      <c r="N23">
        <v>4437.3999999999996</v>
      </c>
      <c r="O23">
        <v>935.9</v>
      </c>
      <c r="P23">
        <v>2574.5</v>
      </c>
      <c r="Q23">
        <v>0</v>
      </c>
      <c r="R23">
        <v>0</v>
      </c>
      <c r="S23">
        <v>0</v>
      </c>
      <c r="T23">
        <v>0</v>
      </c>
      <c r="U23">
        <v>0</v>
      </c>
      <c r="V23">
        <v>1.42</v>
      </c>
      <c r="W23">
        <v>0</v>
      </c>
      <c r="X23">
        <v>0</v>
      </c>
      <c r="Y23">
        <v>1.200000047683716</v>
      </c>
      <c r="Z23">
        <v>0</v>
      </c>
      <c r="AA23">
        <v>0</v>
      </c>
      <c r="AB23">
        <v>0.30000001192092901</v>
      </c>
      <c r="AC23">
        <v>0.30000001192092901</v>
      </c>
      <c r="AD23">
        <v>0.60000002384185791</v>
      </c>
      <c r="AE23">
        <v>0.30000001192092901</v>
      </c>
      <c r="AF23">
        <v>0.90000003576278687</v>
      </c>
      <c r="AG23">
        <v>0.25</v>
      </c>
      <c r="AH23">
        <v>0.75</v>
      </c>
      <c r="AI23">
        <v>150</v>
      </c>
      <c r="AJ23">
        <v>0</v>
      </c>
      <c r="AK23">
        <v>0.30000001192092901</v>
      </c>
      <c r="AL23">
        <v>0.30000001192092901</v>
      </c>
      <c r="AM23">
        <v>0.60000002384185791</v>
      </c>
      <c r="AN23">
        <v>1</v>
      </c>
      <c r="AO23">
        <v>2</v>
      </c>
      <c r="AP23">
        <v>2025</v>
      </c>
      <c r="AQ23">
        <v>1</v>
      </c>
      <c r="AR23">
        <v>0</v>
      </c>
      <c r="AS23">
        <v>0</v>
      </c>
      <c r="AT23">
        <v>0</v>
      </c>
      <c r="AU23">
        <v>0</v>
      </c>
      <c r="AV23">
        <f t="shared" si="0"/>
        <v>0</v>
      </c>
      <c r="AW23">
        <f t="shared" si="1"/>
        <v>0.26760565059285768</v>
      </c>
      <c r="AX23">
        <f t="shared" si="2"/>
        <v>791.83101738002938</v>
      </c>
      <c r="AY23">
        <f t="shared" si="3"/>
        <v>0</v>
      </c>
      <c r="AZ23">
        <f t="shared" si="4"/>
        <v>0.60000002384185791</v>
      </c>
      <c r="BA23" t="str">
        <f t="shared" si="5"/>
        <v/>
      </c>
      <c r="BB23">
        <f t="shared" si="6"/>
        <v>0.25</v>
      </c>
      <c r="BC23">
        <f>MATCH($B23,clean_historis!$B:$B,0)</f>
        <v>23</v>
      </c>
      <c r="BD23">
        <f>IFERROR(INDEX(clean_historis!$AF:$AF,$BC23)/INDEX(clean_historis!$V:$V,$BC23),0)</f>
        <v>0.15492957746478875</v>
      </c>
      <c r="BE23">
        <f>IFERROR(INDEX(clean_historis!$AR:$AR,$BC23)/INDEX(clean_historis!$AH:$AH,$BC23),0)</f>
        <v>0.15492957746478875</v>
      </c>
      <c r="BF23">
        <f t="shared" si="7"/>
        <v>0.42253522805764643</v>
      </c>
      <c r="BG23">
        <f>MAX(IF(INDEX(clean_historis!$CL:$CL,$BC23)=1,2025,0),IF(INDEX(clean_historis!$CK:$CK,$BC23)=1,2024,0),IF(INDEX(clean_historis!$CJ:$CJ,$BC23)=1,2023,0),IF(INDEX(clean_historis!$CI:$CI,$BC23)=1,2022,0),IF(INDEX(clean_historis!$CH:$CH,$BC23)=1,2021,0))</f>
        <v>0</v>
      </c>
      <c r="BH23">
        <f t="shared" si="8"/>
        <v>0.75</v>
      </c>
      <c r="BI23">
        <f t="shared" si="9"/>
        <v>1405.5</v>
      </c>
      <c r="BJ23">
        <f t="shared" si="10"/>
        <v>1</v>
      </c>
      <c r="BK23">
        <f t="shared" si="11"/>
        <v>12.295999999999998</v>
      </c>
      <c r="BL23">
        <f t="shared" si="12"/>
        <v>0</v>
      </c>
      <c r="BM23">
        <f t="shared" si="13"/>
        <v>1</v>
      </c>
      <c r="BN23">
        <v>0</v>
      </c>
      <c r="BO23">
        <f t="shared" si="16"/>
        <v>0</v>
      </c>
      <c r="BP23">
        <f t="shared" si="14"/>
        <v>1</v>
      </c>
      <c r="BQ23">
        <f t="shared" si="15"/>
        <v>1</v>
      </c>
    </row>
    <row r="24" spans="1:69" x14ac:dyDescent="0.25">
      <c r="A24">
        <v>23</v>
      </c>
      <c r="B24" t="s">
        <v>195</v>
      </c>
      <c r="C24" t="s">
        <v>196</v>
      </c>
      <c r="D24" t="s">
        <v>197</v>
      </c>
      <c r="E24" t="s">
        <v>198</v>
      </c>
      <c r="F24" t="s">
        <v>185</v>
      </c>
      <c r="G24">
        <v>2</v>
      </c>
      <c r="H24">
        <v>1</v>
      </c>
      <c r="I24">
        <v>734</v>
      </c>
      <c r="J24">
        <v>0</v>
      </c>
      <c r="K24">
        <v>0</v>
      </c>
      <c r="L24">
        <v>3635.1</v>
      </c>
      <c r="M24">
        <v>1570.2</v>
      </c>
      <c r="N24">
        <v>17922.5</v>
      </c>
      <c r="O24">
        <v>1051.0999999999999</v>
      </c>
      <c r="Q24">
        <v>1</v>
      </c>
      <c r="R24">
        <v>0</v>
      </c>
      <c r="S24">
        <v>0</v>
      </c>
      <c r="T24">
        <v>0</v>
      </c>
      <c r="U24">
        <v>0</v>
      </c>
      <c r="V24">
        <v>7.58</v>
      </c>
      <c r="W24">
        <v>0</v>
      </c>
      <c r="X24">
        <v>0</v>
      </c>
      <c r="Y24">
        <v>3</v>
      </c>
      <c r="Z24">
        <v>0</v>
      </c>
      <c r="AA24">
        <v>2.0999999046325679</v>
      </c>
      <c r="AB24">
        <v>0.40000000596046448</v>
      </c>
      <c r="AC24">
        <v>0.10000000149011611</v>
      </c>
      <c r="AD24">
        <v>0.40000000596046448</v>
      </c>
      <c r="AE24">
        <v>2.4999999105930328</v>
      </c>
      <c r="AF24">
        <v>0.5000000074505806</v>
      </c>
      <c r="AG24">
        <v>0.83333332629667367</v>
      </c>
      <c r="AH24">
        <v>0.1666666737033263</v>
      </c>
      <c r="AI24">
        <v>150</v>
      </c>
      <c r="AJ24">
        <v>2.0999999046325679</v>
      </c>
      <c r="AK24">
        <v>0.40000000596046448</v>
      </c>
      <c r="AL24">
        <v>0.10000000149011611</v>
      </c>
      <c r="AM24">
        <v>0.40000000596046448</v>
      </c>
      <c r="AN24">
        <v>1</v>
      </c>
      <c r="AO24">
        <v>2</v>
      </c>
      <c r="AP24">
        <v>2025</v>
      </c>
      <c r="AQ24">
        <v>1</v>
      </c>
      <c r="AR24">
        <v>1</v>
      </c>
      <c r="AS24">
        <v>0</v>
      </c>
      <c r="AT24">
        <v>1</v>
      </c>
      <c r="AU24">
        <v>0</v>
      </c>
      <c r="AV24">
        <f t="shared" si="0"/>
        <v>6.5963060686015651E-2</v>
      </c>
      <c r="AW24">
        <f t="shared" si="1"/>
        <v>-0.60422163509756388</v>
      </c>
      <c r="AX24">
        <f t="shared" si="2"/>
        <v>38.733509812002758</v>
      </c>
      <c r="AY24">
        <f t="shared" si="3"/>
        <v>1</v>
      </c>
      <c r="AZ24">
        <f t="shared" si="4"/>
        <v>0.40000000596046448</v>
      </c>
      <c r="BA24">
        <f t="shared" si="5"/>
        <v>0</v>
      </c>
      <c r="BB24">
        <f t="shared" si="6"/>
        <v>0.83333332629667367</v>
      </c>
      <c r="BC24">
        <f>MATCH($B24,clean_historis!$B:$B,0)</f>
        <v>24</v>
      </c>
      <c r="BD24">
        <f>IFERROR(INDEX(clean_historis!$AF:$AF,$BC24)/INDEX(clean_historis!$V:$V,$BC24),0)</f>
        <v>0.59102902374670185</v>
      </c>
      <c r="BE24">
        <f>IFERROR(INDEX(clean_historis!$AR:$AR,$BC24)/INDEX(clean_historis!$AH:$AH,$BC24),0)</f>
        <v>0.6569920844327175</v>
      </c>
      <c r="BF24">
        <f t="shared" si="7"/>
        <v>5.2770449335153624E-2</v>
      </c>
      <c r="BG24">
        <f>MAX(IF(INDEX(clean_historis!$CL:$CL,$BC24)=1,2025,0),IF(INDEX(clean_historis!$CK:$CK,$BC24)=1,2024,0),IF(INDEX(clean_historis!$CJ:$CJ,$BC24)=1,2023,0),IF(INDEX(clean_historis!$CI:$CI,$BC24)=1,2022,0),IF(INDEX(clean_historis!$CH:$CH,$BC24)=1,2021,0))</f>
        <v>2025</v>
      </c>
      <c r="BH24">
        <f t="shared" si="8"/>
        <v>0.16666667370332633</v>
      </c>
      <c r="BI24">
        <f t="shared" si="9"/>
        <v>122.33333849824153</v>
      </c>
      <c r="BJ24">
        <f t="shared" si="10"/>
        <v>0</v>
      </c>
      <c r="BK24">
        <f t="shared" si="11"/>
        <v>23.127800000000001</v>
      </c>
      <c r="BL24">
        <f t="shared" si="12"/>
        <v>0</v>
      </c>
      <c r="BM24">
        <f t="shared" si="13"/>
        <v>0</v>
      </c>
      <c r="BN24">
        <v>0</v>
      </c>
      <c r="BO24">
        <f t="shared" si="16"/>
        <v>0</v>
      </c>
      <c r="BP24">
        <f t="shared" si="14"/>
        <v>1</v>
      </c>
      <c r="BQ24">
        <f t="shared" si="15"/>
        <v>0</v>
      </c>
    </row>
    <row r="25" spans="1:69" x14ac:dyDescent="0.25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>
        <v>4</v>
      </c>
      <c r="H25">
        <v>2</v>
      </c>
      <c r="I25">
        <v>2506</v>
      </c>
      <c r="J25">
        <v>1</v>
      </c>
      <c r="K25">
        <v>1</v>
      </c>
      <c r="L25">
        <v>1752.4</v>
      </c>
      <c r="M25">
        <v>2792.8</v>
      </c>
      <c r="N25">
        <v>8362.7000000000007</v>
      </c>
      <c r="O25">
        <v>1550.7</v>
      </c>
      <c r="P25">
        <v>6499.8</v>
      </c>
      <c r="Q25">
        <v>0</v>
      </c>
      <c r="R25">
        <v>0</v>
      </c>
      <c r="S25">
        <v>0</v>
      </c>
      <c r="T25">
        <v>0</v>
      </c>
      <c r="U25">
        <v>0</v>
      </c>
      <c r="V25">
        <v>3.03</v>
      </c>
      <c r="W25">
        <v>0</v>
      </c>
      <c r="X25">
        <v>0</v>
      </c>
      <c r="Y25">
        <v>3.029999971389771</v>
      </c>
      <c r="Z25">
        <v>0</v>
      </c>
      <c r="AA25">
        <v>1</v>
      </c>
      <c r="AB25">
        <v>1.129999995231628</v>
      </c>
      <c r="AC25">
        <v>0.89999997615814209</v>
      </c>
      <c r="AD25">
        <v>0</v>
      </c>
      <c r="AE25">
        <v>2.129999995231628</v>
      </c>
      <c r="AF25">
        <v>0.89999997615814209</v>
      </c>
      <c r="AG25">
        <v>0.70297030209365352</v>
      </c>
      <c r="AH25">
        <v>0.29702969790634648</v>
      </c>
      <c r="AI25">
        <v>150</v>
      </c>
      <c r="AJ25">
        <v>1</v>
      </c>
      <c r="AK25">
        <v>1.129999995231628</v>
      </c>
      <c r="AL25">
        <v>0.89999997615814209</v>
      </c>
      <c r="AM25">
        <v>0</v>
      </c>
      <c r="AN25">
        <v>1</v>
      </c>
      <c r="AO25">
        <v>2</v>
      </c>
      <c r="AP25">
        <v>2023</v>
      </c>
      <c r="AQ25">
        <v>3</v>
      </c>
      <c r="AR25">
        <v>0</v>
      </c>
      <c r="AS25">
        <v>0</v>
      </c>
      <c r="AT25">
        <v>0</v>
      </c>
      <c r="AU25">
        <v>0</v>
      </c>
      <c r="AV25">
        <f t="shared" si="0"/>
        <v>0</v>
      </c>
      <c r="AW25">
        <f t="shared" si="1"/>
        <v>0</v>
      </c>
      <c r="AX25">
        <f t="shared" si="2"/>
        <v>0</v>
      </c>
      <c r="AY25">
        <f t="shared" si="3"/>
        <v>0</v>
      </c>
      <c r="AZ25">
        <f t="shared" si="4"/>
        <v>0</v>
      </c>
      <c r="BA25">
        <f t="shared" si="5"/>
        <v>2</v>
      </c>
      <c r="BB25">
        <f t="shared" si="6"/>
        <v>0.70297030209365352</v>
      </c>
      <c r="BC25">
        <f>MATCH($B25,clean_historis!$B:$B,0)</f>
        <v>25</v>
      </c>
      <c r="BD25">
        <f>IFERROR(INDEX(clean_historis!$AF:$AF,$BC25)/INDEX(clean_historis!$V:$V,$BC25),0)</f>
        <v>0</v>
      </c>
      <c r="BE25">
        <f>IFERROR(INDEX(clean_historis!$AR:$AR,$BC25)/INDEX(clean_historis!$AH:$AH,$BC25),0)</f>
        <v>0</v>
      </c>
      <c r="BF25">
        <f t="shared" si="7"/>
        <v>0</v>
      </c>
      <c r="BG25">
        <f>MAX(IF(INDEX(clean_historis!$CL:$CL,$BC25)=1,2025,0),IF(INDEX(clean_historis!$CK:$CK,$BC25)=1,2024,0),IF(INDEX(clean_historis!$CJ:$CJ,$BC25)=1,2023,0),IF(INDEX(clean_historis!$CI:$CI,$BC25)=1,2022,0),IF(INDEX(clean_historis!$CH:$CH,$BC25)=1,2021,0))</f>
        <v>2023</v>
      </c>
      <c r="BH25">
        <f t="shared" si="8"/>
        <v>0.29702969790634648</v>
      </c>
      <c r="BI25">
        <f t="shared" si="9"/>
        <v>744.35642295330433</v>
      </c>
      <c r="BJ25">
        <f t="shared" si="10"/>
        <v>1</v>
      </c>
      <c r="BK25">
        <f t="shared" si="11"/>
        <v>19.407700000000002</v>
      </c>
      <c r="BL25">
        <f t="shared" si="12"/>
        <v>0</v>
      </c>
      <c r="BM25">
        <f t="shared" si="13"/>
        <v>0</v>
      </c>
      <c r="BN25">
        <v>0</v>
      </c>
      <c r="BO25">
        <f t="shared" si="16"/>
        <v>0</v>
      </c>
      <c r="BP25">
        <f t="shared" si="14"/>
        <v>1</v>
      </c>
      <c r="BQ25">
        <f t="shared" si="15"/>
        <v>0</v>
      </c>
    </row>
    <row r="26" spans="1:69" x14ac:dyDescent="0.25">
      <c r="A26">
        <v>25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>
        <v>4</v>
      </c>
      <c r="H26">
        <v>2</v>
      </c>
      <c r="I26">
        <v>2766</v>
      </c>
      <c r="J26">
        <v>0</v>
      </c>
      <c r="K26">
        <v>1</v>
      </c>
      <c r="L26">
        <v>2678.7</v>
      </c>
      <c r="M26">
        <v>1551.4</v>
      </c>
      <c r="N26">
        <v>5058.8999999999996</v>
      </c>
      <c r="O26">
        <v>419.1</v>
      </c>
      <c r="P26">
        <v>3325.5</v>
      </c>
      <c r="Q26">
        <v>0</v>
      </c>
      <c r="R26">
        <v>0</v>
      </c>
      <c r="S26">
        <v>0</v>
      </c>
      <c r="T26">
        <v>0</v>
      </c>
      <c r="U26">
        <v>0</v>
      </c>
      <c r="V26">
        <v>4.57</v>
      </c>
      <c r="W26">
        <v>0</v>
      </c>
      <c r="X26">
        <v>0</v>
      </c>
      <c r="Y26">
        <v>4.570000171661377</v>
      </c>
      <c r="Z26">
        <v>0</v>
      </c>
      <c r="AA26">
        <v>0</v>
      </c>
      <c r="AB26">
        <v>2.5699999332427979</v>
      </c>
      <c r="AC26">
        <v>2</v>
      </c>
      <c r="AD26">
        <v>0</v>
      </c>
      <c r="AE26">
        <v>2.5699999332427979</v>
      </c>
      <c r="AF26">
        <v>2</v>
      </c>
      <c r="AG26">
        <v>0.56236323211916717</v>
      </c>
      <c r="AH26">
        <v>0.43763676788083289</v>
      </c>
      <c r="AI26">
        <v>150</v>
      </c>
      <c r="AJ26">
        <v>0</v>
      </c>
      <c r="AK26">
        <v>2.5699999332427979</v>
      </c>
      <c r="AL26">
        <v>2</v>
      </c>
      <c r="AM26">
        <v>0</v>
      </c>
      <c r="AN26">
        <v>1</v>
      </c>
      <c r="AO26">
        <v>2</v>
      </c>
      <c r="AP26">
        <v>2025</v>
      </c>
      <c r="AQ26">
        <v>1</v>
      </c>
      <c r="AR26">
        <v>1</v>
      </c>
      <c r="AS26">
        <v>0</v>
      </c>
      <c r="AT26">
        <v>1</v>
      </c>
      <c r="AU26">
        <v>0</v>
      </c>
      <c r="AV26">
        <f t="shared" si="0"/>
        <v>0</v>
      </c>
      <c r="AW26">
        <f t="shared" si="1"/>
        <v>0</v>
      </c>
      <c r="AX26">
        <f t="shared" si="2"/>
        <v>0</v>
      </c>
      <c r="AY26">
        <f t="shared" si="3"/>
        <v>0</v>
      </c>
      <c r="AZ26">
        <f t="shared" si="4"/>
        <v>0</v>
      </c>
      <c r="BA26">
        <f t="shared" si="5"/>
        <v>0</v>
      </c>
      <c r="BB26">
        <f t="shared" si="6"/>
        <v>0.56236323211916717</v>
      </c>
      <c r="BC26">
        <f>MATCH($B26,clean_historis!$B:$B,0)</f>
        <v>26</v>
      </c>
      <c r="BD26">
        <f>IFERROR(INDEX(clean_historis!$AF:$AF,$BC26)/INDEX(clean_historis!$V:$V,$BC26),0)</f>
        <v>0</v>
      </c>
      <c r="BE26">
        <f>IFERROR(INDEX(clean_historis!$AR:$AR,$BC26)/INDEX(clean_historis!$AH:$AH,$BC26),0)</f>
        <v>0</v>
      </c>
      <c r="BF26">
        <f t="shared" si="7"/>
        <v>0</v>
      </c>
      <c r="BG26">
        <f>MAX(IF(INDEX(clean_historis!$CL:$CL,$BC26)=1,2025,0),IF(INDEX(clean_historis!$CK:$CK,$BC26)=1,2024,0),IF(INDEX(clean_historis!$CJ:$CJ,$BC26)=1,2023,0),IF(INDEX(clean_historis!$CI:$CI,$BC26)=1,2022,0),IF(INDEX(clean_historis!$CH:$CH,$BC26)=1,2021,0))</f>
        <v>2025</v>
      </c>
      <c r="BH26">
        <f t="shared" si="8"/>
        <v>0.43763676788083283</v>
      </c>
      <c r="BI26">
        <f t="shared" si="9"/>
        <v>1210.5032999583836</v>
      </c>
      <c r="BJ26">
        <f t="shared" si="10"/>
        <v>1</v>
      </c>
      <c r="BK26">
        <f t="shared" si="11"/>
        <v>12.614499999999998</v>
      </c>
      <c r="BL26">
        <f t="shared" si="12"/>
        <v>0</v>
      </c>
      <c r="BM26">
        <f t="shared" si="13"/>
        <v>0</v>
      </c>
      <c r="BN26">
        <v>0</v>
      </c>
      <c r="BO26">
        <f t="shared" si="16"/>
        <v>0</v>
      </c>
      <c r="BP26">
        <f t="shared" si="14"/>
        <v>1</v>
      </c>
      <c r="BQ26">
        <f t="shared" si="15"/>
        <v>0</v>
      </c>
    </row>
    <row r="27" spans="1:69" x14ac:dyDescent="0.25">
      <c r="A27">
        <v>26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>
        <v>3</v>
      </c>
      <c r="H27">
        <v>2</v>
      </c>
      <c r="I27">
        <v>1780</v>
      </c>
      <c r="J27">
        <v>0</v>
      </c>
      <c r="K27">
        <v>1</v>
      </c>
      <c r="L27">
        <v>2368.5</v>
      </c>
      <c r="M27">
        <v>1835.5</v>
      </c>
      <c r="N27">
        <v>4559.7</v>
      </c>
      <c r="O27">
        <v>89.1</v>
      </c>
      <c r="P27">
        <v>2826.2</v>
      </c>
      <c r="Q27">
        <v>0</v>
      </c>
      <c r="R27">
        <v>0</v>
      </c>
      <c r="S27">
        <v>0</v>
      </c>
      <c r="T27">
        <v>0</v>
      </c>
      <c r="U27">
        <v>0</v>
      </c>
      <c r="V27">
        <v>3.77</v>
      </c>
      <c r="W27">
        <v>0</v>
      </c>
      <c r="X27">
        <v>0</v>
      </c>
      <c r="Y27">
        <v>3.7699999809265141</v>
      </c>
      <c r="Z27">
        <v>0</v>
      </c>
      <c r="AA27">
        <v>0</v>
      </c>
      <c r="AB27">
        <v>3.0699999332427979</v>
      </c>
      <c r="AC27">
        <v>0.69999998807907104</v>
      </c>
      <c r="AD27">
        <v>0</v>
      </c>
      <c r="AE27">
        <v>3.0699999332427979</v>
      </c>
      <c r="AF27">
        <v>0.69999998807907104</v>
      </c>
      <c r="AG27">
        <v>0.81432360671412662</v>
      </c>
      <c r="AH27">
        <v>0.1856763932858734</v>
      </c>
      <c r="AI27">
        <v>150</v>
      </c>
      <c r="AJ27">
        <v>0</v>
      </c>
      <c r="AK27">
        <v>3.0699999332427979</v>
      </c>
      <c r="AL27">
        <v>0.69999998807907104</v>
      </c>
      <c r="AM27">
        <v>0</v>
      </c>
      <c r="AN27">
        <v>1</v>
      </c>
      <c r="AO27">
        <v>3</v>
      </c>
      <c r="AP27">
        <v>2023</v>
      </c>
      <c r="AQ27">
        <v>3</v>
      </c>
      <c r="AR27">
        <v>0</v>
      </c>
      <c r="AS27">
        <v>0</v>
      </c>
      <c r="AT27">
        <v>0</v>
      </c>
      <c r="AU27">
        <v>0</v>
      </c>
      <c r="AV27">
        <f t="shared" si="0"/>
        <v>0</v>
      </c>
      <c r="AW27">
        <f t="shared" si="1"/>
        <v>0</v>
      </c>
      <c r="AX27">
        <f t="shared" si="2"/>
        <v>0</v>
      </c>
      <c r="AY27">
        <f t="shared" si="3"/>
        <v>0</v>
      </c>
      <c r="AZ27">
        <f t="shared" si="4"/>
        <v>0</v>
      </c>
      <c r="BA27" t="str">
        <f t="shared" si="5"/>
        <v/>
      </c>
      <c r="BB27">
        <f t="shared" si="6"/>
        <v>0.81432360671412662</v>
      </c>
      <c r="BC27">
        <f>MATCH($B27,clean_historis!$B:$B,0)</f>
        <v>27</v>
      </c>
      <c r="BD27">
        <f>IFERROR(INDEX(clean_historis!$AF:$AF,$BC27)/INDEX(clean_historis!$V:$V,$BC27),0)</f>
        <v>0</v>
      </c>
      <c r="BE27">
        <f>IFERROR(INDEX(clean_historis!$AR:$AR,$BC27)/INDEX(clean_historis!$AH:$AH,$BC27),0)</f>
        <v>0</v>
      </c>
      <c r="BF27">
        <f t="shared" si="7"/>
        <v>0</v>
      </c>
      <c r="BG27">
        <f>MAX(IF(INDEX(clean_historis!$CL:$CL,$BC27)=1,2025,0),IF(INDEX(clean_historis!$CK:$CK,$BC27)=1,2024,0),IF(INDEX(clean_historis!$CJ:$CJ,$BC27)=1,2023,0),IF(INDEX(clean_historis!$CI:$CI,$BC27)=1,2022,0),IF(INDEX(clean_historis!$CH:$CH,$BC27)=1,2021,0))</f>
        <v>0</v>
      </c>
      <c r="BH27">
        <f t="shared" si="8"/>
        <v>0.18567639328587338</v>
      </c>
      <c r="BI27">
        <f t="shared" si="9"/>
        <v>330.5039800488546</v>
      </c>
      <c r="BJ27">
        <f t="shared" si="10"/>
        <v>1</v>
      </c>
      <c r="BK27">
        <f t="shared" si="11"/>
        <v>11.5899</v>
      </c>
      <c r="BL27">
        <f t="shared" si="12"/>
        <v>0</v>
      </c>
      <c r="BM27">
        <f t="shared" si="13"/>
        <v>0</v>
      </c>
      <c r="BN27">
        <v>0</v>
      </c>
      <c r="BO27">
        <f t="shared" si="16"/>
        <v>0</v>
      </c>
      <c r="BP27">
        <f t="shared" si="14"/>
        <v>1</v>
      </c>
      <c r="BQ27">
        <f t="shared" si="15"/>
        <v>0</v>
      </c>
    </row>
    <row r="28" spans="1:69" x14ac:dyDescent="0.25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105</v>
      </c>
      <c r="G28">
        <v>2</v>
      </c>
      <c r="H28">
        <v>1</v>
      </c>
      <c r="I28">
        <v>1150</v>
      </c>
      <c r="J28">
        <v>0</v>
      </c>
      <c r="K28">
        <v>0</v>
      </c>
      <c r="L28">
        <v>6620.7</v>
      </c>
      <c r="M28">
        <v>4762</v>
      </c>
      <c r="N28">
        <v>8803.7999999999993</v>
      </c>
      <c r="O28">
        <v>1614.2</v>
      </c>
      <c r="P28">
        <v>8968.5</v>
      </c>
      <c r="Q28">
        <v>0</v>
      </c>
      <c r="R28">
        <v>0</v>
      </c>
      <c r="S28">
        <v>0</v>
      </c>
      <c r="T28">
        <v>0</v>
      </c>
      <c r="U28">
        <v>0</v>
      </c>
      <c r="V28">
        <v>2.33</v>
      </c>
      <c r="W28">
        <v>0</v>
      </c>
      <c r="X28">
        <v>0</v>
      </c>
      <c r="Y28">
        <v>2.3299999237060551</v>
      </c>
      <c r="Z28">
        <v>0</v>
      </c>
      <c r="AA28">
        <v>0</v>
      </c>
      <c r="AB28">
        <v>2.3299999237060551</v>
      </c>
      <c r="AC28">
        <v>0</v>
      </c>
      <c r="AD28">
        <v>0</v>
      </c>
      <c r="AE28">
        <v>2.3299999237060551</v>
      </c>
      <c r="AF28">
        <v>0</v>
      </c>
      <c r="AG28">
        <v>1</v>
      </c>
      <c r="AH28">
        <v>0</v>
      </c>
      <c r="AI28">
        <v>150</v>
      </c>
      <c r="AJ28">
        <v>0</v>
      </c>
      <c r="AK28">
        <v>2.3299999237060551</v>
      </c>
      <c r="AL28">
        <v>0</v>
      </c>
      <c r="AM28">
        <v>0</v>
      </c>
      <c r="AN28">
        <v>1</v>
      </c>
      <c r="AO28">
        <v>2</v>
      </c>
      <c r="AP28">
        <v>2023</v>
      </c>
      <c r="AQ28">
        <v>3</v>
      </c>
      <c r="AR28">
        <v>0</v>
      </c>
      <c r="AS28">
        <v>0</v>
      </c>
      <c r="AT28">
        <v>0</v>
      </c>
      <c r="AU28">
        <v>0</v>
      </c>
      <c r="AV28">
        <f t="shared" si="0"/>
        <v>0</v>
      </c>
      <c r="AW28">
        <f t="shared" si="1"/>
        <v>0</v>
      </c>
      <c r="AX28">
        <f t="shared" si="2"/>
        <v>0</v>
      </c>
      <c r="AY28">
        <f t="shared" si="3"/>
        <v>0</v>
      </c>
      <c r="AZ28">
        <f t="shared" si="4"/>
        <v>0</v>
      </c>
      <c r="BA28" t="str">
        <f t="shared" si="5"/>
        <v/>
      </c>
      <c r="BB28">
        <f t="shared" si="6"/>
        <v>1</v>
      </c>
      <c r="BC28">
        <f>MATCH($B28,clean_historis!$B:$B,0)</f>
        <v>28</v>
      </c>
      <c r="BD28">
        <f>IFERROR(INDEX(clean_historis!$AF:$AF,$BC28)/INDEX(clean_historis!$V:$V,$BC28),0)</f>
        <v>0</v>
      </c>
      <c r="BE28">
        <f>IFERROR(INDEX(clean_historis!$AR:$AR,$BC28)/INDEX(clean_historis!$AH:$AH,$BC28),0)</f>
        <v>0</v>
      </c>
      <c r="BF28">
        <f t="shared" si="7"/>
        <v>0</v>
      </c>
      <c r="BG28">
        <f>MAX(IF(INDEX(clean_historis!$CL:$CL,$BC28)=1,2025,0),IF(INDEX(clean_historis!$CK:$CK,$BC28)=1,2024,0),IF(INDEX(clean_historis!$CJ:$CJ,$BC28)=1,2023,0),IF(INDEX(clean_historis!$CI:$CI,$BC28)=1,2022,0),IF(INDEX(clean_historis!$CH:$CH,$BC28)=1,2021,0))</f>
        <v>0</v>
      </c>
      <c r="BH28">
        <f t="shared" si="8"/>
        <v>0</v>
      </c>
      <c r="BI28">
        <f t="shared" si="9"/>
        <v>0</v>
      </c>
      <c r="BJ28">
        <f t="shared" si="10"/>
        <v>0</v>
      </c>
      <c r="BK28">
        <f t="shared" si="11"/>
        <v>29.155000000000001</v>
      </c>
      <c r="BL28">
        <f t="shared" si="12"/>
        <v>0</v>
      </c>
      <c r="BM28">
        <f t="shared" si="13"/>
        <v>0</v>
      </c>
      <c r="BN28">
        <v>0</v>
      </c>
      <c r="BO28">
        <f t="shared" si="16"/>
        <v>0</v>
      </c>
      <c r="BP28">
        <f t="shared" si="14"/>
        <v>1</v>
      </c>
      <c r="BQ28">
        <f t="shared" si="15"/>
        <v>0</v>
      </c>
    </row>
    <row r="29" spans="1:69" x14ac:dyDescent="0.25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190</v>
      </c>
      <c r="G29">
        <v>2</v>
      </c>
      <c r="H29">
        <v>1</v>
      </c>
      <c r="I29">
        <v>426</v>
      </c>
      <c r="J29">
        <v>0</v>
      </c>
      <c r="K29">
        <v>0</v>
      </c>
      <c r="L29">
        <v>4304.7</v>
      </c>
      <c r="M29">
        <v>1910.8</v>
      </c>
      <c r="N29">
        <v>14818.3</v>
      </c>
      <c r="O29">
        <v>1026</v>
      </c>
      <c r="P29">
        <v>16197.8</v>
      </c>
      <c r="Q29">
        <v>0</v>
      </c>
      <c r="R29">
        <v>0</v>
      </c>
      <c r="S29">
        <v>0</v>
      </c>
      <c r="T29">
        <v>0</v>
      </c>
      <c r="U29">
        <v>0</v>
      </c>
      <c r="V29">
        <v>1.66</v>
      </c>
      <c r="W29">
        <v>0</v>
      </c>
      <c r="X29">
        <v>0</v>
      </c>
      <c r="Y29">
        <v>1.6599999666213989</v>
      </c>
      <c r="Z29">
        <v>0</v>
      </c>
      <c r="AA29">
        <v>1.059999942779541</v>
      </c>
      <c r="AB29">
        <v>0.60000002384185791</v>
      </c>
      <c r="AC29">
        <v>0</v>
      </c>
      <c r="AD29">
        <v>0</v>
      </c>
      <c r="AE29">
        <v>1.6599999666213989</v>
      </c>
      <c r="AF29">
        <v>0</v>
      </c>
      <c r="AG29">
        <v>1</v>
      </c>
      <c r="AH29">
        <v>0</v>
      </c>
      <c r="AI29">
        <v>150</v>
      </c>
      <c r="AJ29">
        <v>1.059999942779541</v>
      </c>
      <c r="AK29">
        <v>0.60000002384185791</v>
      </c>
      <c r="AL29">
        <v>0</v>
      </c>
      <c r="AM29">
        <v>0</v>
      </c>
      <c r="AN29">
        <v>1</v>
      </c>
      <c r="AO29">
        <v>1</v>
      </c>
      <c r="AP29">
        <v>2022</v>
      </c>
      <c r="AQ29">
        <v>4</v>
      </c>
      <c r="AR29">
        <v>0</v>
      </c>
      <c r="AS29">
        <v>0</v>
      </c>
      <c r="AT29">
        <v>0</v>
      </c>
      <c r="AU29">
        <v>0</v>
      </c>
      <c r="AV29">
        <f t="shared" si="0"/>
        <v>0</v>
      </c>
      <c r="AW29">
        <f t="shared" si="1"/>
        <v>0</v>
      </c>
      <c r="AX29">
        <f t="shared" si="2"/>
        <v>0</v>
      </c>
      <c r="AY29">
        <f t="shared" si="3"/>
        <v>0</v>
      </c>
      <c r="AZ29">
        <f t="shared" si="4"/>
        <v>0</v>
      </c>
      <c r="BA29" t="str">
        <f t="shared" si="5"/>
        <v/>
      </c>
      <c r="BB29">
        <f t="shared" si="6"/>
        <v>1</v>
      </c>
      <c r="BC29">
        <f>MATCH($B29,clean_historis!$B:$B,0)</f>
        <v>29</v>
      </c>
      <c r="BD29">
        <f>IFERROR(INDEX(clean_historis!$AF:$AF,$BC29)/INDEX(clean_historis!$V:$V,$BC29),0)</f>
        <v>0</v>
      </c>
      <c r="BE29">
        <f>IFERROR(INDEX(clean_historis!$AR:$AR,$BC29)/INDEX(clean_historis!$AH:$AH,$BC29),0)</f>
        <v>0</v>
      </c>
      <c r="BF29">
        <f t="shared" si="7"/>
        <v>0</v>
      </c>
      <c r="BG29">
        <f>MAX(IF(INDEX(clean_historis!$CL:$CL,$BC29)=1,2025,0),IF(INDEX(clean_historis!$CK:$CK,$BC29)=1,2024,0),IF(INDEX(clean_historis!$CJ:$CJ,$BC29)=1,2023,0),IF(INDEX(clean_historis!$CI:$CI,$BC29)=1,2022,0),IF(INDEX(clean_historis!$CH:$CH,$BC29)=1,2021,0))</f>
        <v>0</v>
      </c>
      <c r="BH29">
        <f t="shared" si="8"/>
        <v>0</v>
      </c>
      <c r="BI29">
        <f t="shared" si="9"/>
        <v>0</v>
      </c>
      <c r="BJ29">
        <f t="shared" si="10"/>
        <v>0</v>
      </c>
      <c r="BK29">
        <f t="shared" si="11"/>
        <v>37.231600000000007</v>
      </c>
      <c r="BL29">
        <f t="shared" si="12"/>
        <v>0</v>
      </c>
      <c r="BM29">
        <f t="shared" si="13"/>
        <v>0</v>
      </c>
      <c r="BN29">
        <v>0</v>
      </c>
      <c r="BO29">
        <f t="shared" si="16"/>
        <v>0</v>
      </c>
      <c r="BP29">
        <f t="shared" si="14"/>
        <v>1</v>
      </c>
      <c r="BQ29">
        <f t="shared" si="15"/>
        <v>0</v>
      </c>
    </row>
    <row r="30" spans="1:69" x14ac:dyDescent="0.25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190</v>
      </c>
      <c r="G30">
        <v>1</v>
      </c>
      <c r="H30">
        <v>1</v>
      </c>
      <c r="I30">
        <v>310</v>
      </c>
      <c r="J30">
        <v>0</v>
      </c>
      <c r="K30">
        <v>0</v>
      </c>
      <c r="L30">
        <v>8506.9</v>
      </c>
      <c r="M30">
        <v>6113.1</v>
      </c>
      <c r="N30">
        <v>19020.599999999999</v>
      </c>
      <c r="O30">
        <v>1650.5</v>
      </c>
      <c r="P30">
        <v>20400.099999999999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1.46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150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R30">
        <v>0</v>
      </c>
      <c r="AS30">
        <v>0</v>
      </c>
      <c r="AT30">
        <v>0</v>
      </c>
      <c r="AU30">
        <v>0</v>
      </c>
      <c r="AV30">
        <f t="shared" si="0"/>
        <v>0</v>
      </c>
      <c r="AW30">
        <f t="shared" si="1"/>
        <v>-1</v>
      </c>
      <c r="AX30">
        <f t="shared" si="2"/>
        <v>0</v>
      </c>
      <c r="AY30">
        <f t="shared" si="3"/>
        <v>0</v>
      </c>
      <c r="AZ30">
        <f t="shared" si="4"/>
        <v>0</v>
      </c>
      <c r="BA30" t="str">
        <f t="shared" si="5"/>
        <v/>
      </c>
      <c r="BB30">
        <f t="shared" si="6"/>
        <v>0</v>
      </c>
      <c r="BC30">
        <f>MATCH($B30,clean_historis!$B:$B,0)</f>
        <v>30</v>
      </c>
      <c r="BD30">
        <f>IFERROR(INDEX(clean_historis!$AF:$AF,$BC30)/INDEX(clean_historis!$V:$V,$BC30),0)</f>
        <v>1</v>
      </c>
      <c r="BE30">
        <f>IFERROR(INDEX(clean_historis!$AR:$AR,$BC30)/INDEX(clean_historis!$AH:$AH,$BC30),0)</f>
        <v>1</v>
      </c>
      <c r="BF30">
        <f t="shared" si="7"/>
        <v>0</v>
      </c>
      <c r="BG30">
        <f>MAX(IF(INDEX(clean_historis!$CL:$CL,$BC30)=1,2025,0),IF(INDEX(clean_historis!$CK:$CK,$BC30)=1,2024,0),IF(INDEX(clean_historis!$CJ:$CJ,$BC30)=1,2023,0),IF(INDEX(clean_historis!$CI:$CI,$BC30)=1,2022,0),IF(INDEX(clean_historis!$CH:$CH,$BC30)=1,2021,0))</f>
        <v>0</v>
      </c>
      <c r="BH30">
        <f t="shared" si="8"/>
        <v>1</v>
      </c>
      <c r="BI30">
        <f t="shared" si="9"/>
        <v>310</v>
      </c>
      <c r="BJ30">
        <f t="shared" si="10"/>
        <v>0</v>
      </c>
      <c r="BK30">
        <f t="shared" si="11"/>
        <v>54.040699999999994</v>
      </c>
      <c r="BL30">
        <f t="shared" si="12"/>
        <v>0</v>
      </c>
      <c r="BM30">
        <f t="shared" si="13"/>
        <v>0</v>
      </c>
      <c r="BN30">
        <v>0</v>
      </c>
      <c r="BO30">
        <f t="shared" si="16"/>
        <v>0</v>
      </c>
      <c r="BP30">
        <f t="shared" si="14"/>
        <v>0</v>
      </c>
      <c r="BQ30">
        <f t="shared" si="15"/>
        <v>1</v>
      </c>
    </row>
    <row r="31" spans="1:69" x14ac:dyDescent="0.25">
      <c r="A31">
        <v>30</v>
      </c>
      <c r="B31" t="s">
        <v>226</v>
      </c>
      <c r="C31" t="s">
        <v>227</v>
      </c>
      <c r="D31" t="s">
        <v>228</v>
      </c>
      <c r="E31" t="s">
        <v>229</v>
      </c>
      <c r="F31" t="s">
        <v>213</v>
      </c>
      <c r="G31">
        <v>3</v>
      </c>
      <c r="H31">
        <v>2</v>
      </c>
      <c r="I31">
        <v>3778</v>
      </c>
      <c r="J31">
        <v>0</v>
      </c>
      <c r="K31">
        <v>1</v>
      </c>
      <c r="L31">
        <v>2296</v>
      </c>
      <c r="M31">
        <v>1621.3</v>
      </c>
      <c r="N31">
        <v>3589.2</v>
      </c>
      <c r="O31">
        <v>57.6</v>
      </c>
      <c r="P31">
        <v>2614.4</v>
      </c>
      <c r="Q31">
        <v>0</v>
      </c>
      <c r="R31">
        <v>0</v>
      </c>
      <c r="S31">
        <v>0</v>
      </c>
      <c r="T31">
        <v>0</v>
      </c>
      <c r="U31">
        <v>0</v>
      </c>
      <c r="V31">
        <v>4.07</v>
      </c>
      <c r="W31">
        <v>0</v>
      </c>
      <c r="X31">
        <v>0</v>
      </c>
      <c r="Y31">
        <v>4.070000171661377</v>
      </c>
      <c r="Z31">
        <v>0</v>
      </c>
      <c r="AA31">
        <v>0.5</v>
      </c>
      <c r="AB31">
        <v>1.799999952316284</v>
      </c>
      <c r="AC31">
        <v>1.2699999809265139</v>
      </c>
      <c r="AD31">
        <v>0.5</v>
      </c>
      <c r="AE31">
        <v>2.2999999523162842</v>
      </c>
      <c r="AF31">
        <v>1.7699999809265139</v>
      </c>
      <c r="AG31">
        <v>0.56511056266375537</v>
      </c>
      <c r="AH31">
        <v>0.43488943733624458</v>
      </c>
      <c r="AI31">
        <v>150</v>
      </c>
      <c r="AJ31">
        <v>0.5</v>
      </c>
      <c r="AK31">
        <v>1.799999952316284</v>
      </c>
      <c r="AL31">
        <v>1.2699999809265139</v>
      </c>
      <c r="AM31">
        <v>0.5</v>
      </c>
      <c r="AN31">
        <v>1</v>
      </c>
      <c r="AO31">
        <v>1</v>
      </c>
      <c r="AP31">
        <v>2023</v>
      </c>
      <c r="AQ31">
        <v>3</v>
      </c>
      <c r="AR31">
        <v>0</v>
      </c>
      <c r="AS31">
        <v>0</v>
      </c>
      <c r="AT31">
        <v>0</v>
      </c>
      <c r="AU31">
        <v>0</v>
      </c>
      <c r="AV31">
        <f t="shared" si="0"/>
        <v>0</v>
      </c>
      <c r="AW31">
        <f t="shared" si="1"/>
        <v>0.12285012285012284</v>
      </c>
      <c r="AX31">
        <f t="shared" si="2"/>
        <v>464.12776412776407</v>
      </c>
      <c r="AY31">
        <f t="shared" si="3"/>
        <v>0</v>
      </c>
      <c r="AZ31">
        <f t="shared" si="4"/>
        <v>0.5</v>
      </c>
      <c r="BA31">
        <f t="shared" si="5"/>
        <v>2</v>
      </c>
      <c r="BB31">
        <f t="shared" si="6"/>
        <v>0.56511056266375537</v>
      </c>
      <c r="BC31">
        <f>MATCH($B31,clean_historis!$B:$B,0)</f>
        <v>31</v>
      </c>
      <c r="BD31">
        <f>IFERROR(INDEX(clean_historis!$AF:$AF,$BC31)/INDEX(clean_historis!$V:$V,$BC31),0)</f>
        <v>0</v>
      </c>
      <c r="BE31">
        <f>IFERROR(INDEX(clean_historis!$AR:$AR,$BC31)/INDEX(clean_historis!$AH:$AH,$BC31),0)</f>
        <v>0</v>
      </c>
      <c r="BF31">
        <f t="shared" si="7"/>
        <v>0.12285012285012284</v>
      </c>
      <c r="BG31">
        <f>MAX(IF(INDEX(clean_historis!$CL:$CL,$BC31)=1,2025,0),IF(INDEX(clean_historis!$CK:$CK,$BC31)=1,2024,0),IF(INDEX(clean_historis!$CJ:$CJ,$BC31)=1,2023,0),IF(INDEX(clean_historis!$CI:$CI,$BC31)=1,2022,0),IF(INDEX(clean_historis!$CH:$CH,$BC31)=1,2021,0))</f>
        <v>2023</v>
      </c>
      <c r="BH31">
        <f t="shared" si="8"/>
        <v>0.43488943733624463</v>
      </c>
      <c r="BI31">
        <f t="shared" si="9"/>
        <v>1643.0122942563323</v>
      </c>
      <c r="BJ31">
        <f t="shared" si="10"/>
        <v>1</v>
      </c>
      <c r="BK31">
        <f t="shared" si="11"/>
        <v>10.120899999999997</v>
      </c>
      <c r="BL31">
        <f t="shared" si="12"/>
        <v>0</v>
      </c>
      <c r="BM31">
        <f t="shared" si="13"/>
        <v>0</v>
      </c>
      <c r="BN31">
        <v>0</v>
      </c>
      <c r="BO31">
        <f t="shared" si="16"/>
        <v>0</v>
      </c>
      <c r="BP31">
        <f t="shared" si="14"/>
        <v>1</v>
      </c>
      <c r="BQ31">
        <f t="shared" si="15"/>
        <v>0</v>
      </c>
    </row>
    <row r="32" spans="1:69" x14ac:dyDescent="0.25">
      <c r="A32">
        <v>31</v>
      </c>
      <c r="B32" t="s">
        <v>230</v>
      </c>
      <c r="C32" t="s">
        <v>231</v>
      </c>
      <c r="D32" t="s">
        <v>232</v>
      </c>
      <c r="E32" t="s">
        <v>233</v>
      </c>
      <c r="F32" t="s">
        <v>149</v>
      </c>
      <c r="G32">
        <v>1</v>
      </c>
      <c r="H32">
        <v>1</v>
      </c>
      <c r="I32">
        <v>499</v>
      </c>
      <c r="J32">
        <v>0</v>
      </c>
      <c r="K32">
        <v>0</v>
      </c>
      <c r="L32">
        <v>3513.6</v>
      </c>
      <c r="M32">
        <v>1365.5</v>
      </c>
      <c r="N32">
        <v>13272.8</v>
      </c>
      <c r="O32">
        <v>739.2</v>
      </c>
      <c r="P32">
        <v>11409.9</v>
      </c>
      <c r="Q32">
        <v>0</v>
      </c>
      <c r="R32">
        <v>0</v>
      </c>
      <c r="S32">
        <v>0</v>
      </c>
      <c r="T32">
        <v>0</v>
      </c>
      <c r="U32">
        <v>0</v>
      </c>
      <c r="V32">
        <v>0.66</v>
      </c>
      <c r="W32">
        <v>0</v>
      </c>
      <c r="X32">
        <v>0</v>
      </c>
      <c r="Y32">
        <v>0.10000000149011611</v>
      </c>
      <c r="Z32">
        <v>0</v>
      </c>
      <c r="AA32">
        <v>0</v>
      </c>
      <c r="AB32">
        <v>0</v>
      </c>
      <c r="AC32">
        <v>0.10000000149011611</v>
      </c>
      <c r="AD32">
        <v>0</v>
      </c>
      <c r="AE32">
        <v>0</v>
      </c>
      <c r="AF32">
        <v>0.10000000149011611</v>
      </c>
      <c r="AG32">
        <v>0</v>
      </c>
      <c r="AH32">
        <v>1</v>
      </c>
      <c r="AI32">
        <v>150</v>
      </c>
      <c r="AJ32">
        <v>0</v>
      </c>
      <c r="AK32">
        <v>0</v>
      </c>
      <c r="AL32">
        <v>0.10000000149011611</v>
      </c>
      <c r="AM32">
        <v>0</v>
      </c>
      <c r="AN32">
        <v>0</v>
      </c>
      <c r="AO32">
        <v>0</v>
      </c>
      <c r="AR32">
        <v>1</v>
      </c>
      <c r="AS32">
        <v>0</v>
      </c>
      <c r="AT32">
        <v>1</v>
      </c>
      <c r="AU32">
        <v>1</v>
      </c>
      <c r="AV32">
        <f t="shared" si="0"/>
        <v>0</v>
      </c>
      <c r="AW32">
        <f t="shared" si="1"/>
        <v>-0.84848484848484851</v>
      </c>
      <c r="AX32">
        <f t="shared" si="2"/>
        <v>0</v>
      </c>
      <c r="AY32">
        <f t="shared" si="3"/>
        <v>0</v>
      </c>
      <c r="AZ32">
        <f t="shared" si="4"/>
        <v>0</v>
      </c>
      <c r="BA32" t="str">
        <f t="shared" si="5"/>
        <v/>
      </c>
      <c r="BB32">
        <f t="shared" si="6"/>
        <v>0</v>
      </c>
      <c r="BC32">
        <f>MATCH($B32,clean_historis!$B:$B,0)</f>
        <v>32</v>
      </c>
      <c r="BD32">
        <f>IFERROR(INDEX(clean_historis!$AF:$AF,$BC32)/INDEX(clean_historis!$V:$V,$BC32),0)</f>
        <v>0.84848484848484851</v>
      </c>
      <c r="BE32">
        <f>IFERROR(INDEX(clean_historis!$AR:$AR,$BC32)/INDEX(clean_historis!$AH:$AH,$BC32),0)</f>
        <v>0.84848484848484851</v>
      </c>
      <c r="BF32">
        <f t="shared" si="7"/>
        <v>0</v>
      </c>
      <c r="BG32">
        <f>MAX(IF(INDEX(clean_historis!$CL:$CL,$BC32)=1,2025,0),IF(INDEX(clean_historis!$CK:$CK,$BC32)=1,2024,0),IF(INDEX(clean_historis!$CJ:$CJ,$BC32)=1,2023,0),IF(INDEX(clean_historis!$CI:$CI,$BC32)=1,2022,0),IF(INDEX(clean_historis!$CH:$CH,$BC32)=1,2021,0))</f>
        <v>0</v>
      </c>
      <c r="BH32">
        <f t="shared" si="8"/>
        <v>1</v>
      </c>
      <c r="BI32">
        <f t="shared" si="9"/>
        <v>499</v>
      </c>
      <c r="BJ32">
        <f t="shared" si="10"/>
        <v>0</v>
      </c>
      <c r="BK32">
        <f t="shared" si="11"/>
        <v>29.561799999999998</v>
      </c>
      <c r="BL32">
        <f t="shared" si="12"/>
        <v>0</v>
      </c>
      <c r="BM32">
        <f t="shared" si="13"/>
        <v>0</v>
      </c>
      <c r="BN32">
        <v>0</v>
      </c>
      <c r="BO32">
        <f t="shared" si="16"/>
        <v>1</v>
      </c>
      <c r="BP32">
        <f t="shared" si="14"/>
        <v>0</v>
      </c>
      <c r="BQ32">
        <f t="shared" si="15"/>
        <v>1</v>
      </c>
    </row>
    <row r="33" spans="1:69" x14ac:dyDescent="0.25">
      <c r="A33">
        <v>32</v>
      </c>
      <c r="B33" t="s">
        <v>234</v>
      </c>
      <c r="C33" t="s">
        <v>235</v>
      </c>
      <c r="D33" t="s">
        <v>236</v>
      </c>
      <c r="E33" t="s">
        <v>237</v>
      </c>
      <c r="F33" t="s">
        <v>154</v>
      </c>
      <c r="G33">
        <v>3</v>
      </c>
      <c r="H33">
        <v>2</v>
      </c>
      <c r="I33">
        <v>1568</v>
      </c>
      <c r="J33">
        <v>0</v>
      </c>
      <c r="K33">
        <v>1</v>
      </c>
      <c r="L33">
        <v>2719.8</v>
      </c>
      <c r="M33">
        <v>2340.1999999999998</v>
      </c>
      <c r="N33">
        <v>12479</v>
      </c>
      <c r="O33">
        <v>1116.4000000000001</v>
      </c>
      <c r="P33">
        <v>10616.1</v>
      </c>
      <c r="Q33">
        <v>0</v>
      </c>
      <c r="R33">
        <v>0</v>
      </c>
      <c r="S33">
        <v>0</v>
      </c>
      <c r="T33">
        <v>0</v>
      </c>
      <c r="U33">
        <v>0</v>
      </c>
      <c r="V33">
        <v>2.09</v>
      </c>
      <c r="W33">
        <v>0</v>
      </c>
      <c r="X33">
        <v>0</v>
      </c>
      <c r="Y33">
        <v>2.089999914169312</v>
      </c>
      <c r="Z33">
        <v>0</v>
      </c>
      <c r="AA33">
        <v>0</v>
      </c>
      <c r="AB33">
        <v>1.889999985694885</v>
      </c>
      <c r="AC33">
        <v>0.20000000298023221</v>
      </c>
      <c r="AD33">
        <v>0</v>
      </c>
      <c r="AE33">
        <v>1.889999985694885</v>
      </c>
      <c r="AF33">
        <v>0.20000000298023221</v>
      </c>
      <c r="AG33">
        <v>0.90430621815121859</v>
      </c>
      <c r="AH33">
        <v>9.569378184878137E-2</v>
      </c>
      <c r="AI33">
        <v>150</v>
      </c>
      <c r="AJ33">
        <v>0</v>
      </c>
      <c r="AK33">
        <v>1.889999985694885</v>
      </c>
      <c r="AL33">
        <v>0.20000000298023221</v>
      </c>
      <c r="AM33">
        <v>0</v>
      </c>
      <c r="AN33">
        <v>1</v>
      </c>
      <c r="AO33">
        <v>3</v>
      </c>
      <c r="AP33">
        <v>2025</v>
      </c>
      <c r="AQ33">
        <v>1</v>
      </c>
      <c r="AR33">
        <v>0</v>
      </c>
      <c r="AS33">
        <v>0</v>
      </c>
      <c r="AT33">
        <v>0</v>
      </c>
      <c r="AU33">
        <v>0</v>
      </c>
      <c r="AV33">
        <f t="shared" si="0"/>
        <v>0</v>
      </c>
      <c r="AW33">
        <f t="shared" si="1"/>
        <v>0</v>
      </c>
      <c r="AX33">
        <f t="shared" si="2"/>
        <v>0</v>
      </c>
      <c r="AY33">
        <f t="shared" si="3"/>
        <v>0</v>
      </c>
      <c r="AZ33">
        <f t="shared" si="4"/>
        <v>0</v>
      </c>
      <c r="BA33" t="str">
        <f t="shared" si="5"/>
        <v/>
      </c>
      <c r="BB33">
        <f t="shared" si="6"/>
        <v>0.90430621815121859</v>
      </c>
      <c r="BC33">
        <f>MATCH($B33,clean_historis!$B:$B,0)</f>
        <v>33</v>
      </c>
      <c r="BD33">
        <f>IFERROR(INDEX(clean_historis!$AF:$AF,$BC33)/INDEX(clean_historis!$V:$V,$BC33),0)</f>
        <v>0</v>
      </c>
      <c r="BE33">
        <f>IFERROR(INDEX(clean_historis!$AR:$AR,$BC33)/INDEX(clean_historis!$AH:$AH,$BC33),0)</f>
        <v>0</v>
      </c>
      <c r="BF33">
        <f t="shared" si="7"/>
        <v>0</v>
      </c>
      <c r="BG33">
        <f>MAX(IF(INDEX(clean_historis!$CL:$CL,$BC33)=1,2025,0),IF(INDEX(clean_historis!$CK:$CK,$BC33)=1,2024,0),IF(INDEX(clean_historis!$CJ:$CJ,$BC33)=1,2023,0),IF(INDEX(clean_historis!$CI:$CI,$BC33)=1,2022,0),IF(INDEX(clean_historis!$CH:$CH,$BC33)=1,2021,0))</f>
        <v>0</v>
      </c>
      <c r="BH33">
        <f t="shared" si="8"/>
        <v>9.5693781848781412E-2</v>
      </c>
      <c r="BI33">
        <f t="shared" si="9"/>
        <v>150.04784993888924</v>
      </c>
      <c r="BJ33">
        <f t="shared" si="10"/>
        <v>0</v>
      </c>
      <c r="BK33">
        <f t="shared" si="11"/>
        <v>28.155100000000001</v>
      </c>
      <c r="BL33">
        <f t="shared" si="12"/>
        <v>0</v>
      </c>
      <c r="BM33">
        <f t="shared" si="13"/>
        <v>0</v>
      </c>
      <c r="BN33">
        <v>0</v>
      </c>
      <c r="BO33">
        <f t="shared" si="16"/>
        <v>0</v>
      </c>
      <c r="BP33">
        <f t="shared" si="14"/>
        <v>1</v>
      </c>
      <c r="BQ33">
        <f t="shared" si="15"/>
        <v>0</v>
      </c>
    </row>
    <row r="34" spans="1:69" x14ac:dyDescent="0.25">
      <c r="A34">
        <v>33</v>
      </c>
      <c r="B34" t="s">
        <v>238</v>
      </c>
      <c r="C34" t="s">
        <v>239</v>
      </c>
      <c r="D34" t="s">
        <v>240</v>
      </c>
      <c r="E34" t="s">
        <v>241</v>
      </c>
      <c r="F34" t="s">
        <v>149</v>
      </c>
      <c r="G34">
        <v>1</v>
      </c>
      <c r="H34">
        <v>1</v>
      </c>
      <c r="I34">
        <v>447</v>
      </c>
      <c r="J34">
        <v>0</v>
      </c>
      <c r="K34">
        <v>1</v>
      </c>
      <c r="L34">
        <v>3639.6</v>
      </c>
      <c r="M34">
        <v>2038.8</v>
      </c>
      <c r="N34">
        <v>13398.9</v>
      </c>
      <c r="O34">
        <v>865.2</v>
      </c>
      <c r="P34">
        <v>11536</v>
      </c>
      <c r="Q34">
        <v>0</v>
      </c>
      <c r="R34">
        <v>0</v>
      </c>
      <c r="S34">
        <v>0</v>
      </c>
      <c r="T34">
        <v>0</v>
      </c>
      <c r="U34">
        <v>0</v>
      </c>
      <c r="V34">
        <v>1.71</v>
      </c>
      <c r="W34">
        <v>0</v>
      </c>
      <c r="X34">
        <v>0</v>
      </c>
      <c r="Y34">
        <v>1.7100000381469731</v>
      </c>
      <c r="Z34">
        <v>0</v>
      </c>
      <c r="AA34">
        <v>0.5</v>
      </c>
      <c r="AB34">
        <v>1.2100000381469731</v>
      </c>
      <c r="AC34">
        <v>0</v>
      </c>
      <c r="AD34">
        <v>0</v>
      </c>
      <c r="AE34">
        <v>1.7100000381469731</v>
      </c>
      <c r="AF34">
        <v>0</v>
      </c>
      <c r="AG34">
        <v>1</v>
      </c>
      <c r="AH34">
        <v>0</v>
      </c>
      <c r="AI34">
        <v>150</v>
      </c>
      <c r="AJ34">
        <v>0.5</v>
      </c>
      <c r="AK34">
        <v>1.2100000381469731</v>
      </c>
      <c r="AL34">
        <v>0</v>
      </c>
      <c r="AM34">
        <v>0</v>
      </c>
      <c r="AN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f t="shared" si="0"/>
        <v>0</v>
      </c>
      <c r="AW34">
        <f t="shared" si="1"/>
        <v>0</v>
      </c>
      <c r="AX34">
        <f t="shared" si="2"/>
        <v>0</v>
      </c>
      <c r="AY34">
        <f t="shared" si="3"/>
        <v>0</v>
      </c>
      <c r="AZ34">
        <f t="shared" si="4"/>
        <v>0</v>
      </c>
      <c r="BA34" t="str">
        <f t="shared" si="5"/>
        <v/>
      </c>
      <c r="BB34">
        <f t="shared" si="6"/>
        <v>1</v>
      </c>
      <c r="BC34">
        <f>MATCH($B34,clean_historis!$B:$B,0)</f>
        <v>34</v>
      </c>
      <c r="BD34">
        <f>IFERROR(INDEX(clean_historis!$AF:$AF,$BC34)/INDEX(clean_historis!$V:$V,$BC34),0)</f>
        <v>0</v>
      </c>
      <c r="BE34">
        <f>IFERROR(INDEX(clean_historis!$AR:$AR,$BC34)/INDEX(clean_historis!$AH:$AH,$BC34),0)</f>
        <v>0</v>
      </c>
      <c r="BF34">
        <f t="shared" si="7"/>
        <v>0</v>
      </c>
      <c r="BG34">
        <f>MAX(IF(INDEX(clean_historis!$CL:$CL,$BC34)=1,2025,0),IF(INDEX(clean_historis!$CK:$CK,$BC34)=1,2024,0),IF(INDEX(clean_historis!$CJ:$CJ,$BC34)=1,2023,0),IF(INDEX(clean_historis!$CI:$CI,$BC34)=1,2022,0),IF(INDEX(clean_historis!$CH:$CH,$BC34)=1,2021,0))</f>
        <v>0</v>
      </c>
      <c r="BH34">
        <f t="shared" si="8"/>
        <v>0</v>
      </c>
      <c r="BI34">
        <f t="shared" si="9"/>
        <v>0</v>
      </c>
      <c r="BJ34">
        <f t="shared" si="10"/>
        <v>0</v>
      </c>
      <c r="BK34">
        <f t="shared" si="11"/>
        <v>30.613299999999999</v>
      </c>
      <c r="BL34">
        <f t="shared" si="12"/>
        <v>0</v>
      </c>
      <c r="BM34">
        <f t="shared" si="13"/>
        <v>0</v>
      </c>
      <c r="BN34">
        <v>0</v>
      </c>
      <c r="BO34">
        <f t="shared" si="16"/>
        <v>0</v>
      </c>
      <c r="BP34">
        <f t="shared" si="14"/>
        <v>0</v>
      </c>
      <c r="BQ34">
        <f t="shared" si="15"/>
        <v>0</v>
      </c>
    </row>
    <row r="35" spans="1:69" x14ac:dyDescent="0.25">
      <c r="A35">
        <v>34</v>
      </c>
      <c r="B35" t="s">
        <v>242</v>
      </c>
      <c r="C35" t="s">
        <v>243</v>
      </c>
      <c r="D35" t="s">
        <v>244</v>
      </c>
      <c r="E35" t="s">
        <v>245</v>
      </c>
      <c r="F35" t="s">
        <v>149</v>
      </c>
      <c r="G35">
        <v>3</v>
      </c>
      <c r="H35">
        <v>1</v>
      </c>
      <c r="I35">
        <v>1733</v>
      </c>
      <c r="J35">
        <v>0</v>
      </c>
      <c r="K35">
        <v>1</v>
      </c>
      <c r="L35">
        <v>4613.6000000000004</v>
      </c>
      <c r="M35">
        <v>2943.6</v>
      </c>
      <c r="N35">
        <v>13008.9</v>
      </c>
      <c r="O35">
        <v>1839.2</v>
      </c>
      <c r="P35">
        <v>11146</v>
      </c>
      <c r="Q35">
        <v>0</v>
      </c>
      <c r="R35">
        <v>0</v>
      </c>
      <c r="S35">
        <v>0</v>
      </c>
      <c r="T35">
        <v>0</v>
      </c>
      <c r="U35">
        <v>0</v>
      </c>
      <c r="V35">
        <v>3.58</v>
      </c>
      <c r="W35">
        <v>0</v>
      </c>
      <c r="X35">
        <v>0</v>
      </c>
      <c r="Y35">
        <v>1.1000000238418579</v>
      </c>
      <c r="Z35">
        <v>0</v>
      </c>
      <c r="AA35">
        <v>0</v>
      </c>
      <c r="AB35">
        <v>1</v>
      </c>
      <c r="AC35">
        <v>0.10000000149011611</v>
      </c>
      <c r="AD35">
        <v>0</v>
      </c>
      <c r="AE35">
        <v>1</v>
      </c>
      <c r="AF35">
        <v>0.10000000149011611</v>
      </c>
      <c r="AG35">
        <v>0.90909090785940816</v>
      </c>
      <c r="AH35">
        <v>9.0909092140591827E-2</v>
      </c>
      <c r="AI35">
        <v>150</v>
      </c>
      <c r="AJ35">
        <v>0</v>
      </c>
      <c r="AK35">
        <v>1</v>
      </c>
      <c r="AL35">
        <v>0.10000000149011611</v>
      </c>
      <c r="AM35">
        <v>0</v>
      </c>
      <c r="AN35">
        <v>0</v>
      </c>
      <c r="AO35">
        <v>0</v>
      </c>
      <c r="AR35">
        <v>0</v>
      </c>
      <c r="AS35">
        <v>0</v>
      </c>
      <c r="AT35">
        <v>0</v>
      </c>
      <c r="AU35">
        <v>1</v>
      </c>
      <c r="AV35">
        <f t="shared" si="0"/>
        <v>3.3306690738754696E-16</v>
      </c>
      <c r="AW35">
        <f t="shared" si="1"/>
        <v>-0.69273743016759803</v>
      </c>
      <c r="AX35">
        <f t="shared" si="2"/>
        <v>0</v>
      </c>
      <c r="AY35">
        <f t="shared" si="3"/>
        <v>0</v>
      </c>
      <c r="AZ35">
        <f t="shared" si="4"/>
        <v>0</v>
      </c>
      <c r="BA35" t="str">
        <f t="shared" si="5"/>
        <v/>
      </c>
      <c r="BB35">
        <f t="shared" si="6"/>
        <v>0.90909090785940816</v>
      </c>
      <c r="BC35">
        <f>MATCH($B35,clean_historis!$B:$B,0)</f>
        <v>35</v>
      </c>
      <c r="BD35">
        <f>IFERROR(INDEX(clean_historis!$AF:$AF,$BC35)/INDEX(clean_historis!$V:$V,$BC35),0)</f>
        <v>0.6927374301675977</v>
      </c>
      <c r="BE35">
        <f>IFERROR(INDEX(clean_historis!$AR:$AR,$BC35)/INDEX(clean_historis!$AH:$AH,$BC35),0)</f>
        <v>0.69273743016759803</v>
      </c>
      <c r="BF35">
        <f t="shared" si="7"/>
        <v>0</v>
      </c>
      <c r="BG35">
        <f>MAX(IF(INDEX(clean_historis!$CL:$CL,$BC35)=1,2025,0),IF(INDEX(clean_historis!$CK:$CK,$BC35)=1,2024,0),IF(INDEX(clean_historis!$CJ:$CJ,$BC35)=1,2023,0),IF(INDEX(clean_historis!$CI:$CI,$BC35)=1,2022,0),IF(INDEX(clean_historis!$CH:$CH,$BC35)=1,2021,0))</f>
        <v>0</v>
      </c>
      <c r="BH35">
        <f t="shared" si="8"/>
        <v>9.0909092140591841E-2</v>
      </c>
      <c r="BI35">
        <f t="shared" si="9"/>
        <v>157.54545667964567</v>
      </c>
      <c r="BJ35">
        <f t="shared" si="10"/>
        <v>0</v>
      </c>
      <c r="BK35">
        <f t="shared" si="11"/>
        <v>31.7121</v>
      </c>
      <c r="BL35">
        <f t="shared" si="12"/>
        <v>0</v>
      </c>
      <c r="BM35">
        <f t="shared" si="13"/>
        <v>0</v>
      </c>
      <c r="BN35">
        <v>0</v>
      </c>
      <c r="BO35">
        <f t="shared" si="16"/>
        <v>0</v>
      </c>
      <c r="BP35">
        <f t="shared" si="14"/>
        <v>0</v>
      </c>
      <c r="BQ35">
        <f t="shared" si="15"/>
        <v>0</v>
      </c>
    </row>
    <row r="36" spans="1:69" x14ac:dyDescent="0.25">
      <c r="A36">
        <v>35</v>
      </c>
      <c r="B36" t="s">
        <v>246</v>
      </c>
      <c r="C36" t="s">
        <v>247</v>
      </c>
      <c r="D36" t="s">
        <v>248</v>
      </c>
      <c r="E36" t="s">
        <v>249</v>
      </c>
      <c r="F36" t="s">
        <v>149</v>
      </c>
      <c r="G36">
        <v>2</v>
      </c>
      <c r="H36">
        <v>1</v>
      </c>
      <c r="I36">
        <v>1286</v>
      </c>
      <c r="J36">
        <v>0</v>
      </c>
      <c r="K36">
        <v>1</v>
      </c>
      <c r="L36">
        <v>3704</v>
      </c>
      <c r="M36">
        <v>1555.9</v>
      </c>
      <c r="N36">
        <v>13463.2</v>
      </c>
      <c r="O36">
        <v>929.6</v>
      </c>
      <c r="P36">
        <v>11600.3</v>
      </c>
      <c r="Q36">
        <v>0</v>
      </c>
      <c r="R36">
        <v>0</v>
      </c>
      <c r="S36">
        <v>0</v>
      </c>
      <c r="T36">
        <v>0</v>
      </c>
      <c r="U36">
        <v>0</v>
      </c>
      <c r="V36">
        <v>1.26</v>
      </c>
      <c r="W36">
        <v>0.25999999046325678</v>
      </c>
      <c r="X36">
        <v>0</v>
      </c>
      <c r="Y36">
        <v>1</v>
      </c>
      <c r="Z36">
        <v>0</v>
      </c>
      <c r="AA36">
        <v>0</v>
      </c>
      <c r="AB36">
        <v>0.69999998807907104</v>
      </c>
      <c r="AC36">
        <v>0.30000001192092901</v>
      </c>
      <c r="AD36">
        <v>0.25999999046325678</v>
      </c>
      <c r="AE36">
        <v>0.69999998807907104</v>
      </c>
      <c r="AF36">
        <v>0.56000000238418579</v>
      </c>
      <c r="AG36">
        <v>0.55555555029941395</v>
      </c>
      <c r="AH36">
        <v>0.444444449700586</v>
      </c>
      <c r="AI36">
        <v>150</v>
      </c>
      <c r="AJ36">
        <v>0</v>
      </c>
      <c r="AK36">
        <v>0.69999998807907104</v>
      </c>
      <c r="AL36">
        <v>0.30000001192092901</v>
      </c>
      <c r="AM36">
        <v>0</v>
      </c>
      <c r="AN36">
        <v>0</v>
      </c>
      <c r="AO36">
        <v>0</v>
      </c>
      <c r="AR36">
        <v>1</v>
      </c>
      <c r="AS36">
        <v>0</v>
      </c>
      <c r="AT36">
        <v>1</v>
      </c>
      <c r="AU36">
        <v>1</v>
      </c>
      <c r="AV36">
        <f t="shared" si="0"/>
        <v>0</v>
      </c>
      <c r="AW36">
        <f t="shared" si="1"/>
        <v>-7.5688438294641003E-9</v>
      </c>
      <c r="AX36">
        <f t="shared" si="2"/>
        <v>265.36506963154625</v>
      </c>
      <c r="AY36">
        <f t="shared" si="3"/>
        <v>0</v>
      </c>
      <c r="AZ36">
        <f t="shared" si="4"/>
        <v>0.25999999046325678</v>
      </c>
      <c r="BA36" t="str">
        <f t="shared" si="5"/>
        <v/>
      </c>
      <c r="BB36">
        <f t="shared" si="6"/>
        <v>0.55555555029941395</v>
      </c>
      <c r="BC36">
        <f>MATCH($B36,clean_historis!$B:$B,0)</f>
        <v>36</v>
      </c>
      <c r="BD36">
        <f>IFERROR(INDEX(clean_historis!$AF:$AF,$BC36)/INDEX(clean_historis!$V:$V,$BC36),0)</f>
        <v>0.20634920634920637</v>
      </c>
      <c r="BE36">
        <f>IFERROR(INDEX(clean_historis!$AR:$AR,$BC36)/INDEX(clean_historis!$AH:$AH,$BC36),0)</f>
        <v>0.20634920634920637</v>
      </c>
      <c r="BF36">
        <f t="shared" si="7"/>
        <v>0.20634919878036254</v>
      </c>
      <c r="BG36">
        <f>MAX(IF(INDEX(clean_historis!$CL:$CL,$BC36)=1,2025,0),IF(INDEX(clean_historis!$CK:$CK,$BC36)=1,2024,0),IF(INDEX(clean_historis!$CJ:$CJ,$BC36)=1,2023,0),IF(INDEX(clean_historis!$CI:$CI,$BC36)=1,2022,0),IF(INDEX(clean_historis!$CH:$CH,$BC36)=1,2021,0))</f>
        <v>0</v>
      </c>
      <c r="BH36">
        <f t="shared" si="8"/>
        <v>0.44444444970058605</v>
      </c>
      <c r="BI36">
        <f t="shared" si="9"/>
        <v>571.5555623149537</v>
      </c>
      <c r="BJ36">
        <f t="shared" si="10"/>
        <v>0</v>
      </c>
      <c r="BK36">
        <f t="shared" si="11"/>
        <v>30.323400000000003</v>
      </c>
      <c r="BL36">
        <f t="shared" si="12"/>
        <v>0</v>
      </c>
      <c r="BM36">
        <f t="shared" si="13"/>
        <v>0</v>
      </c>
      <c r="BN36">
        <v>0</v>
      </c>
      <c r="BO36">
        <f t="shared" si="16"/>
        <v>0</v>
      </c>
      <c r="BP36">
        <f t="shared" si="14"/>
        <v>0</v>
      </c>
      <c r="BQ36">
        <f t="shared" si="15"/>
        <v>0</v>
      </c>
    </row>
    <row r="37" spans="1:69" x14ac:dyDescent="0.25">
      <c r="A37">
        <v>36</v>
      </c>
      <c r="B37" t="s">
        <v>250</v>
      </c>
      <c r="C37" t="s">
        <v>251</v>
      </c>
      <c r="D37" t="s">
        <v>252</v>
      </c>
      <c r="E37" t="s">
        <v>253</v>
      </c>
      <c r="F37" t="s">
        <v>154</v>
      </c>
      <c r="G37">
        <v>3</v>
      </c>
      <c r="H37">
        <v>2</v>
      </c>
      <c r="I37">
        <v>1579</v>
      </c>
      <c r="J37">
        <v>0</v>
      </c>
      <c r="K37">
        <v>1</v>
      </c>
      <c r="L37">
        <v>4916.3999999999996</v>
      </c>
      <c r="M37">
        <v>1098.2</v>
      </c>
      <c r="N37">
        <v>14675.6</v>
      </c>
      <c r="O37">
        <v>222.1</v>
      </c>
      <c r="P37">
        <v>12812.7</v>
      </c>
      <c r="Q37">
        <v>0</v>
      </c>
      <c r="R37">
        <v>0</v>
      </c>
      <c r="S37">
        <v>0</v>
      </c>
      <c r="T37">
        <v>0</v>
      </c>
      <c r="U37">
        <v>0</v>
      </c>
      <c r="V37">
        <v>2.11</v>
      </c>
      <c r="W37">
        <v>0</v>
      </c>
      <c r="X37">
        <v>0</v>
      </c>
      <c r="Y37">
        <v>2.1099998950958252</v>
      </c>
      <c r="Z37">
        <v>0</v>
      </c>
      <c r="AA37">
        <v>0</v>
      </c>
      <c r="AB37">
        <v>2.0099999904632568</v>
      </c>
      <c r="AC37">
        <v>0.10000000149011611</v>
      </c>
      <c r="AD37">
        <v>0</v>
      </c>
      <c r="AE37">
        <v>2.0099999904632568</v>
      </c>
      <c r="AF37">
        <v>0.10000000149011611</v>
      </c>
      <c r="AG37">
        <v>0.95260663418413605</v>
      </c>
      <c r="AH37">
        <v>4.7393365815863911E-2</v>
      </c>
      <c r="AI37">
        <v>150</v>
      </c>
      <c r="AJ37">
        <v>0</v>
      </c>
      <c r="AK37">
        <v>2.0099999904632568</v>
      </c>
      <c r="AL37">
        <v>0.10000000149011611</v>
      </c>
      <c r="AM37">
        <v>0</v>
      </c>
      <c r="AN37">
        <v>0</v>
      </c>
      <c r="AO37">
        <v>0</v>
      </c>
      <c r="AR37">
        <v>0</v>
      </c>
      <c r="AS37">
        <v>0</v>
      </c>
      <c r="AT37">
        <v>0</v>
      </c>
      <c r="AU37">
        <v>0</v>
      </c>
      <c r="AV37">
        <f t="shared" si="0"/>
        <v>0</v>
      </c>
      <c r="AW37">
        <f t="shared" si="1"/>
        <v>0</v>
      </c>
      <c r="AX37">
        <f t="shared" si="2"/>
        <v>0</v>
      </c>
      <c r="AY37">
        <f t="shared" si="3"/>
        <v>0</v>
      </c>
      <c r="AZ37">
        <f t="shared" si="4"/>
        <v>0</v>
      </c>
      <c r="BA37" t="str">
        <f t="shared" si="5"/>
        <v/>
      </c>
      <c r="BB37">
        <f t="shared" si="6"/>
        <v>0.95260663418413605</v>
      </c>
      <c r="BC37">
        <f>MATCH($B37,clean_historis!$B:$B,0)</f>
        <v>37</v>
      </c>
      <c r="BD37">
        <f>IFERROR(INDEX(clean_historis!$AF:$AF,$BC37)/INDEX(clean_historis!$V:$V,$BC37),0)</f>
        <v>0</v>
      </c>
      <c r="BE37">
        <f>IFERROR(INDEX(clean_historis!$AR:$AR,$BC37)/INDEX(clean_historis!$AH:$AH,$BC37),0)</f>
        <v>0</v>
      </c>
      <c r="BF37">
        <f t="shared" si="7"/>
        <v>0</v>
      </c>
      <c r="BG37">
        <f>MAX(IF(INDEX(clean_historis!$CL:$CL,$BC37)=1,2025,0),IF(INDEX(clean_historis!$CK:$CK,$BC37)=1,2024,0),IF(INDEX(clean_historis!$CJ:$CJ,$BC37)=1,2023,0),IF(INDEX(clean_historis!$CI:$CI,$BC37)=1,2022,0),IF(INDEX(clean_historis!$CH:$CH,$BC37)=1,2021,0))</f>
        <v>0</v>
      </c>
      <c r="BH37">
        <f t="shared" si="8"/>
        <v>4.7393365815863953E-2</v>
      </c>
      <c r="BI37">
        <f t="shared" si="9"/>
        <v>74.834124623249181</v>
      </c>
      <c r="BJ37">
        <f t="shared" si="10"/>
        <v>0</v>
      </c>
      <c r="BK37">
        <f t="shared" si="11"/>
        <v>33.502899999999997</v>
      </c>
      <c r="BL37">
        <f t="shared" si="12"/>
        <v>0</v>
      </c>
      <c r="BM37">
        <f t="shared" si="13"/>
        <v>0</v>
      </c>
      <c r="BN37">
        <v>0</v>
      </c>
      <c r="BO37">
        <f t="shared" si="16"/>
        <v>0</v>
      </c>
      <c r="BP37">
        <f t="shared" si="14"/>
        <v>0</v>
      </c>
      <c r="BQ37">
        <f t="shared" si="15"/>
        <v>0</v>
      </c>
    </row>
    <row r="38" spans="1:69" x14ac:dyDescent="0.25">
      <c r="A38">
        <v>37</v>
      </c>
      <c r="B38" t="s">
        <v>254</v>
      </c>
      <c r="C38" t="s">
        <v>255</v>
      </c>
      <c r="D38" t="s">
        <v>256</v>
      </c>
      <c r="E38" t="s">
        <v>257</v>
      </c>
      <c r="F38" t="s">
        <v>176</v>
      </c>
      <c r="G38">
        <v>1</v>
      </c>
      <c r="H38">
        <v>1</v>
      </c>
      <c r="I38">
        <v>668</v>
      </c>
      <c r="J38">
        <v>0</v>
      </c>
      <c r="K38">
        <v>0</v>
      </c>
      <c r="L38">
        <v>3386.3</v>
      </c>
      <c r="M38">
        <v>3536.4</v>
      </c>
      <c r="N38">
        <v>1759.6</v>
      </c>
      <c r="O38">
        <v>1501.9</v>
      </c>
      <c r="P38">
        <v>3431.5</v>
      </c>
      <c r="Q38">
        <v>0</v>
      </c>
      <c r="R38">
        <v>0</v>
      </c>
      <c r="S38">
        <v>0</v>
      </c>
      <c r="T38">
        <v>0</v>
      </c>
      <c r="U38">
        <v>0</v>
      </c>
      <c r="V38">
        <v>0.79</v>
      </c>
      <c r="W38">
        <v>0</v>
      </c>
      <c r="X38">
        <v>0</v>
      </c>
      <c r="Y38">
        <v>0.79000002145767212</v>
      </c>
      <c r="Z38">
        <v>0</v>
      </c>
      <c r="AA38">
        <v>0</v>
      </c>
      <c r="AB38">
        <v>0</v>
      </c>
      <c r="AC38">
        <v>0.79000002145767212</v>
      </c>
      <c r="AD38">
        <v>0</v>
      </c>
      <c r="AE38">
        <v>0</v>
      </c>
      <c r="AF38">
        <v>0.79000002145767212</v>
      </c>
      <c r="AG38">
        <v>0</v>
      </c>
      <c r="AH38">
        <v>1</v>
      </c>
      <c r="AI38">
        <v>150</v>
      </c>
      <c r="AJ38">
        <v>0</v>
      </c>
      <c r="AK38">
        <v>0</v>
      </c>
      <c r="AL38">
        <v>0.79000002145767212</v>
      </c>
      <c r="AM38">
        <v>0</v>
      </c>
      <c r="AN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f t="shared" si="0"/>
        <v>0</v>
      </c>
      <c r="AW38">
        <f t="shared" si="1"/>
        <v>0</v>
      </c>
      <c r="AX38">
        <f t="shared" si="2"/>
        <v>0</v>
      </c>
      <c r="AY38">
        <f t="shared" si="3"/>
        <v>0</v>
      </c>
      <c r="AZ38">
        <f t="shared" si="4"/>
        <v>0</v>
      </c>
      <c r="BA38" t="str">
        <f t="shared" si="5"/>
        <v/>
      </c>
      <c r="BB38">
        <f t="shared" si="6"/>
        <v>0</v>
      </c>
      <c r="BC38">
        <f>MATCH($B38,clean_historis!$B:$B,0)</f>
        <v>38</v>
      </c>
      <c r="BD38">
        <f>IFERROR(INDEX(clean_historis!$AF:$AF,$BC38)/INDEX(clean_historis!$V:$V,$BC38),0)</f>
        <v>0</v>
      </c>
      <c r="BE38">
        <f>IFERROR(INDEX(clean_historis!$AR:$AR,$BC38)/INDEX(clean_historis!$AH:$AH,$BC38),0)</f>
        <v>0</v>
      </c>
      <c r="BF38">
        <f t="shared" si="7"/>
        <v>0</v>
      </c>
      <c r="BG38">
        <f>MAX(IF(INDEX(clean_historis!$CL:$CL,$BC38)=1,2025,0),IF(INDEX(clean_historis!$CK:$CK,$BC38)=1,2024,0),IF(INDEX(clean_historis!$CJ:$CJ,$BC38)=1,2023,0),IF(INDEX(clean_historis!$CI:$CI,$BC38)=1,2022,0),IF(INDEX(clean_historis!$CH:$CH,$BC38)=1,2021,0))</f>
        <v>0</v>
      </c>
      <c r="BH38">
        <f t="shared" si="8"/>
        <v>1</v>
      </c>
      <c r="BI38">
        <f t="shared" si="9"/>
        <v>668</v>
      </c>
      <c r="BJ38">
        <f t="shared" si="10"/>
        <v>1</v>
      </c>
      <c r="BK38">
        <f t="shared" si="11"/>
        <v>12.113799999999999</v>
      </c>
      <c r="BL38">
        <f t="shared" si="12"/>
        <v>0</v>
      </c>
      <c r="BM38">
        <f t="shared" si="13"/>
        <v>0</v>
      </c>
      <c r="BN38">
        <v>0</v>
      </c>
      <c r="BO38">
        <f t="shared" si="16"/>
        <v>1</v>
      </c>
      <c r="BP38">
        <f t="shared" si="14"/>
        <v>0</v>
      </c>
      <c r="BQ38">
        <f t="shared" si="15"/>
        <v>1</v>
      </c>
    </row>
    <row r="39" spans="1:69" x14ac:dyDescent="0.25">
      <c r="A39">
        <v>38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>
        <v>2</v>
      </c>
      <c r="H39">
        <v>2</v>
      </c>
      <c r="I39">
        <v>1716</v>
      </c>
      <c r="J39">
        <v>0</v>
      </c>
      <c r="K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5.61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150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R39">
        <v>0</v>
      </c>
      <c r="AS39">
        <v>0</v>
      </c>
      <c r="AT39">
        <v>0</v>
      </c>
      <c r="AU39">
        <v>1</v>
      </c>
      <c r="AV39">
        <f t="shared" si="0"/>
        <v>-7.7715611723760958E-16</v>
      </c>
      <c r="AW39">
        <f t="shared" si="1"/>
        <v>-0.99999999999999922</v>
      </c>
      <c r="AX39">
        <f t="shared" si="2"/>
        <v>0</v>
      </c>
      <c r="AY39">
        <f t="shared" si="3"/>
        <v>5</v>
      </c>
      <c r="AZ39">
        <f t="shared" si="4"/>
        <v>0</v>
      </c>
      <c r="BA39" t="str">
        <f t="shared" si="5"/>
        <v/>
      </c>
      <c r="BB39">
        <f t="shared" si="6"/>
        <v>0</v>
      </c>
      <c r="BC39">
        <f>MATCH($B39,clean_historis!$B:$B,0)</f>
        <v>39</v>
      </c>
      <c r="BD39">
        <f>IFERROR(INDEX(clean_historis!$AF:$AF,$BC39)/INDEX(clean_historis!$V:$V,$BC39),0)</f>
        <v>1</v>
      </c>
      <c r="BE39">
        <f>IFERROR(INDEX(clean_historis!$AR:$AR,$BC39)/INDEX(clean_historis!$AH:$AH,$BC39),0)</f>
        <v>0.99999999999999922</v>
      </c>
      <c r="BF39">
        <f t="shared" si="7"/>
        <v>0</v>
      </c>
      <c r="BG39">
        <f>MAX(IF(INDEX(clean_historis!$CL:$CL,$BC39)=1,2025,0),IF(INDEX(clean_historis!$CK:$CK,$BC39)=1,2024,0),IF(INDEX(clean_historis!$CJ:$CJ,$BC39)=1,2023,0),IF(INDEX(clean_historis!$CI:$CI,$BC39)=1,2022,0),IF(INDEX(clean_historis!$CH:$CH,$BC39)=1,2021,0))</f>
        <v>0</v>
      </c>
      <c r="BH39">
        <f t="shared" si="8"/>
        <v>1</v>
      </c>
      <c r="BI39">
        <f t="shared" si="9"/>
        <v>1716</v>
      </c>
      <c r="BJ39">
        <f t="shared" si="10"/>
        <v>0</v>
      </c>
      <c r="BK39">
        <f t="shared" si="11"/>
        <v>0</v>
      </c>
      <c r="BL39">
        <f t="shared" si="12"/>
        <v>0</v>
      </c>
      <c r="BM39">
        <f t="shared" si="13"/>
        <v>0</v>
      </c>
      <c r="BN39">
        <v>0</v>
      </c>
      <c r="BO39">
        <f t="shared" si="16"/>
        <v>0</v>
      </c>
      <c r="BP39">
        <f t="shared" si="14"/>
        <v>0</v>
      </c>
      <c r="BQ39">
        <f t="shared" si="15"/>
        <v>1</v>
      </c>
    </row>
    <row r="40" spans="1:69" x14ac:dyDescent="0.25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105</v>
      </c>
      <c r="G40">
        <v>2</v>
      </c>
      <c r="H40">
        <v>1</v>
      </c>
      <c r="I40">
        <v>1057</v>
      </c>
      <c r="J40">
        <v>0</v>
      </c>
      <c r="K40">
        <v>1</v>
      </c>
      <c r="L40">
        <v>2640.6</v>
      </c>
      <c r="M40">
        <v>1440.1</v>
      </c>
      <c r="N40">
        <v>3946.6</v>
      </c>
      <c r="O40">
        <v>946.5</v>
      </c>
      <c r="P40">
        <v>4542.3999999999996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1.39</v>
      </c>
      <c r="W40">
        <v>0</v>
      </c>
      <c r="X40">
        <v>0</v>
      </c>
      <c r="Y40">
        <v>1.389999985694885</v>
      </c>
      <c r="Z40">
        <v>0</v>
      </c>
      <c r="AA40">
        <v>0.40000000596046448</v>
      </c>
      <c r="AB40">
        <v>0.49000000953674322</v>
      </c>
      <c r="AC40">
        <v>0.5</v>
      </c>
      <c r="AD40">
        <v>0</v>
      </c>
      <c r="AE40">
        <v>0.89000001549720764</v>
      </c>
      <c r="AF40">
        <v>0.5</v>
      </c>
      <c r="AG40">
        <v>0.64028777379462953</v>
      </c>
      <c r="AH40">
        <v>0.35971222620537052</v>
      </c>
      <c r="AI40">
        <v>150</v>
      </c>
      <c r="AJ40">
        <v>0.40000000596046448</v>
      </c>
      <c r="AK40">
        <v>0.49000000953674322</v>
      </c>
      <c r="AL40">
        <v>0.5</v>
      </c>
      <c r="AM40">
        <v>0</v>
      </c>
      <c r="AN40">
        <v>1</v>
      </c>
      <c r="AO40">
        <v>1</v>
      </c>
      <c r="AP40">
        <v>2024</v>
      </c>
      <c r="AQ40">
        <v>2</v>
      </c>
      <c r="AR40">
        <v>0</v>
      </c>
      <c r="AS40">
        <v>0</v>
      </c>
      <c r="AT40">
        <v>0</v>
      </c>
      <c r="AU40">
        <v>0</v>
      </c>
      <c r="AV40">
        <f t="shared" si="0"/>
        <v>-1</v>
      </c>
      <c r="AW40">
        <f t="shared" si="1"/>
        <v>0</v>
      </c>
      <c r="AX40">
        <f t="shared" si="2"/>
        <v>0</v>
      </c>
      <c r="AY40">
        <f t="shared" si="3"/>
        <v>0</v>
      </c>
      <c r="AZ40">
        <f t="shared" si="4"/>
        <v>0</v>
      </c>
      <c r="BA40">
        <f t="shared" si="5"/>
        <v>1</v>
      </c>
      <c r="BB40">
        <f t="shared" si="6"/>
        <v>0.64028777379462953</v>
      </c>
      <c r="BC40">
        <f>MATCH($B40,clean_historis!$B:$B,0)</f>
        <v>40</v>
      </c>
      <c r="BD40">
        <f>IFERROR(INDEX(clean_historis!$AF:$AF,$BC40)/INDEX(clean_historis!$V:$V,$BC40),0)</f>
        <v>1</v>
      </c>
      <c r="BE40">
        <f>IFERROR(INDEX(clean_historis!$AR:$AR,$BC40)/INDEX(clean_historis!$AH:$AH,$BC40),0)</f>
        <v>0</v>
      </c>
      <c r="BF40">
        <f t="shared" si="7"/>
        <v>0</v>
      </c>
      <c r="BG40">
        <f>MAX(IF(INDEX(clean_historis!$CL:$CL,$BC40)=1,2025,0),IF(INDEX(clean_historis!$CK:$CK,$BC40)=1,2024,0),IF(INDEX(clean_historis!$CJ:$CJ,$BC40)=1,2023,0),IF(INDEX(clean_historis!$CI:$CI,$BC40)=1,2022,0),IF(INDEX(clean_historis!$CH:$CH,$BC40)=1,2021,0))</f>
        <v>2024</v>
      </c>
      <c r="BH40">
        <f t="shared" si="8"/>
        <v>0.35971222620537047</v>
      </c>
      <c r="BI40">
        <f t="shared" si="9"/>
        <v>380.2158230990766</v>
      </c>
      <c r="BJ40">
        <f t="shared" si="10"/>
        <v>1</v>
      </c>
      <c r="BK40">
        <f t="shared" si="11"/>
        <v>12.569700000000001</v>
      </c>
      <c r="BL40">
        <f t="shared" si="12"/>
        <v>0</v>
      </c>
      <c r="BM40">
        <f t="shared" si="13"/>
        <v>0</v>
      </c>
      <c r="BN40">
        <v>0</v>
      </c>
      <c r="BO40">
        <f t="shared" si="16"/>
        <v>0</v>
      </c>
      <c r="BP40">
        <f t="shared" si="14"/>
        <v>1</v>
      </c>
      <c r="BQ40">
        <f t="shared" si="15"/>
        <v>0</v>
      </c>
    </row>
    <row r="41" spans="1:69" x14ac:dyDescent="0.25">
      <c r="A41">
        <v>40</v>
      </c>
      <c r="B41" t="s">
        <v>267</v>
      </c>
      <c r="C41" t="s">
        <v>268</v>
      </c>
      <c r="D41" t="s">
        <v>269</v>
      </c>
      <c r="E41" t="s">
        <v>194</v>
      </c>
      <c r="F41" t="s">
        <v>100</v>
      </c>
      <c r="G41">
        <v>1</v>
      </c>
      <c r="H41">
        <v>1</v>
      </c>
      <c r="I41">
        <v>1874</v>
      </c>
      <c r="J41">
        <v>0</v>
      </c>
      <c r="K41">
        <v>1</v>
      </c>
      <c r="L41">
        <v>2875.3</v>
      </c>
      <c r="M41">
        <v>2807.9</v>
      </c>
      <c r="N41">
        <v>4548</v>
      </c>
      <c r="O41">
        <v>991.5</v>
      </c>
      <c r="P41">
        <v>2685.1</v>
      </c>
      <c r="Q41">
        <v>0</v>
      </c>
      <c r="R41">
        <v>0</v>
      </c>
      <c r="S41">
        <v>0</v>
      </c>
      <c r="T41">
        <v>0</v>
      </c>
      <c r="U41">
        <v>0</v>
      </c>
      <c r="V41">
        <v>2.1</v>
      </c>
      <c r="W41">
        <v>0</v>
      </c>
      <c r="X41">
        <v>0</v>
      </c>
      <c r="Y41">
        <v>2.0999999046325679</v>
      </c>
      <c r="Z41">
        <v>0</v>
      </c>
      <c r="AA41">
        <v>0.89999997615814209</v>
      </c>
      <c r="AB41">
        <v>1.200000047683716</v>
      </c>
      <c r="AC41">
        <v>0</v>
      </c>
      <c r="AD41">
        <v>0</v>
      </c>
      <c r="AE41">
        <v>2.1000000238418579</v>
      </c>
      <c r="AF41">
        <v>0</v>
      </c>
      <c r="AG41">
        <v>1</v>
      </c>
      <c r="AH41">
        <v>0</v>
      </c>
      <c r="AI41">
        <v>150</v>
      </c>
      <c r="AJ41">
        <v>0.89999997615814209</v>
      </c>
      <c r="AK41">
        <v>1.200000047683716</v>
      </c>
      <c r="AL41">
        <v>0</v>
      </c>
      <c r="AM41">
        <v>0</v>
      </c>
      <c r="AN41">
        <v>1</v>
      </c>
      <c r="AO41">
        <v>2</v>
      </c>
      <c r="AP41">
        <v>2025</v>
      </c>
      <c r="AQ41">
        <v>1</v>
      </c>
      <c r="AR41">
        <v>0</v>
      </c>
      <c r="AS41">
        <v>0</v>
      </c>
      <c r="AT41">
        <v>0</v>
      </c>
      <c r="AU41">
        <v>1</v>
      </c>
      <c r="AV41">
        <f t="shared" si="0"/>
        <v>0</v>
      </c>
      <c r="AW41">
        <f t="shared" si="1"/>
        <v>0</v>
      </c>
      <c r="AX41">
        <f t="shared" si="2"/>
        <v>0</v>
      </c>
      <c r="AY41">
        <f t="shared" si="3"/>
        <v>0</v>
      </c>
      <c r="AZ41">
        <f t="shared" si="4"/>
        <v>0</v>
      </c>
      <c r="BA41">
        <f t="shared" si="5"/>
        <v>0</v>
      </c>
      <c r="BB41">
        <f t="shared" si="6"/>
        <v>1</v>
      </c>
      <c r="BC41">
        <f>MATCH($B41,clean_historis!$B:$B,0)</f>
        <v>41</v>
      </c>
      <c r="BD41">
        <f>IFERROR(INDEX(clean_historis!$AF:$AF,$BC41)/INDEX(clean_historis!$V:$V,$BC41),0)</f>
        <v>0</v>
      </c>
      <c r="BE41">
        <f>IFERROR(INDEX(clean_historis!$AR:$AR,$BC41)/INDEX(clean_historis!$AH:$AH,$BC41),0)</f>
        <v>0</v>
      </c>
      <c r="BF41">
        <f t="shared" si="7"/>
        <v>0</v>
      </c>
      <c r="BG41">
        <f>MAX(IF(INDEX(clean_historis!$CL:$CL,$BC41)=1,2025,0),IF(INDEX(clean_historis!$CK:$CK,$BC41)=1,2024,0),IF(INDEX(clean_historis!$CJ:$CJ,$BC41)=1,2023,0),IF(INDEX(clean_historis!$CI:$CI,$BC41)=1,2022,0),IF(INDEX(clean_historis!$CH:$CH,$BC41)=1,2021,0))</f>
        <v>2025</v>
      </c>
      <c r="BH41">
        <f t="shared" si="8"/>
        <v>0</v>
      </c>
      <c r="BI41">
        <f t="shared" si="9"/>
        <v>0</v>
      </c>
      <c r="BJ41">
        <f t="shared" si="10"/>
        <v>1</v>
      </c>
      <c r="BK41">
        <f t="shared" si="11"/>
        <v>12.9163</v>
      </c>
      <c r="BL41">
        <f t="shared" si="12"/>
        <v>0</v>
      </c>
      <c r="BM41">
        <f t="shared" si="13"/>
        <v>0</v>
      </c>
      <c r="BN41">
        <v>0</v>
      </c>
      <c r="BO41">
        <f t="shared" si="16"/>
        <v>0</v>
      </c>
      <c r="BP41">
        <f t="shared" si="14"/>
        <v>1</v>
      </c>
      <c r="BQ41">
        <f t="shared" si="15"/>
        <v>0</v>
      </c>
    </row>
    <row r="42" spans="1:69" x14ac:dyDescent="0.25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100</v>
      </c>
      <c r="G42">
        <v>3</v>
      </c>
      <c r="H42">
        <v>1</v>
      </c>
      <c r="I42">
        <v>1903</v>
      </c>
      <c r="J42">
        <v>0</v>
      </c>
      <c r="K42">
        <v>0</v>
      </c>
      <c r="L42">
        <v>3312.2</v>
      </c>
      <c r="M42">
        <v>3299.3</v>
      </c>
      <c r="N42">
        <v>3671.3</v>
      </c>
      <c r="O42">
        <v>922.4</v>
      </c>
      <c r="P42">
        <v>3167.3</v>
      </c>
      <c r="Q42">
        <v>0</v>
      </c>
      <c r="R42">
        <v>0</v>
      </c>
      <c r="S42">
        <v>0</v>
      </c>
      <c r="T42">
        <v>0</v>
      </c>
      <c r="U42">
        <v>0</v>
      </c>
      <c r="V42">
        <v>1.24</v>
      </c>
      <c r="W42">
        <v>0</v>
      </c>
      <c r="X42">
        <v>0</v>
      </c>
      <c r="Y42">
        <v>1.2400000095367429</v>
      </c>
      <c r="Z42">
        <v>0</v>
      </c>
      <c r="AA42">
        <v>0</v>
      </c>
      <c r="AB42">
        <v>0.40000000596046448</v>
      </c>
      <c r="AC42">
        <v>0.8399999737739563</v>
      </c>
      <c r="AD42">
        <v>0</v>
      </c>
      <c r="AE42">
        <v>0.40000000596046448</v>
      </c>
      <c r="AF42">
        <v>0.8399999737739563</v>
      </c>
      <c r="AG42">
        <v>0.32258065524011958</v>
      </c>
      <c r="AH42">
        <v>0.67741934475988042</v>
      </c>
      <c r="AI42">
        <v>150</v>
      </c>
      <c r="AJ42">
        <v>0</v>
      </c>
      <c r="AK42">
        <v>0.40000000596046448</v>
      </c>
      <c r="AL42">
        <v>0.8399999737739563</v>
      </c>
      <c r="AM42">
        <v>0</v>
      </c>
      <c r="AN42">
        <v>0</v>
      </c>
      <c r="AO42">
        <v>0</v>
      </c>
      <c r="AR42">
        <v>0</v>
      </c>
      <c r="AS42">
        <v>0</v>
      </c>
      <c r="AT42">
        <v>0</v>
      </c>
      <c r="AU42">
        <v>0</v>
      </c>
      <c r="AV42">
        <f t="shared" si="0"/>
        <v>0</v>
      </c>
      <c r="AW42">
        <f t="shared" si="1"/>
        <v>0</v>
      </c>
      <c r="AX42">
        <f t="shared" si="2"/>
        <v>0</v>
      </c>
      <c r="AY42">
        <f t="shared" si="3"/>
        <v>0</v>
      </c>
      <c r="AZ42">
        <f t="shared" si="4"/>
        <v>0</v>
      </c>
      <c r="BA42" t="str">
        <f t="shared" si="5"/>
        <v/>
      </c>
      <c r="BB42">
        <f t="shared" si="6"/>
        <v>0.32258065524011958</v>
      </c>
      <c r="BC42">
        <f>MATCH($B42,clean_historis!$B:$B,0)</f>
        <v>42</v>
      </c>
      <c r="BD42">
        <f>IFERROR(INDEX(clean_historis!$AF:$AF,$BC42)/INDEX(clean_historis!$V:$V,$BC42),0)</f>
        <v>0</v>
      </c>
      <c r="BE42">
        <f>IFERROR(INDEX(clean_historis!$AR:$AR,$BC42)/INDEX(clean_historis!$AH:$AH,$BC42),0)</f>
        <v>0</v>
      </c>
      <c r="BF42">
        <f t="shared" si="7"/>
        <v>0</v>
      </c>
      <c r="BG42">
        <f>MAX(IF(INDEX(clean_historis!$CL:$CL,$BC42)=1,2025,0),IF(INDEX(clean_historis!$CK:$CK,$BC42)=1,2024,0),IF(INDEX(clean_historis!$CJ:$CJ,$BC42)=1,2023,0),IF(INDEX(clean_historis!$CI:$CI,$BC42)=1,2022,0),IF(INDEX(clean_historis!$CH:$CH,$BC42)=1,2021,0))</f>
        <v>0</v>
      </c>
      <c r="BH42">
        <f t="shared" si="8"/>
        <v>0.67741934475988042</v>
      </c>
      <c r="BI42">
        <f t="shared" si="9"/>
        <v>1289.1290130780524</v>
      </c>
      <c r="BJ42">
        <f t="shared" si="10"/>
        <v>1</v>
      </c>
      <c r="BK42">
        <f t="shared" si="11"/>
        <v>13.450099999999999</v>
      </c>
      <c r="BL42">
        <f t="shared" si="12"/>
        <v>0</v>
      </c>
      <c r="BM42">
        <f t="shared" si="13"/>
        <v>0</v>
      </c>
      <c r="BN42">
        <v>0</v>
      </c>
      <c r="BO42">
        <f t="shared" si="16"/>
        <v>0</v>
      </c>
      <c r="BP42">
        <f t="shared" si="14"/>
        <v>0</v>
      </c>
      <c r="BQ42">
        <f t="shared" si="15"/>
        <v>1</v>
      </c>
    </row>
    <row r="43" spans="1:69" x14ac:dyDescent="0.25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100</v>
      </c>
      <c r="G43">
        <v>2</v>
      </c>
      <c r="H43">
        <v>1</v>
      </c>
      <c r="I43">
        <v>1164</v>
      </c>
      <c r="J43">
        <v>0</v>
      </c>
      <c r="K43">
        <v>0</v>
      </c>
      <c r="L43">
        <v>4064.3</v>
      </c>
      <c r="M43">
        <v>3949.4</v>
      </c>
      <c r="N43">
        <v>4423.3999999999996</v>
      </c>
      <c r="O43">
        <v>897</v>
      </c>
      <c r="P43">
        <v>3919.4</v>
      </c>
      <c r="Q43">
        <v>0</v>
      </c>
      <c r="R43">
        <v>0</v>
      </c>
      <c r="S43">
        <v>0</v>
      </c>
      <c r="T43">
        <v>0</v>
      </c>
      <c r="U43">
        <v>0</v>
      </c>
      <c r="V43">
        <v>1.63</v>
      </c>
      <c r="W43">
        <v>0</v>
      </c>
      <c r="X43">
        <v>0</v>
      </c>
      <c r="Y43">
        <v>1.629999995231628</v>
      </c>
      <c r="Z43">
        <v>0</v>
      </c>
      <c r="AA43">
        <v>0.60000002384185791</v>
      </c>
      <c r="AB43">
        <v>1.029999971389771</v>
      </c>
      <c r="AC43">
        <v>0</v>
      </c>
      <c r="AD43">
        <v>0</v>
      </c>
      <c r="AE43">
        <v>1.629999995231628</v>
      </c>
      <c r="AF43">
        <v>0</v>
      </c>
      <c r="AG43">
        <v>1</v>
      </c>
      <c r="AH43">
        <v>0</v>
      </c>
      <c r="AI43">
        <v>150</v>
      </c>
      <c r="AJ43">
        <v>0.60000002384185791</v>
      </c>
      <c r="AK43">
        <v>1.029999971389771</v>
      </c>
      <c r="AL43">
        <v>0</v>
      </c>
      <c r="AM43">
        <v>0</v>
      </c>
      <c r="AN43">
        <v>0</v>
      </c>
      <c r="AO43">
        <v>0</v>
      </c>
      <c r="AR43">
        <v>0</v>
      </c>
      <c r="AS43">
        <v>0</v>
      </c>
      <c r="AT43">
        <v>0</v>
      </c>
      <c r="AU43">
        <v>0</v>
      </c>
      <c r="AV43">
        <f t="shared" si="0"/>
        <v>0</v>
      </c>
      <c r="AW43">
        <f t="shared" si="1"/>
        <v>0</v>
      </c>
      <c r="AX43">
        <f t="shared" si="2"/>
        <v>0</v>
      </c>
      <c r="AY43">
        <f t="shared" si="3"/>
        <v>0</v>
      </c>
      <c r="AZ43">
        <f t="shared" si="4"/>
        <v>0</v>
      </c>
      <c r="BA43" t="str">
        <f t="shared" si="5"/>
        <v/>
      </c>
      <c r="BB43">
        <f t="shared" si="6"/>
        <v>1</v>
      </c>
      <c r="BC43">
        <f>MATCH($B43,clean_historis!$B:$B,0)</f>
        <v>43</v>
      </c>
      <c r="BD43">
        <f>IFERROR(INDEX(clean_historis!$AF:$AF,$BC43)/INDEX(clean_historis!$V:$V,$BC43),0)</f>
        <v>0</v>
      </c>
      <c r="BE43">
        <f>IFERROR(INDEX(clean_historis!$AR:$AR,$BC43)/INDEX(clean_historis!$AH:$AH,$BC43),0)</f>
        <v>0</v>
      </c>
      <c r="BF43">
        <f t="shared" si="7"/>
        <v>0</v>
      </c>
      <c r="BG43">
        <f>MAX(IF(INDEX(clean_historis!$CL:$CL,$BC43)=1,2025,0),IF(INDEX(clean_historis!$CK:$CK,$BC43)=1,2024,0),IF(INDEX(clean_historis!$CJ:$CJ,$BC43)=1,2023,0),IF(INDEX(clean_historis!$CI:$CI,$BC43)=1,2022,0),IF(INDEX(clean_historis!$CH:$CH,$BC43)=1,2021,0))</f>
        <v>0</v>
      </c>
      <c r="BH43">
        <f t="shared" si="8"/>
        <v>0</v>
      </c>
      <c r="BI43">
        <f t="shared" si="9"/>
        <v>0</v>
      </c>
      <c r="BJ43">
        <f t="shared" si="10"/>
        <v>1</v>
      </c>
      <c r="BK43">
        <f t="shared" si="11"/>
        <v>16.3565</v>
      </c>
      <c r="BL43">
        <f t="shared" si="12"/>
        <v>0</v>
      </c>
      <c r="BM43">
        <f t="shared" si="13"/>
        <v>0</v>
      </c>
      <c r="BN43">
        <v>0</v>
      </c>
      <c r="BO43">
        <f t="shared" si="16"/>
        <v>0</v>
      </c>
      <c r="BP43">
        <f t="shared" si="14"/>
        <v>0</v>
      </c>
      <c r="BQ43">
        <f t="shared" si="15"/>
        <v>0</v>
      </c>
    </row>
    <row r="44" spans="1:69" x14ac:dyDescent="0.25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176</v>
      </c>
      <c r="G44">
        <v>2</v>
      </c>
      <c r="H44">
        <v>1</v>
      </c>
      <c r="I44">
        <v>743</v>
      </c>
      <c r="J44">
        <v>0</v>
      </c>
      <c r="K44">
        <v>0</v>
      </c>
      <c r="L44">
        <v>3233.4</v>
      </c>
      <c r="M44">
        <v>3264.1</v>
      </c>
      <c r="N44">
        <v>10405.200000000001</v>
      </c>
      <c r="O44">
        <v>1686.5</v>
      </c>
      <c r="P44">
        <v>12077.1</v>
      </c>
      <c r="Q44">
        <v>0</v>
      </c>
      <c r="R44">
        <v>0</v>
      </c>
      <c r="S44">
        <v>0</v>
      </c>
      <c r="T44">
        <v>0</v>
      </c>
      <c r="U44">
        <v>0</v>
      </c>
      <c r="V44">
        <v>1.32</v>
      </c>
      <c r="W44">
        <v>0</v>
      </c>
      <c r="X44">
        <v>0</v>
      </c>
      <c r="Y44">
        <v>1.320000052452087</v>
      </c>
      <c r="Z44">
        <v>0</v>
      </c>
      <c r="AA44">
        <v>0.20000000298023221</v>
      </c>
      <c r="AB44">
        <v>0.92000001668930054</v>
      </c>
      <c r="AC44">
        <v>0.20000000298023221</v>
      </c>
      <c r="AD44">
        <v>0</v>
      </c>
      <c r="AE44">
        <v>1.120000019669533</v>
      </c>
      <c r="AF44">
        <v>0.20000000298023221</v>
      </c>
      <c r="AG44">
        <v>0.84848484882693209</v>
      </c>
      <c r="AH44">
        <v>0.15151515117306791</v>
      </c>
      <c r="AI44">
        <v>150</v>
      </c>
      <c r="AJ44">
        <v>0.20000000298023221</v>
      </c>
      <c r="AK44">
        <v>0.92000001668930054</v>
      </c>
      <c r="AL44">
        <v>0.20000000298023221</v>
      </c>
      <c r="AM44">
        <v>0</v>
      </c>
      <c r="AN44">
        <v>1</v>
      </c>
      <c r="AO44">
        <v>2</v>
      </c>
      <c r="AP44">
        <v>2024</v>
      </c>
      <c r="AQ44">
        <v>2</v>
      </c>
      <c r="AR44">
        <v>0</v>
      </c>
      <c r="AS44">
        <v>0</v>
      </c>
      <c r="AT44">
        <v>0</v>
      </c>
      <c r="AU44">
        <v>0</v>
      </c>
      <c r="AV44">
        <f t="shared" si="0"/>
        <v>0</v>
      </c>
      <c r="AW44">
        <f t="shared" si="1"/>
        <v>0</v>
      </c>
      <c r="AX44">
        <f t="shared" si="2"/>
        <v>0</v>
      </c>
      <c r="AY44">
        <f t="shared" si="3"/>
        <v>0</v>
      </c>
      <c r="AZ44">
        <f t="shared" si="4"/>
        <v>0</v>
      </c>
      <c r="BA44" t="str">
        <f t="shared" si="5"/>
        <v/>
      </c>
      <c r="BB44">
        <f t="shared" si="6"/>
        <v>0.84848484882693209</v>
      </c>
      <c r="BC44">
        <f>MATCH($B44,clean_historis!$B:$B,0)</f>
        <v>44</v>
      </c>
      <c r="BD44">
        <f>IFERROR(INDEX(clean_historis!$AF:$AF,$BC44)/INDEX(clean_historis!$V:$V,$BC44),0)</f>
        <v>0</v>
      </c>
      <c r="BE44">
        <f>IFERROR(INDEX(clean_historis!$AR:$AR,$BC44)/INDEX(clean_historis!$AH:$AH,$BC44),0)</f>
        <v>0</v>
      </c>
      <c r="BF44">
        <f t="shared" si="7"/>
        <v>0</v>
      </c>
      <c r="BG44">
        <f>MAX(IF(INDEX(clean_historis!$CL:$CL,$BC44)=1,2025,0),IF(INDEX(clean_historis!$CK:$CK,$BC44)=1,2024,0),IF(INDEX(clean_historis!$CJ:$CJ,$BC44)=1,2023,0),IF(INDEX(clean_historis!$CI:$CI,$BC44)=1,2022,0),IF(INDEX(clean_historis!$CH:$CH,$BC44)=1,2021,0))</f>
        <v>0</v>
      </c>
      <c r="BH44">
        <f t="shared" si="8"/>
        <v>0.15151515117306791</v>
      </c>
      <c r="BI44">
        <f t="shared" si="9"/>
        <v>112.57575732158945</v>
      </c>
      <c r="BJ44">
        <f t="shared" si="10"/>
        <v>0</v>
      </c>
      <c r="BK44">
        <f t="shared" si="11"/>
        <v>28.979800000000001</v>
      </c>
      <c r="BL44">
        <f t="shared" si="12"/>
        <v>0</v>
      </c>
      <c r="BM44">
        <f t="shared" si="13"/>
        <v>0</v>
      </c>
      <c r="BN44">
        <v>0</v>
      </c>
      <c r="BO44">
        <f t="shared" si="16"/>
        <v>0</v>
      </c>
      <c r="BP44">
        <f t="shared" si="14"/>
        <v>1</v>
      </c>
      <c r="BQ44">
        <f t="shared" si="15"/>
        <v>0</v>
      </c>
    </row>
    <row r="45" spans="1:69" x14ac:dyDescent="0.25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185</v>
      </c>
      <c r="G45">
        <v>1</v>
      </c>
      <c r="H45">
        <v>1</v>
      </c>
      <c r="I45">
        <v>330</v>
      </c>
      <c r="J45">
        <v>0</v>
      </c>
      <c r="K45">
        <v>0</v>
      </c>
      <c r="L45">
        <v>3131.6</v>
      </c>
      <c r="M45">
        <v>5196.5</v>
      </c>
      <c r="N45">
        <v>11050</v>
      </c>
      <c r="O45">
        <v>1557.1</v>
      </c>
      <c r="P45">
        <v>41329.599999999999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2.33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150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2</v>
      </c>
      <c r="AP45">
        <v>2024</v>
      </c>
      <c r="AQ45">
        <v>2</v>
      </c>
      <c r="AR45">
        <v>0</v>
      </c>
      <c r="AS45">
        <v>0</v>
      </c>
      <c r="AT45">
        <v>0</v>
      </c>
      <c r="AU45">
        <v>1</v>
      </c>
      <c r="AV45">
        <f t="shared" si="0"/>
        <v>4.4408920985006262E-16</v>
      </c>
      <c r="AW45">
        <f t="shared" si="1"/>
        <v>-1.0000000000000004</v>
      </c>
      <c r="AX45">
        <f t="shared" si="2"/>
        <v>0</v>
      </c>
      <c r="AY45">
        <f t="shared" si="3"/>
        <v>0</v>
      </c>
      <c r="AZ45">
        <f t="shared" si="4"/>
        <v>0</v>
      </c>
      <c r="BA45">
        <f t="shared" si="5"/>
        <v>1</v>
      </c>
      <c r="BB45">
        <f t="shared" si="6"/>
        <v>0</v>
      </c>
      <c r="BC45">
        <f>MATCH($B45,clean_historis!$B:$B,0)</f>
        <v>45</v>
      </c>
      <c r="BD45">
        <f>IFERROR(INDEX(clean_historis!$AF:$AF,$BC45)/INDEX(clean_historis!$V:$V,$BC45),0)</f>
        <v>1</v>
      </c>
      <c r="BE45">
        <f>IFERROR(INDEX(clean_historis!$AR:$AR,$BC45)/INDEX(clean_historis!$AH:$AH,$BC45),0)</f>
        <v>1.0000000000000004</v>
      </c>
      <c r="BF45">
        <f t="shared" si="7"/>
        <v>0</v>
      </c>
      <c r="BG45">
        <f>MAX(IF(INDEX(clean_historis!$CL:$CL,$BC45)=1,2025,0),IF(INDEX(clean_historis!$CK:$CK,$BC45)=1,2024,0),IF(INDEX(clean_historis!$CJ:$CJ,$BC45)=1,2023,0),IF(INDEX(clean_historis!$CI:$CI,$BC45)=1,2022,0),IF(INDEX(clean_historis!$CH:$CH,$BC45)=1,2021,0))</f>
        <v>2024</v>
      </c>
      <c r="BH45">
        <f t="shared" si="8"/>
        <v>1</v>
      </c>
      <c r="BI45">
        <f t="shared" si="9"/>
        <v>330</v>
      </c>
      <c r="BJ45">
        <f t="shared" si="10"/>
        <v>0</v>
      </c>
      <c r="BK45">
        <f t="shared" si="11"/>
        <v>60.707699999999996</v>
      </c>
      <c r="BL45">
        <f t="shared" si="12"/>
        <v>0</v>
      </c>
      <c r="BM45">
        <f t="shared" si="13"/>
        <v>0</v>
      </c>
      <c r="BN45">
        <v>0</v>
      </c>
      <c r="BO45">
        <f t="shared" si="16"/>
        <v>0</v>
      </c>
      <c r="BP45">
        <f t="shared" si="14"/>
        <v>1</v>
      </c>
      <c r="BQ45">
        <f t="shared" si="15"/>
        <v>1</v>
      </c>
    </row>
    <row r="46" spans="1:69" x14ac:dyDescent="0.25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176</v>
      </c>
      <c r="G46">
        <v>2</v>
      </c>
      <c r="H46">
        <v>1</v>
      </c>
      <c r="I46">
        <v>459</v>
      </c>
      <c r="J46">
        <v>0</v>
      </c>
      <c r="K46">
        <v>0</v>
      </c>
      <c r="L46">
        <v>1554.6</v>
      </c>
      <c r="M46">
        <v>1585.3</v>
      </c>
      <c r="N46">
        <v>6402</v>
      </c>
      <c r="O46">
        <v>1197.5</v>
      </c>
      <c r="P46">
        <v>8073.9</v>
      </c>
      <c r="Q46">
        <v>0</v>
      </c>
      <c r="R46">
        <v>0</v>
      </c>
      <c r="S46">
        <v>0</v>
      </c>
      <c r="T46">
        <v>0</v>
      </c>
      <c r="U46">
        <v>0</v>
      </c>
      <c r="V46">
        <v>0.82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150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R46">
        <v>0</v>
      </c>
      <c r="AS46">
        <v>0</v>
      </c>
      <c r="AT46">
        <v>0</v>
      </c>
      <c r="AU46">
        <v>1</v>
      </c>
      <c r="AV46">
        <f t="shared" si="0"/>
        <v>0</v>
      </c>
      <c r="AW46">
        <f t="shared" si="1"/>
        <v>-1</v>
      </c>
      <c r="AX46">
        <f t="shared" si="2"/>
        <v>0</v>
      </c>
      <c r="AY46">
        <f t="shared" si="3"/>
        <v>0</v>
      </c>
      <c r="AZ46">
        <f t="shared" si="4"/>
        <v>0</v>
      </c>
      <c r="BA46" t="str">
        <f t="shared" si="5"/>
        <v/>
      </c>
      <c r="BB46">
        <f t="shared" si="6"/>
        <v>0</v>
      </c>
      <c r="BC46">
        <f>MATCH($B46,clean_historis!$B:$B,0)</f>
        <v>46</v>
      </c>
      <c r="BD46">
        <f>IFERROR(INDEX(clean_historis!$AF:$AF,$BC46)/INDEX(clean_historis!$V:$V,$BC46),0)</f>
        <v>1</v>
      </c>
      <c r="BE46">
        <f>IFERROR(INDEX(clean_historis!$AR:$AR,$BC46)/INDEX(clean_historis!$AH:$AH,$BC46),0)</f>
        <v>1</v>
      </c>
      <c r="BF46">
        <f t="shared" si="7"/>
        <v>0</v>
      </c>
      <c r="BG46">
        <f>MAX(IF(INDEX(clean_historis!$CL:$CL,$BC46)=1,2025,0),IF(INDEX(clean_historis!$CK:$CK,$BC46)=1,2024,0),IF(INDEX(clean_historis!$CJ:$CJ,$BC46)=1,2023,0),IF(INDEX(clean_historis!$CI:$CI,$BC46)=1,2022,0),IF(INDEX(clean_historis!$CH:$CH,$BC46)=1,2021,0))</f>
        <v>0</v>
      </c>
      <c r="BH46">
        <f t="shared" si="8"/>
        <v>1</v>
      </c>
      <c r="BI46">
        <f t="shared" si="9"/>
        <v>459</v>
      </c>
      <c r="BJ46">
        <f t="shared" si="10"/>
        <v>1</v>
      </c>
      <c r="BK46">
        <f t="shared" si="11"/>
        <v>17.6158</v>
      </c>
      <c r="BL46">
        <f t="shared" si="12"/>
        <v>0</v>
      </c>
      <c r="BM46">
        <f t="shared" si="13"/>
        <v>0</v>
      </c>
      <c r="BN46">
        <v>1</v>
      </c>
      <c r="BO46">
        <f t="shared" si="16"/>
        <v>1</v>
      </c>
      <c r="BP46">
        <f t="shared" si="14"/>
        <v>0</v>
      </c>
      <c r="BQ46">
        <f t="shared" si="15"/>
        <v>1</v>
      </c>
    </row>
    <row r="47" spans="1:69" x14ac:dyDescent="0.2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176</v>
      </c>
      <c r="G47">
        <v>2</v>
      </c>
      <c r="H47">
        <v>1</v>
      </c>
      <c r="I47">
        <v>527</v>
      </c>
      <c r="J47">
        <v>0</v>
      </c>
      <c r="K47">
        <v>0</v>
      </c>
      <c r="L47">
        <v>4542.8</v>
      </c>
      <c r="M47">
        <v>4573.5</v>
      </c>
      <c r="N47">
        <v>11710.7</v>
      </c>
      <c r="O47">
        <v>2035.2</v>
      </c>
      <c r="P47">
        <v>13382.6</v>
      </c>
      <c r="Q47">
        <v>0</v>
      </c>
      <c r="R47">
        <v>0</v>
      </c>
      <c r="S47">
        <v>0</v>
      </c>
      <c r="T47">
        <v>0</v>
      </c>
      <c r="U47">
        <v>0</v>
      </c>
      <c r="V47">
        <v>1.61</v>
      </c>
      <c r="W47">
        <v>0</v>
      </c>
      <c r="X47">
        <v>0</v>
      </c>
      <c r="Y47">
        <v>1.610000014305115</v>
      </c>
      <c r="Z47">
        <v>0</v>
      </c>
      <c r="AA47">
        <v>0</v>
      </c>
      <c r="AB47">
        <v>0</v>
      </c>
      <c r="AC47">
        <v>0</v>
      </c>
      <c r="AD47">
        <v>1.610000014305115</v>
      </c>
      <c r="AE47">
        <v>0</v>
      </c>
      <c r="AF47">
        <v>1.610000014305115</v>
      </c>
      <c r="AG47">
        <v>0</v>
      </c>
      <c r="AH47">
        <v>1</v>
      </c>
      <c r="AI47">
        <v>150</v>
      </c>
      <c r="AJ47">
        <v>0</v>
      </c>
      <c r="AK47">
        <v>0</v>
      </c>
      <c r="AL47">
        <v>0</v>
      </c>
      <c r="AM47">
        <v>1.610000014305115</v>
      </c>
      <c r="AN47">
        <v>0</v>
      </c>
      <c r="AO47">
        <v>0</v>
      </c>
      <c r="AR47">
        <v>0</v>
      </c>
      <c r="AS47">
        <v>0</v>
      </c>
      <c r="AT47">
        <v>0</v>
      </c>
      <c r="AU47">
        <v>0</v>
      </c>
      <c r="AV47">
        <f t="shared" si="0"/>
        <v>0</v>
      </c>
      <c r="AW47">
        <f t="shared" si="1"/>
        <v>8.885164604066631E-9</v>
      </c>
      <c r="AX47">
        <f t="shared" si="2"/>
        <v>527.00000468248174</v>
      </c>
      <c r="AY47">
        <f t="shared" si="3"/>
        <v>0</v>
      </c>
      <c r="AZ47">
        <f t="shared" si="4"/>
        <v>1.6100000143051152</v>
      </c>
      <c r="BA47" t="str">
        <f t="shared" si="5"/>
        <v/>
      </c>
      <c r="BB47">
        <f t="shared" si="6"/>
        <v>0</v>
      </c>
      <c r="BC47">
        <f>MATCH($B47,clean_historis!$B:$B,0)</f>
        <v>47</v>
      </c>
      <c r="BD47">
        <f>IFERROR(INDEX(clean_historis!$AF:$AF,$BC47)/INDEX(clean_historis!$V:$V,$BC47),0)</f>
        <v>1</v>
      </c>
      <c r="BE47">
        <f>IFERROR(INDEX(clean_historis!$AR:$AR,$BC47)/INDEX(clean_historis!$AH:$AH,$BC47),0)</f>
        <v>1</v>
      </c>
      <c r="BF47">
        <f t="shared" si="7"/>
        <v>1.0000000088851646</v>
      </c>
      <c r="BG47">
        <f>MAX(IF(INDEX(clean_historis!$CL:$CL,$BC47)=1,2025,0),IF(INDEX(clean_historis!$CK:$CK,$BC47)=1,2024,0),IF(INDEX(clean_historis!$CJ:$CJ,$BC47)=1,2023,0),IF(INDEX(clean_historis!$CI:$CI,$BC47)=1,2022,0),IF(INDEX(clean_historis!$CH:$CH,$BC47)=1,2021,0))</f>
        <v>0</v>
      </c>
      <c r="BH47">
        <f t="shared" si="8"/>
        <v>1</v>
      </c>
      <c r="BI47">
        <f t="shared" si="9"/>
        <v>527</v>
      </c>
      <c r="BJ47">
        <f t="shared" si="10"/>
        <v>0</v>
      </c>
      <c r="BK47">
        <f t="shared" si="11"/>
        <v>34.209600000000009</v>
      </c>
      <c r="BL47">
        <f t="shared" si="12"/>
        <v>0</v>
      </c>
      <c r="BM47">
        <f t="shared" si="13"/>
        <v>1</v>
      </c>
      <c r="BN47">
        <v>0</v>
      </c>
      <c r="BO47">
        <f t="shared" si="16"/>
        <v>0</v>
      </c>
      <c r="BP47">
        <f t="shared" si="14"/>
        <v>0</v>
      </c>
      <c r="BQ47">
        <f t="shared" si="15"/>
        <v>1</v>
      </c>
    </row>
    <row r="48" spans="1:69" x14ac:dyDescent="0.25">
      <c r="A48">
        <v>47</v>
      </c>
      <c r="B48" t="s">
        <v>294</v>
      </c>
      <c r="C48" t="s">
        <v>295</v>
      </c>
      <c r="D48" t="s">
        <v>296</v>
      </c>
      <c r="E48" t="s">
        <v>297</v>
      </c>
      <c r="F48" t="s">
        <v>176</v>
      </c>
      <c r="G48">
        <v>2</v>
      </c>
      <c r="H48">
        <v>1</v>
      </c>
      <c r="I48">
        <v>751</v>
      </c>
      <c r="J48">
        <v>0</v>
      </c>
      <c r="K48">
        <v>0</v>
      </c>
      <c r="L48">
        <v>1424.6</v>
      </c>
      <c r="M48">
        <v>1455.3</v>
      </c>
      <c r="N48">
        <v>8596.5</v>
      </c>
      <c r="O48">
        <v>1082.9000000000001</v>
      </c>
      <c r="P48">
        <v>10268.4</v>
      </c>
      <c r="Q48">
        <v>0</v>
      </c>
      <c r="R48">
        <v>0</v>
      </c>
      <c r="S48">
        <v>0</v>
      </c>
      <c r="T48">
        <v>0</v>
      </c>
      <c r="U48">
        <v>0</v>
      </c>
      <c r="V48">
        <v>2.1800000000000002</v>
      </c>
      <c r="W48">
        <v>0</v>
      </c>
      <c r="X48">
        <v>0</v>
      </c>
      <c r="Y48">
        <v>2.1800000667572021</v>
      </c>
      <c r="Z48">
        <v>0</v>
      </c>
      <c r="AA48">
        <v>0</v>
      </c>
      <c r="AB48">
        <v>1.679999947547913</v>
      </c>
      <c r="AC48">
        <v>0.5</v>
      </c>
      <c r="AD48">
        <v>0</v>
      </c>
      <c r="AE48">
        <v>1.679999947547913</v>
      </c>
      <c r="AF48">
        <v>0.5</v>
      </c>
      <c r="AG48">
        <v>0.7706421963163782</v>
      </c>
      <c r="AH48">
        <v>0.2293578036836218</v>
      </c>
      <c r="AI48">
        <v>150</v>
      </c>
      <c r="AJ48">
        <v>0</v>
      </c>
      <c r="AK48">
        <v>1.679999947547913</v>
      </c>
      <c r="AL48">
        <v>0.5</v>
      </c>
      <c r="AM48">
        <v>0</v>
      </c>
      <c r="AN48">
        <v>1</v>
      </c>
      <c r="AO48">
        <v>2</v>
      </c>
      <c r="AP48">
        <v>2023</v>
      </c>
      <c r="AQ48">
        <v>3</v>
      </c>
      <c r="AR48">
        <v>0</v>
      </c>
      <c r="AS48">
        <v>0</v>
      </c>
      <c r="AT48">
        <v>0</v>
      </c>
      <c r="AU48">
        <v>0</v>
      </c>
      <c r="AV48">
        <f t="shared" si="0"/>
        <v>0</v>
      </c>
      <c r="AW48">
        <f t="shared" si="1"/>
        <v>0</v>
      </c>
      <c r="AX48">
        <f t="shared" si="2"/>
        <v>0</v>
      </c>
      <c r="AY48">
        <f t="shared" si="3"/>
        <v>0</v>
      </c>
      <c r="AZ48">
        <f t="shared" si="4"/>
        <v>0</v>
      </c>
      <c r="BA48" t="str">
        <f t="shared" si="5"/>
        <v/>
      </c>
      <c r="BB48">
        <f t="shared" si="6"/>
        <v>0.7706421963163782</v>
      </c>
      <c r="BC48">
        <f>MATCH($B48,clean_historis!$B:$B,0)</f>
        <v>48</v>
      </c>
      <c r="BD48">
        <f>IFERROR(INDEX(clean_historis!$AF:$AF,$BC48)/INDEX(clean_historis!$V:$V,$BC48),0)</f>
        <v>0</v>
      </c>
      <c r="BE48">
        <f>IFERROR(INDEX(clean_historis!$AR:$AR,$BC48)/INDEX(clean_historis!$AH:$AH,$BC48),0)</f>
        <v>0</v>
      </c>
      <c r="BF48">
        <f t="shared" si="7"/>
        <v>0</v>
      </c>
      <c r="BG48">
        <f>MAX(IF(INDEX(clean_historis!$CL:$CL,$BC48)=1,2025,0),IF(INDEX(clean_historis!$CK:$CK,$BC48)=1,2024,0),IF(INDEX(clean_historis!$CJ:$CJ,$BC48)=1,2023,0),IF(INDEX(clean_historis!$CI:$CI,$BC48)=1,2022,0),IF(INDEX(clean_historis!$CH:$CH,$BC48)=1,2021,0))</f>
        <v>0</v>
      </c>
      <c r="BH48">
        <f t="shared" si="8"/>
        <v>0.2293578036836218</v>
      </c>
      <c r="BI48">
        <f t="shared" si="9"/>
        <v>172.24771056639997</v>
      </c>
      <c r="BJ48">
        <f t="shared" si="10"/>
        <v>1</v>
      </c>
      <c r="BK48">
        <f t="shared" si="11"/>
        <v>21.744799999999998</v>
      </c>
      <c r="BL48">
        <f t="shared" si="12"/>
        <v>0</v>
      </c>
      <c r="BM48">
        <f t="shared" si="13"/>
        <v>0</v>
      </c>
      <c r="BN48">
        <v>0</v>
      </c>
      <c r="BO48">
        <f t="shared" si="16"/>
        <v>0</v>
      </c>
      <c r="BP48">
        <f t="shared" si="14"/>
        <v>1</v>
      </c>
      <c r="BQ48">
        <f t="shared" si="15"/>
        <v>0</v>
      </c>
    </row>
    <row r="49" spans="1:69" x14ac:dyDescent="0.25">
      <c r="A49">
        <v>48</v>
      </c>
      <c r="B49" t="s">
        <v>298</v>
      </c>
      <c r="C49" t="s">
        <v>299</v>
      </c>
      <c r="D49" t="s">
        <v>300</v>
      </c>
      <c r="E49" t="s">
        <v>301</v>
      </c>
      <c r="F49" t="s">
        <v>176</v>
      </c>
      <c r="G49">
        <v>2</v>
      </c>
      <c r="H49">
        <v>1</v>
      </c>
      <c r="I49">
        <v>643</v>
      </c>
      <c r="J49">
        <v>0</v>
      </c>
      <c r="K49">
        <v>0</v>
      </c>
      <c r="L49">
        <v>1284.0999999999999</v>
      </c>
      <c r="M49">
        <v>1314.8</v>
      </c>
      <c r="N49">
        <v>6603.6</v>
      </c>
      <c r="O49">
        <v>516.5</v>
      </c>
      <c r="P49">
        <v>8275.5</v>
      </c>
      <c r="Q49">
        <v>0</v>
      </c>
      <c r="R49">
        <v>0</v>
      </c>
      <c r="S49">
        <v>0</v>
      </c>
      <c r="T49">
        <v>0</v>
      </c>
      <c r="U49">
        <v>0</v>
      </c>
      <c r="V49">
        <v>0.55000000000000004</v>
      </c>
      <c r="W49">
        <v>0</v>
      </c>
      <c r="X49">
        <v>0</v>
      </c>
      <c r="Y49">
        <v>0.55000001192092896</v>
      </c>
      <c r="Z49">
        <v>0</v>
      </c>
      <c r="AA49">
        <v>0.44999998807907099</v>
      </c>
      <c r="AB49">
        <v>0.10000000149011611</v>
      </c>
      <c r="AC49">
        <v>0</v>
      </c>
      <c r="AD49">
        <v>0</v>
      </c>
      <c r="AE49">
        <v>0.54999998956918716</v>
      </c>
      <c r="AF49">
        <v>0</v>
      </c>
      <c r="AG49">
        <v>1</v>
      </c>
      <c r="AH49">
        <v>0</v>
      </c>
      <c r="AI49">
        <v>150</v>
      </c>
      <c r="AJ49">
        <v>0.44999998807907099</v>
      </c>
      <c r="AK49">
        <v>0.10000000149011611</v>
      </c>
      <c r="AL49">
        <v>0</v>
      </c>
      <c r="AM49">
        <v>0</v>
      </c>
      <c r="AN49">
        <v>1</v>
      </c>
      <c r="AO49">
        <v>1</v>
      </c>
      <c r="AP49">
        <v>2024</v>
      </c>
      <c r="AQ49">
        <v>2</v>
      </c>
      <c r="AR49">
        <v>0</v>
      </c>
      <c r="AS49">
        <v>0</v>
      </c>
      <c r="AT49">
        <v>0</v>
      </c>
      <c r="AU49">
        <v>0</v>
      </c>
      <c r="AV49">
        <f t="shared" si="0"/>
        <v>-1</v>
      </c>
      <c r="AW49">
        <f t="shared" si="1"/>
        <v>0</v>
      </c>
      <c r="AX49">
        <f t="shared" si="2"/>
        <v>0</v>
      </c>
      <c r="AY49">
        <f t="shared" si="3"/>
        <v>0</v>
      </c>
      <c r="AZ49">
        <f t="shared" si="4"/>
        <v>0</v>
      </c>
      <c r="BA49">
        <f t="shared" si="5"/>
        <v>1</v>
      </c>
      <c r="BB49">
        <f t="shared" si="6"/>
        <v>1</v>
      </c>
      <c r="BC49">
        <f>MATCH($B49,clean_historis!$B:$B,0)</f>
        <v>49</v>
      </c>
      <c r="BD49">
        <f>IFERROR(INDEX(clean_historis!$AF:$AF,$BC49)/INDEX(clean_historis!$V:$V,$BC49),0)</f>
        <v>1</v>
      </c>
      <c r="BE49">
        <f>IFERROR(INDEX(clean_historis!$AR:$AR,$BC49)/INDEX(clean_historis!$AH:$AH,$BC49),0)</f>
        <v>0</v>
      </c>
      <c r="BF49">
        <f t="shared" si="7"/>
        <v>0</v>
      </c>
      <c r="BG49">
        <f>MAX(IF(INDEX(clean_historis!$CL:$CL,$BC49)=1,2025,0),IF(INDEX(clean_historis!$CK:$CK,$BC49)=1,2024,0),IF(INDEX(clean_historis!$CJ:$CJ,$BC49)=1,2023,0),IF(INDEX(clean_historis!$CI:$CI,$BC49)=1,2022,0),IF(INDEX(clean_historis!$CH:$CH,$BC49)=1,2021,0))</f>
        <v>2024</v>
      </c>
      <c r="BH49">
        <f t="shared" si="8"/>
        <v>0</v>
      </c>
      <c r="BI49">
        <f t="shared" si="9"/>
        <v>0</v>
      </c>
      <c r="BJ49">
        <f t="shared" si="10"/>
        <v>1</v>
      </c>
      <c r="BK49">
        <f t="shared" si="11"/>
        <v>17.478000000000002</v>
      </c>
      <c r="BL49">
        <f t="shared" si="12"/>
        <v>0</v>
      </c>
      <c r="BM49">
        <f t="shared" si="13"/>
        <v>0</v>
      </c>
      <c r="BN49">
        <v>0</v>
      </c>
      <c r="BO49">
        <f t="shared" si="16"/>
        <v>1</v>
      </c>
      <c r="BP49">
        <f t="shared" si="14"/>
        <v>1</v>
      </c>
      <c r="BQ49">
        <f t="shared" si="15"/>
        <v>1</v>
      </c>
    </row>
    <row r="50" spans="1:69" x14ac:dyDescent="0.25">
      <c r="A50">
        <v>49</v>
      </c>
      <c r="B50" t="s">
        <v>302</v>
      </c>
      <c r="C50" t="s">
        <v>303</v>
      </c>
      <c r="D50" t="s">
        <v>304</v>
      </c>
      <c r="E50" t="s">
        <v>305</v>
      </c>
      <c r="F50" t="s">
        <v>127</v>
      </c>
      <c r="G50">
        <v>1</v>
      </c>
      <c r="H50">
        <v>1</v>
      </c>
      <c r="I50">
        <v>507</v>
      </c>
      <c r="J50">
        <v>0</v>
      </c>
      <c r="K50">
        <v>0</v>
      </c>
      <c r="L50">
        <v>22881.599999999999</v>
      </c>
      <c r="M50">
        <v>18931.900000000001</v>
      </c>
      <c r="N50">
        <v>25092</v>
      </c>
      <c r="O50">
        <v>4485.5</v>
      </c>
      <c r="P50">
        <v>24994.400000000001</v>
      </c>
      <c r="Q50">
        <v>0</v>
      </c>
      <c r="R50">
        <v>0</v>
      </c>
      <c r="S50">
        <v>0</v>
      </c>
      <c r="T50">
        <v>0</v>
      </c>
      <c r="U50">
        <v>0</v>
      </c>
      <c r="V50">
        <v>4.2699999999999996</v>
      </c>
      <c r="W50">
        <v>0.10000000149011611</v>
      </c>
      <c r="X50">
        <v>0</v>
      </c>
      <c r="Y50">
        <v>4.1700000762939453</v>
      </c>
      <c r="Z50">
        <v>0</v>
      </c>
      <c r="AA50">
        <v>0.60000002384185791</v>
      </c>
      <c r="AB50">
        <v>0.30000001192092901</v>
      </c>
      <c r="AC50">
        <v>0.40000000596046448</v>
      </c>
      <c r="AD50">
        <v>2.970000028610229</v>
      </c>
      <c r="AE50">
        <v>0.90000003576278687</v>
      </c>
      <c r="AF50">
        <v>3.370000034570694</v>
      </c>
      <c r="AG50">
        <v>0.21077283862725979</v>
      </c>
      <c r="AH50">
        <v>0.78922716137274018</v>
      </c>
      <c r="AI50">
        <v>150</v>
      </c>
      <c r="AJ50">
        <v>0.5</v>
      </c>
      <c r="AK50">
        <v>0.30000001192092901</v>
      </c>
      <c r="AL50">
        <v>0.40000000596046448</v>
      </c>
      <c r="AM50">
        <v>2.970000028610229</v>
      </c>
      <c r="AN50">
        <v>0</v>
      </c>
      <c r="AO50">
        <v>0</v>
      </c>
      <c r="AR50">
        <v>0</v>
      </c>
      <c r="AS50">
        <v>0</v>
      </c>
      <c r="AT50">
        <v>0</v>
      </c>
      <c r="AU50">
        <v>0</v>
      </c>
      <c r="AV50">
        <f t="shared" si="0"/>
        <v>0.11007025761124167</v>
      </c>
      <c r="AW50">
        <f t="shared" si="1"/>
        <v>-0.16393441952922094</v>
      </c>
      <c r="AX50">
        <f t="shared" si="2"/>
        <v>352.64403150009048</v>
      </c>
      <c r="AY50">
        <f t="shared" si="3"/>
        <v>0</v>
      </c>
      <c r="AZ50">
        <f t="shared" si="4"/>
        <v>2.970000028610229</v>
      </c>
      <c r="BA50" t="str">
        <f t="shared" si="5"/>
        <v/>
      </c>
      <c r="BB50">
        <f t="shared" si="6"/>
        <v>0.21077283862725979</v>
      </c>
      <c r="BC50">
        <f>MATCH($B50,clean_historis!$B:$B,0)</f>
        <v>50</v>
      </c>
      <c r="BD50">
        <f>IFERROR(INDEX(clean_historis!$AF:$AF,$BC50)/INDEX(clean_historis!$V:$V,$BC50),0)</f>
        <v>0.74941451990632335</v>
      </c>
      <c r="BE50">
        <f>IFERROR(INDEX(clean_historis!$AR:$AR,$BC50)/INDEX(clean_historis!$AH:$AH,$BC50),0)</f>
        <v>0.85948477751756502</v>
      </c>
      <c r="BF50">
        <f t="shared" si="7"/>
        <v>0.69555035798834408</v>
      </c>
      <c r="BG50">
        <f>MAX(IF(INDEX(clean_historis!$CL:$CL,$BC50)=1,2025,0),IF(INDEX(clean_historis!$CK:$CK,$BC50)=1,2024,0),IF(INDEX(clean_historis!$CJ:$CJ,$BC50)=1,2023,0),IF(INDEX(clean_historis!$CI:$CI,$BC50)=1,2022,0),IF(INDEX(clean_historis!$CH:$CH,$BC50)=1,2021,0))</f>
        <v>0</v>
      </c>
      <c r="BH50">
        <f t="shared" si="8"/>
        <v>0.78922716137274018</v>
      </c>
      <c r="BI50">
        <f t="shared" si="9"/>
        <v>400.13817081597927</v>
      </c>
      <c r="BJ50">
        <f t="shared" si="10"/>
        <v>0</v>
      </c>
      <c r="BK50">
        <f t="shared" si="11"/>
        <v>91.899899999999988</v>
      </c>
      <c r="BL50">
        <f t="shared" si="12"/>
        <v>0</v>
      </c>
      <c r="BM50">
        <f t="shared" si="13"/>
        <v>1</v>
      </c>
      <c r="BN50">
        <v>0</v>
      </c>
      <c r="BO50">
        <f t="shared" si="16"/>
        <v>0</v>
      </c>
      <c r="BP50">
        <f t="shared" si="14"/>
        <v>0</v>
      </c>
      <c r="BQ50">
        <f t="shared" si="15"/>
        <v>1</v>
      </c>
    </row>
    <row r="51" spans="1:69" x14ac:dyDescent="0.25">
      <c r="A51">
        <v>50</v>
      </c>
      <c r="B51" t="s">
        <v>306</v>
      </c>
      <c r="C51" t="s">
        <v>307</v>
      </c>
      <c r="D51" t="s">
        <v>308</v>
      </c>
      <c r="E51" t="s">
        <v>309</v>
      </c>
      <c r="F51" t="s">
        <v>310</v>
      </c>
      <c r="G51">
        <v>3</v>
      </c>
      <c r="H51">
        <v>1</v>
      </c>
      <c r="I51">
        <v>1058</v>
      </c>
      <c r="J51">
        <v>1</v>
      </c>
      <c r="K51">
        <v>0</v>
      </c>
      <c r="L51">
        <v>29266.799999999999</v>
      </c>
      <c r="M51">
        <v>5229.2</v>
      </c>
      <c r="N51">
        <v>31477.200000000001</v>
      </c>
      <c r="O51">
        <v>1499.1</v>
      </c>
      <c r="P51">
        <v>31379.5</v>
      </c>
      <c r="Q51">
        <v>0</v>
      </c>
      <c r="R51">
        <v>0</v>
      </c>
      <c r="S51">
        <v>0</v>
      </c>
      <c r="T51">
        <v>0</v>
      </c>
      <c r="U51">
        <v>0</v>
      </c>
      <c r="V51">
        <v>0.61</v>
      </c>
      <c r="W51">
        <v>0.2099999934434891</v>
      </c>
      <c r="X51">
        <v>0</v>
      </c>
      <c r="Y51">
        <v>0.40000000596046448</v>
      </c>
      <c r="Z51">
        <v>0</v>
      </c>
      <c r="AA51">
        <v>0</v>
      </c>
      <c r="AB51">
        <v>0.2099999934434891</v>
      </c>
      <c r="AC51">
        <v>0</v>
      </c>
      <c r="AD51">
        <v>0.40000000596046448</v>
      </c>
      <c r="AE51">
        <v>0.2099999934434891</v>
      </c>
      <c r="AF51">
        <v>0.40000000596046448</v>
      </c>
      <c r="AG51">
        <v>0.34426228466997599</v>
      </c>
      <c r="AH51">
        <v>0.65573771533002401</v>
      </c>
      <c r="AI51">
        <v>150</v>
      </c>
      <c r="AJ51">
        <v>0</v>
      </c>
      <c r="AK51">
        <v>0</v>
      </c>
      <c r="AL51">
        <v>0</v>
      </c>
      <c r="AM51">
        <v>0.40000000596046448</v>
      </c>
      <c r="AN51">
        <v>0</v>
      </c>
      <c r="AO51">
        <v>0</v>
      </c>
      <c r="AR51">
        <v>0</v>
      </c>
      <c r="AS51">
        <v>0</v>
      </c>
      <c r="AT51">
        <v>0</v>
      </c>
      <c r="AU51">
        <v>0</v>
      </c>
      <c r="AV51">
        <f t="shared" si="0"/>
        <v>1.6393442622950727E-2</v>
      </c>
      <c r="AW51">
        <f t="shared" si="1"/>
        <v>-1.6393432851697587E-2</v>
      </c>
      <c r="AX51">
        <f t="shared" si="2"/>
        <v>693.77050214126461</v>
      </c>
      <c r="AY51">
        <f t="shared" si="3"/>
        <v>0</v>
      </c>
      <c r="AZ51">
        <f t="shared" si="4"/>
        <v>0.40000000596046442</v>
      </c>
      <c r="BA51" t="str">
        <f t="shared" si="5"/>
        <v/>
      </c>
      <c r="BB51">
        <f t="shared" si="6"/>
        <v>0.34426228466997599</v>
      </c>
      <c r="BC51">
        <f>MATCH($B51,clean_historis!$B:$B,0)</f>
        <v>51</v>
      </c>
      <c r="BD51">
        <f>IFERROR(INDEX(clean_historis!$AF:$AF,$BC51)/INDEX(clean_historis!$V:$V,$BC51),0)</f>
        <v>0.65573770491803285</v>
      </c>
      <c r="BE51">
        <f>IFERROR(INDEX(clean_historis!$AR:$AR,$BC51)/INDEX(clean_historis!$AH:$AH,$BC51),0)</f>
        <v>0.67213114754098358</v>
      </c>
      <c r="BF51">
        <f t="shared" si="7"/>
        <v>0.65573771468928599</v>
      </c>
      <c r="BG51">
        <f>MAX(IF(INDEX(clean_historis!$CL:$CL,$BC51)=1,2025,0),IF(INDEX(clean_historis!$CK:$CK,$BC51)=1,2024,0),IF(INDEX(clean_historis!$CJ:$CJ,$BC51)=1,2023,0),IF(INDEX(clean_historis!$CI:$CI,$BC51)=1,2022,0),IF(INDEX(clean_historis!$CH:$CH,$BC51)=1,2021,0))</f>
        <v>0</v>
      </c>
      <c r="BH51">
        <f t="shared" si="8"/>
        <v>0.65573771533002401</v>
      </c>
      <c r="BI51">
        <f t="shared" si="9"/>
        <v>693.77050281916536</v>
      </c>
      <c r="BJ51">
        <f t="shared" si="10"/>
        <v>0</v>
      </c>
      <c r="BK51">
        <f t="shared" si="11"/>
        <v>97.352699999999999</v>
      </c>
      <c r="BL51">
        <f t="shared" si="12"/>
        <v>0</v>
      </c>
      <c r="BM51">
        <f t="shared" si="13"/>
        <v>1</v>
      </c>
      <c r="BN51">
        <v>0</v>
      </c>
      <c r="BO51">
        <f t="shared" si="16"/>
        <v>1</v>
      </c>
      <c r="BP51">
        <f t="shared" si="14"/>
        <v>0</v>
      </c>
      <c r="BQ51">
        <f t="shared" si="15"/>
        <v>1</v>
      </c>
    </row>
    <row r="52" spans="1:69" x14ac:dyDescent="0.25">
      <c r="A52">
        <v>51</v>
      </c>
      <c r="B52" t="s">
        <v>311</v>
      </c>
      <c r="C52" t="s">
        <v>312</v>
      </c>
      <c r="D52" t="s">
        <v>313</v>
      </c>
      <c r="E52" t="s">
        <v>314</v>
      </c>
      <c r="F52" t="s">
        <v>315</v>
      </c>
      <c r="G52">
        <v>6</v>
      </c>
      <c r="H52">
        <v>1</v>
      </c>
      <c r="I52">
        <v>4606</v>
      </c>
      <c r="J52">
        <v>1</v>
      </c>
      <c r="K52">
        <v>0</v>
      </c>
      <c r="L52">
        <v>1430.4</v>
      </c>
      <c r="M52">
        <v>0</v>
      </c>
      <c r="N52">
        <v>2388.8000000000002</v>
      </c>
      <c r="O52">
        <v>114.3</v>
      </c>
      <c r="P52">
        <v>29002</v>
      </c>
      <c r="Q52">
        <v>0</v>
      </c>
      <c r="R52">
        <v>0</v>
      </c>
      <c r="S52">
        <v>0</v>
      </c>
      <c r="T52">
        <v>0</v>
      </c>
      <c r="U52">
        <v>0</v>
      </c>
      <c r="V52">
        <v>2.86</v>
      </c>
      <c r="W52">
        <v>0</v>
      </c>
      <c r="X52">
        <v>0</v>
      </c>
      <c r="Y52">
        <v>2.8599998950958252</v>
      </c>
      <c r="Z52">
        <v>0</v>
      </c>
      <c r="AA52">
        <v>0.20000000298023221</v>
      </c>
      <c r="AB52">
        <v>1.299999952316284</v>
      </c>
      <c r="AC52">
        <v>0.30000001192092901</v>
      </c>
      <c r="AD52">
        <v>1.059999942779541</v>
      </c>
      <c r="AE52">
        <v>1.499999955296516</v>
      </c>
      <c r="AF52">
        <v>1.35999995470047</v>
      </c>
      <c r="AG52">
        <v>0.524475525349963</v>
      </c>
      <c r="AH52">
        <v>0.47552447465003689</v>
      </c>
      <c r="AI52">
        <v>150</v>
      </c>
      <c r="AJ52">
        <v>0.20000000298023221</v>
      </c>
      <c r="AK52">
        <v>1.299999952316284</v>
      </c>
      <c r="AL52">
        <v>0.30000001192092901</v>
      </c>
      <c r="AM52">
        <v>1.059999942779541</v>
      </c>
      <c r="AN52">
        <v>1</v>
      </c>
      <c r="AO52">
        <v>1</v>
      </c>
      <c r="AP52">
        <v>2022</v>
      </c>
      <c r="AQ52">
        <v>4</v>
      </c>
      <c r="AR52">
        <v>1</v>
      </c>
      <c r="AS52">
        <v>0</v>
      </c>
      <c r="AT52">
        <v>1</v>
      </c>
      <c r="AU52">
        <v>1</v>
      </c>
      <c r="AV52">
        <f t="shared" si="0"/>
        <v>0</v>
      </c>
      <c r="AW52">
        <f t="shared" si="1"/>
        <v>0.30069928069214719</v>
      </c>
      <c r="AX52">
        <f t="shared" si="2"/>
        <v>1707.118788965932</v>
      </c>
      <c r="AY52">
        <f t="shared" si="3"/>
        <v>0</v>
      </c>
      <c r="AZ52">
        <f t="shared" si="4"/>
        <v>1.059999942779541</v>
      </c>
      <c r="BA52">
        <f t="shared" si="5"/>
        <v>3</v>
      </c>
      <c r="BB52">
        <f t="shared" si="6"/>
        <v>0.524475525349963</v>
      </c>
      <c r="BC52">
        <f>MATCH($B52,clean_historis!$B:$B,0)</f>
        <v>52</v>
      </c>
      <c r="BD52">
        <f>IFERROR(INDEX(clean_historis!$AF:$AF,$BC52)/INDEX(clean_historis!$V:$V,$BC52),0)</f>
        <v>6.9930069930069935E-2</v>
      </c>
      <c r="BE52">
        <f>IFERROR(INDEX(clean_historis!$AR:$AR,$BC52)/INDEX(clean_historis!$AH:$AH,$BC52),0)</f>
        <v>6.9930069930069935E-2</v>
      </c>
      <c r="BF52">
        <f t="shared" si="7"/>
        <v>0.37062935062221714</v>
      </c>
      <c r="BG52">
        <f>MAX(IF(INDEX(clean_historis!$CL:$CL,$BC52)=1,2025,0),IF(INDEX(clean_historis!$CK:$CK,$BC52)=1,2024,0),IF(INDEX(clean_historis!$CJ:$CJ,$BC52)=1,2023,0),IF(INDEX(clean_historis!$CI:$CI,$BC52)=1,2022,0),IF(INDEX(clean_historis!$CH:$CH,$BC52)=1,2021,0))</f>
        <v>2022</v>
      </c>
      <c r="BH52">
        <f t="shared" si="8"/>
        <v>0.475524474650037</v>
      </c>
      <c r="BI52">
        <f t="shared" si="9"/>
        <v>2190.2657302380703</v>
      </c>
      <c r="BJ52">
        <f t="shared" si="10"/>
        <v>1</v>
      </c>
      <c r="BK52">
        <f t="shared" si="11"/>
        <v>32.821200000000005</v>
      </c>
      <c r="BL52">
        <f t="shared" si="12"/>
        <v>0</v>
      </c>
      <c r="BM52">
        <f t="shared" si="13"/>
        <v>1</v>
      </c>
      <c r="BN52">
        <v>0</v>
      </c>
      <c r="BO52">
        <f t="shared" si="16"/>
        <v>0</v>
      </c>
      <c r="BP52">
        <f t="shared" si="14"/>
        <v>1</v>
      </c>
      <c r="BQ52">
        <f t="shared" si="15"/>
        <v>0</v>
      </c>
    </row>
    <row r="53" spans="1:69" x14ac:dyDescent="0.25">
      <c r="A53">
        <v>52</v>
      </c>
      <c r="B53" t="s">
        <v>316</v>
      </c>
      <c r="C53" t="s">
        <v>317</v>
      </c>
      <c r="D53" t="s">
        <v>318</v>
      </c>
      <c r="E53" t="s">
        <v>319</v>
      </c>
      <c r="F53" t="s">
        <v>315</v>
      </c>
      <c r="G53">
        <v>3</v>
      </c>
      <c r="H53">
        <v>1</v>
      </c>
      <c r="I53">
        <v>2075</v>
      </c>
      <c r="J53">
        <v>0</v>
      </c>
      <c r="K53">
        <v>0</v>
      </c>
      <c r="L53">
        <v>1135.9000000000001</v>
      </c>
      <c r="M53">
        <v>1027.3</v>
      </c>
      <c r="N53">
        <v>705.3</v>
      </c>
      <c r="O53">
        <v>197.1</v>
      </c>
      <c r="P53">
        <v>27941.3</v>
      </c>
      <c r="Q53">
        <v>0</v>
      </c>
      <c r="R53">
        <v>0</v>
      </c>
      <c r="S53">
        <v>0</v>
      </c>
      <c r="T53">
        <v>0</v>
      </c>
      <c r="U53">
        <v>0</v>
      </c>
      <c r="V53">
        <v>2.21</v>
      </c>
      <c r="W53">
        <v>0</v>
      </c>
      <c r="X53">
        <v>0</v>
      </c>
      <c r="Y53">
        <v>2</v>
      </c>
      <c r="Z53">
        <v>0</v>
      </c>
      <c r="AA53">
        <v>0.60000002384185791</v>
      </c>
      <c r="AB53">
        <v>0.40000000596046448</v>
      </c>
      <c r="AC53">
        <v>0.60000002384185791</v>
      </c>
      <c r="AD53">
        <v>0.40000000596046448</v>
      </c>
      <c r="AE53">
        <v>1.0000000298023219</v>
      </c>
      <c r="AF53">
        <v>1.0000000298023219</v>
      </c>
      <c r="AG53">
        <v>0.5</v>
      </c>
      <c r="AH53">
        <v>0.5</v>
      </c>
      <c r="AI53">
        <v>150</v>
      </c>
      <c r="AJ53">
        <v>0.60000002384185791</v>
      </c>
      <c r="AK53">
        <v>0.40000000596046448</v>
      </c>
      <c r="AL53">
        <v>0.60000002384185791</v>
      </c>
      <c r="AM53">
        <v>0.40000000596046448</v>
      </c>
      <c r="AN53">
        <v>0</v>
      </c>
      <c r="AO53">
        <v>0</v>
      </c>
      <c r="AR53">
        <v>0</v>
      </c>
      <c r="AS53">
        <v>0</v>
      </c>
      <c r="AT53">
        <v>0</v>
      </c>
      <c r="AU53">
        <v>0</v>
      </c>
      <c r="AV53">
        <f t="shared" si="0"/>
        <v>4.5248868778280577E-2</v>
      </c>
      <c r="AW53">
        <f t="shared" si="1"/>
        <v>-4.9773752959065859E-2</v>
      </c>
      <c r="AX53">
        <f t="shared" si="2"/>
        <v>375.56561645609224</v>
      </c>
      <c r="AY53">
        <f t="shared" si="3"/>
        <v>0</v>
      </c>
      <c r="AZ53">
        <f t="shared" si="4"/>
        <v>0.40000000596046448</v>
      </c>
      <c r="BA53" t="str">
        <f t="shared" si="5"/>
        <v/>
      </c>
      <c r="BB53">
        <f t="shared" si="6"/>
        <v>0.5</v>
      </c>
      <c r="BC53">
        <f>MATCH($B53,clean_historis!$B:$B,0)</f>
        <v>53</v>
      </c>
      <c r="BD53">
        <f>IFERROR(INDEX(clean_historis!$AF:$AF,$BC53)/INDEX(clean_historis!$V:$V,$BC53),0)</f>
        <v>0.18552036199095021</v>
      </c>
      <c r="BE53">
        <f>IFERROR(INDEX(clean_historis!$AR:$AR,$BC53)/INDEX(clean_historis!$AH:$AH,$BC53),0)</f>
        <v>0.23076923076923078</v>
      </c>
      <c r="BF53">
        <f t="shared" si="7"/>
        <v>0.18099547781016492</v>
      </c>
      <c r="BG53">
        <f>MAX(IF(INDEX(clean_historis!$CL:$CL,$BC53)=1,2025,0),IF(INDEX(clean_historis!$CK:$CK,$BC53)=1,2024,0),IF(INDEX(clean_historis!$CJ:$CJ,$BC53)=1,2023,0),IF(INDEX(clean_historis!$CI:$CI,$BC53)=1,2022,0),IF(INDEX(clean_historis!$CH:$CH,$BC53)=1,2021,0))</f>
        <v>0</v>
      </c>
      <c r="BH53">
        <f t="shared" si="8"/>
        <v>0.5</v>
      </c>
      <c r="BI53">
        <f t="shared" si="9"/>
        <v>1037.5</v>
      </c>
      <c r="BJ53">
        <f t="shared" si="10"/>
        <v>1</v>
      </c>
      <c r="BK53">
        <f t="shared" si="11"/>
        <v>30.809799999999999</v>
      </c>
      <c r="BL53">
        <f t="shared" si="12"/>
        <v>0</v>
      </c>
      <c r="BM53">
        <f t="shared" si="13"/>
        <v>0</v>
      </c>
      <c r="BN53">
        <v>0</v>
      </c>
      <c r="BO53">
        <f t="shared" si="16"/>
        <v>0</v>
      </c>
      <c r="BP53">
        <f t="shared" si="14"/>
        <v>0</v>
      </c>
      <c r="BQ53">
        <f t="shared" si="15"/>
        <v>0</v>
      </c>
    </row>
    <row r="54" spans="1:69" x14ac:dyDescent="0.25">
      <c r="A54">
        <v>53</v>
      </c>
      <c r="B54" t="s">
        <v>320</v>
      </c>
      <c r="C54" t="s">
        <v>321</v>
      </c>
      <c r="D54" t="s">
        <v>322</v>
      </c>
      <c r="E54" t="s">
        <v>323</v>
      </c>
      <c r="F54" t="s">
        <v>100</v>
      </c>
      <c r="G54">
        <v>1</v>
      </c>
      <c r="H54">
        <v>1</v>
      </c>
      <c r="I54">
        <v>938</v>
      </c>
      <c r="J54">
        <v>0</v>
      </c>
      <c r="K54">
        <v>0</v>
      </c>
      <c r="L54">
        <v>920.9</v>
      </c>
      <c r="M54">
        <v>1071</v>
      </c>
      <c r="N54">
        <v>1065.3</v>
      </c>
      <c r="O54">
        <v>210.7</v>
      </c>
      <c r="P54">
        <v>1034</v>
      </c>
      <c r="Q54">
        <v>0</v>
      </c>
      <c r="R54">
        <v>0</v>
      </c>
      <c r="S54">
        <v>0</v>
      </c>
      <c r="T54">
        <v>0</v>
      </c>
      <c r="U54">
        <v>0</v>
      </c>
      <c r="V54">
        <v>0.24</v>
      </c>
      <c r="W54">
        <v>0</v>
      </c>
      <c r="X54">
        <v>0</v>
      </c>
      <c r="Y54">
        <v>0.239999994635582</v>
      </c>
      <c r="Z54">
        <v>0</v>
      </c>
      <c r="AA54">
        <v>0.239999994635582</v>
      </c>
      <c r="AB54">
        <v>0</v>
      </c>
      <c r="AC54">
        <v>0</v>
      </c>
      <c r="AD54">
        <v>0</v>
      </c>
      <c r="AE54">
        <v>0.239999994635582</v>
      </c>
      <c r="AF54">
        <v>0</v>
      </c>
      <c r="AG54">
        <v>1</v>
      </c>
      <c r="AH54">
        <v>0</v>
      </c>
      <c r="AI54">
        <v>150</v>
      </c>
      <c r="AJ54">
        <v>0.239999994635582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2023</v>
      </c>
      <c r="AQ54">
        <v>3</v>
      </c>
      <c r="AR54">
        <v>0</v>
      </c>
      <c r="AS54">
        <v>0</v>
      </c>
      <c r="AT54">
        <v>0</v>
      </c>
      <c r="AU54">
        <v>0</v>
      </c>
      <c r="AV54">
        <f t="shared" si="0"/>
        <v>0</v>
      </c>
      <c r="AW54">
        <f t="shared" si="1"/>
        <v>0</v>
      </c>
      <c r="AX54">
        <f t="shared" si="2"/>
        <v>0</v>
      </c>
      <c r="AY54">
        <f t="shared" si="3"/>
        <v>0</v>
      </c>
      <c r="AZ54">
        <f t="shared" si="4"/>
        <v>0</v>
      </c>
      <c r="BA54">
        <f t="shared" si="5"/>
        <v>2</v>
      </c>
      <c r="BB54">
        <f t="shared" si="6"/>
        <v>1</v>
      </c>
      <c r="BC54">
        <f>MATCH($B54,clean_historis!$B:$B,0)</f>
        <v>54</v>
      </c>
      <c r="BD54">
        <f>IFERROR(INDEX(clean_historis!$AF:$AF,$BC54)/INDEX(clean_historis!$V:$V,$BC54),0)</f>
        <v>0</v>
      </c>
      <c r="BE54">
        <f>IFERROR(INDEX(clean_historis!$AR:$AR,$BC54)/INDEX(clean_historis!$AH:$AH,$BC54),0)</f>
        <v>0</v>
      </c>
      <c r="BF54">
        <f t="shared" si="7"/>
        <v>0</v>
      </c>
      <c r="BG54">
        <f>MAX(IF(INDEX(clean_historis!$CL:$CL,$BC54)=1,2025,0),IF(INDEX(clean_historis!$CK:$CK,$BC54)=1,2024,0),IF(INDEX(clean_historis!$CJ:$CJ,$BC54)=1,2023,0),IF(INDEX(clean_historis!$CI:$CI,$BC54)=1,2022,0),IF(INDEX(clean_historis!$CH:$CH,$BC54)=1,2021,0))</f>
        <v>2023</v>
      </c>
      <c r="BH54">
        <f t="shared" si="8"/>
        <v>0</v>
      </c>
      <c r="BI54">
        <f t="shared" si="9"/>
        <v>0</v>
      </c>
      <c r="BJ54">
        <f t="shared" si="10"/>
        <v>1</v>
      </c>
      <c r="BK54">
        <f t="shared" si="11"/>
        <v>4.0911999999999997</v>
      </c>
      <c r="BL54">
        <f t="shared" si="12"/>
        <v>0</v>
      </c>
      <c r="BM54">
        <f t="shared" si="13"/>
        <v>0</v>
      </c>
      <c r="BN54">
        <v>0</v>
      </c>
      <c r="BO54">
        <f t="shared" si="16"/>
        <v>1</v>
      </c>
      <c r="BP54">
        <f t="shared" si="14"/>
        <v>1</v>
      </c>
      <c r="BQ54">
        <f t="shared" si="15"/>
        <v>1</v>
      </c>
    </row>
    <row r="55" spans="1:69" x14ac:dyDescent="0.25">
      <c r="A55">
        <v>54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>
        <v>2</v>
      </c>
      <c r="H55">
        <v>2</v>
      </c>
      <c r="I55">
        <v>701</v>
      </c>
      <c r="J55">
        <v>0</v>
      </c>
      <c r="K55">
        <v>1</v>
      </c>
      <c r="L55">
        <v>6241.4</v>
      </c>
      <c r="M55">
        <v>5437</v>
      </c>
      <c r="N55">
        <v>12374.3</v>
      </c>
      <c r="O55">
        <v>1268.5999999999999</v>
      </c>
      <c r="P55">
        <v>13772.9</v>
      </c>
      <c r="Q55">
        <v>0</v>
      </c>
      <c r="R55">
        <v>0</v>
      </c>
      <c r="S55">
        <v>0</v>
      </c>
      <c r="T55">
        <v>0</v>
      </c>
      <c r="U55">
        <v>0</v>
      </c>
      <c r="V55">
        <v>4.34</v>
      </c>
      <c r="W55">
        <v>0</v>
      </c>
      <c r="X55">
        <v>0</v>
      </c>
      <c r="Y55">
        <v>4.3400001525878906</v>
      </c>
      <c r="Z55">
        <v>0</v>
      </c>
      <c r="AA55">
        <v>1.5399999618530269</v>
      </c>
      <c r="AB55">
        <v>1.3999999761581421</v>
      </c>
      <c r="AC55">
        <v>1.3999999761581421</v>
      </c>
      <c r="AD55">
        <v>0</v>
      </c>
      <c r="AE55">
        <v>2.939999938011169</v>
      </c>
      <c r="AF55">
        <v>1.3999999761581421</v>
      </c>
      <c r="AG55">
        <v>0.67741935395265873</v>
      </c>
      <c r="AH55">
        <v>0.32258064604734132</v>
      </c>
      <c r="AI55">
        <v>150</v>
      </c>
      <c r="AJ55">
        <v>1.5399999618530269</v>
      </c>
      <c r="AK55">
        <v>1.3999999761581421</v>
      </c>
      <c r="AL55">
        <v>1.3999999761581421</v>
      </c>
      <c r="AM55">
        <v>0</v>
      </c>
      <c r="AN55">
        <v>0</v>
      </c>
      <c r="AO55">
        <v>0</v>
      </c>
      <c r="AR55">
        <v>0</v>
      </c>
      <c r="AS55">
        <v>0</v>
      </c>
      <c r="AT55">
        <v>0</v>
      </c>
      <c r="AU55">
        <v>0</v>
      </c>
      <c r="AV55">
        <f t="shared" si="0"/>
        <v>0</v>
      </c>
      <c r="AW55">
        <f t="shared" si="1"/>
        <v>0</v>
      </c>
      <c r="AX55">
        <f t="shared" si="2"/>
        <v>0</v>
      </c>
      <c r="AY55">
        <f t="shared" si="3"/>
        <v>0</v>
      </c>
      <c r="AZ55">
        <f t="shared" si="4"/>
        <v>0</v>
      </c>
      <c r="BA55" t="str">
        <f t="shared" si="5"/>
        <v/>
      </c>
      <c r="BB55">
        <f t="shared" si="6"/>
        <v>0.67741935395265873</v>
      </c>
      <c r="BC55">
        <f>MATCH($B55,clean_historis!$B:$B,0)</f>
        <v>55</v>
      </c>
      <c r="BD55">
        <f>IFERROR(INDEX(clean_historis!$AF:$AF,$BC55)/INDEX(clean_historis!$V:$V,$BC55),0)</f>
        <v>0</v>
      </c>
      <c r="BE55">
        <f>IFERROR(INDEX(clean_historis!$AR:$AR,$BC55)/INDEX(clean_historis!$AH:$AH,$BC55),0)</f>
        <v>0</v>
      </c>
      <c r="BF55">
        <f t="shared" si="7"/>
        <v>0</v>
      </c>
      <c r="BG55">
        <f>MAX(IF(INDEX(clean_historis!$CL:$CL,$BC55)=1,2025,0),IF(INDEX(clean_historis!$CK:$CK,$BC55)=1,2024,0),IF(INDEX(clean_historis!$CJ:$CJ,$BC55)=1,2023,0),IF(INDEX(clean_historis!$CI:$CI,$BC55)=1,2022,0),IF(INDEX(clean_historis!$CH:$CH,$BC55)=1,2021,0))</f>
        <v>0</v>
      </c>
      <c r="BH55">
        <f t="shared" si="8"/>
        <v>0.32258064604734127</v>
      </c>
      <c r="BI55">
        <f t="shared" si="9"/>
        <v>226.12903287918624</v>
      </c>
      <c r="BJ55">
        <f t="shared" si="10"/>
        <v>0</v>
      </c>
      <c r="BK55">
        <f t="shared" si="11"/>
        <v>37.825600000000001</v>
      </c>
      <c r="BL55">
        <f t="shared" si="12"/>
        <v>0</v>
      </c>
      <c r="BM55">
        <f t="shared" si="13"/>
        <v>0</v>
      </c>
      <c r="BN55">
        <v>0</v>
      </c>
      <c r="BO55">
        <f t="shared" si="16"/>
        <v>0</v>
      </c>
      <c r="BP55">
        <f t="shared" si="14"/>
        <v>0</v>
      </c>
      <c r="BQ55">
        <f t="shared" si="15"/>
        <v>0</v>
      </c>
    </row>
    <row r="56" spans="1:69" x14ac:dyDescent="0.25">
      <c r="A56">
        <v>55</v>
      </c>
      <c r="B56" t="s">
        <v>329</v>
      </c>
      <c r="C56" t="s">
        <v>330</v>
      </c>
      <c r="D56" t="s">
        <v>331</v>
      </c>
      <c r="E56" t="s">
        <v>332</v>
      </c>
      <c r="F56" t="s">
        <v>100</v>
      </c>
      <c r="G56">
        <v>2</v>
      </c>
      <c r="H56">
        <v>1</v>
      </c>
      <c r="I56">
        <v>1848</v>
      </c>
      <c r="J56">
        <v>1</v>
      </c>
      <c r="K56">
        <v>0</v>
      </c>
      <c r="L56">
        <v>10112.4</v>
      </c>
      <c r="M56">
        <v>9359.7999999999993</v>
      </c>
      <c r="N56">
        <v>11521.3</v>
      </c>
      <c r="O56">
        <v>939</v>
      </c>
      <c r="P56">
        <v>9847.6</v>
      </c>
      <c r="Q56">
        <v>0</v>
      </c>
      <c r="R56">
        <v>0</v>
      </c>
      <c r="S56">
        <v>0</v>
      </c>
      <c r="T56">
        <v>0</v>
      </c>
      <c r="U56">
        <v>0</v>
      </c>
      <c r="V56">
        <v>1.82</v>
      </c>
      <c r="W56">
        <v>0</v>
      </c>
      <c r="X56">
        <v>0</v>
      </c>
      <c r="Y56">
        <v>1.820000052452087</v>
      </c>
      <c r="Z56">
        <v>0</v>
      </c>
      <c r="AA56">
        <v>0.5</v>
      </c>
      <c r="AB56">
        <v>0.30000001192092901</v>
      </c>
      <c r="AC56">
        <v>0.62000000476837158</v>
      </c>
      <c r="AD56">
        <v>0.40000000596046448</v>
      </c>
      <c r="AE56">
        <v>0.80000001192092896</v>
      </c>
      <c r="AF56">
        <v>1.0200000107288361</v>
      </c>
      <c r="AG56">
        <v>0.43956044064010352</v>
      </c>
      <c r="AH56">
        <v>0.56043955935989653</v>
      </c>
      <c r="AI56">
        <v>150</v>
      </c>
      <c r="AJ56">
        <v>0.5</v>
      </c>
      <c r="AK56">
        <v>0.30000001192092901</v>
      </c>
      <c r="AL56">
        <v>0.62000000476837158</v>
      </c>
      <c r="AM56">
        <v>0.40000000596046448</v>
      </c>
      <c r="AN56">
        <v>1</v>
      </c>
      <c r="AO56">
        <v>1</v>
      </c>
      <c r="AP56">
        <v>2024</v>
      </c>
      <c r="AQ56">
        <v>2</v>
      </c>
      <c r="AR56">
        <v>0</v>
      </c>
      <c r="AS56">
        <v>0</v>
      </c>
      <c r="AT56">
        <v>0</v>
      </c>
      <c r="AU56">
        <v>0</v>
      </c>
      <c r="AV56">
        <f t="shared" si="0"/>
        <v>-0.54945054945054939</v>
      </c>
      <c r="AW56">
        <f t="shared" si="1"/>
        <v>0.21978022305520026</v>
      </c>
      <c r="AX56">
        <f t="shared" si="2"/>
        <v>406.15385220601007</v>
      </c>
      <c r="AY56">
        <f t="shared" si="3"/>
        <v>0</v>
      </c>
      <c r="AZ56">
        <f t="shared" si="4"/>
        <v>0.40000000596046448</v>
      </c>
      <c r="BA56">
        <f t="shared" si="5"/>
        <v>1</v>
      </c>
      <c r="BB56">
        <f t="shared" si="6"/>
        <v>0.43956044064010352</v>
      </c>
      <c r="BC56">
        <f>MATCH($B56,clean_historis!$B:$B,0)</f>
        <v>56</v>
      </c>
      <c r="BD56">
        <f>IFERROR(INDEX(clean_historis!$AF:$AF,$BC56)/INDEX(clean_historis!$V:$V,$BC56),0)</f>
        <v>0.54945054945054939</v>
      </c>
      <c r="BE56">
        <f>IFERROR(INDEX(clean_historis!$AR:$AR,$BC56)/INDEX(clean_historis!$AH:$AH,$BC56),0)</f>
        <v>0</v>
      </c>
      <c r="BF56">
        <f t="shared" si="7"/>
        <v>0.21978022305520026</v>
      </c>
      <c r="BG56">
        <f>MAX(IF(INDEX(clean_historis!$CL:$CL,$BC56)=1,2025,0),IF(INDEX(clean_historis!$CK:$CK,$BC56)=1,2024,0),IF(INDEX(clean_historis!$CJ:$CJ,$BC56)=1,2023,0),IF(INDEX(clean_historis!$CI:$CI,$BC56)=1,2022,0),IF(INDEX(clean_historis!$CH:$CH,$BC56)=1,2021,0))</f>
        <v>2024</v>
      </c>
      <c r="BH56">
        <f t="shared" si="8"/>
        <v>0.56043955935989653</v>
      </c>
      <c r="BI56">
        <f t="shared" si="9"/>
        <v>1035.6923056970888</v>
      </c>
      <c r="BJ56">
        <f t="shared" si="10"/>
        <v>0</v>
      </c>
      <c r="BK56">
        <f t="shared" si="11"/>
        <v>40.841099999999997</v>
      </c>
      <c r="BL56">
        <f t="shared" si="12"/>
        <v>0</v>
      </c>
      <c r="BM56">
        <f t="shared" si="13"/>
        <v>0</v>
      </c>
      <c r="BN56">
        <v>0</v>
      </c>
      <c r="BO56">
        <f t="shared" si="16"/>
        <v>0</v>
      </c>
      <c r="BP56">
        <f t="shared" si="14"/>
        <v>1</v>
      </c>
      <c r="BQ56">
        <f t="shared" si="15"/>
        <v>1</v>
      </c>
    </row>
    <row r="57" spans="1:69" x14ac:dyDescent="0.25">
      <c r="A57">
        <v>56</v>
      </c>
      <c r="B57" t="s">
        <v>333</v>
      </c>
      <c r="C57" t="s">
        <v>334</v>
      </c>
      <c r="D57" t="s">
        <v>335</v>
      </c>
      <c r="E57" t="s">
        <v>194</v>
      </c>
      <c r="F57" t="s">
        <v>100</v>
      </c>
      <c r="G57">
        <v>1</v>
      </c>
      <c r="H57">
        <v>1</v>
      </c>
      <c r="I57">
        <v>1874</v>
      </c>
      <c r="J57">
        <v>0</v>
      </c>
      <c r="K57">
        <v>0</v>
      </c>
      <c r="L57">
        <v>1351.3</v>
      </c>
      <c r="M57">
        <v>1894.4</v>
      </c>
      <c r="N57">
        <v>2726.1</v>
      </c>
      <c r="O57">
        <v>0</v>
      </c>
      <c r="P57">
        <v>1033</v>
      </c>
      <c r="Q57">
        <v>0</v>
      </c>
      <c r="R57">
        <v>0</v>
      </c>
      <c r="S57">
        <v>0</v>
      </c>
      <c r="T57">
        <v>0</v>
      </c>
      <c r="U57">
        <v>0</v>
      </c>
      <c r="V57">
        <v>0.35</v>
      </c>
      <c r="W57">
        <v>0</v>
      </c>
      <c r="X57">
        <v>0</v>
      </c>
      <c r="Y57">
        <v>0.34999999403953552</v>
      </c>
      <c r="Z57">
        <v>0</v>
      </c>
      <c r="AA57">
        <v>0</v>
      </c>
      <c r="AB57">
        <v>0.34999999403953552</v>
      </c>
      <c r="AC57">
        <v>0</v>
      </c>
      <c r="AD57">
        <v>0</v>
      </c>
      <c r="AE57">
        <v>0.34999999403953552</v>
      </c>
      <c r="AF57">
        <v>0</v>
      </c>
      <c r="AG57">
        <v>1</v>
      </c>
      <c r="AH57">
        <v>0</v>
      </c>
      <c r="AI57">
        <v>150</v>
      </c>
      <c r="AJ57">
        <v>0</v>
      </c>
      <c r="AK57">
        <v>0.34999999403953552</v>
      </c>
      <c r="AL57">
        <v>0</v>
      </c>
      <c r="AM57">
        <v>0</v>
      </c>
      <c r="AN57">
        <v>0</v>
      </c>
      <c r="AO57">
        <v>0</v>
      </c>
      <c r="AR57">
        <v>0</v>
      </c>
      <c r="AS57">
        <v>0</v>
      </c>
      <c r="AT57">
        <v>0</v>
      </c>
      <c r="AU57">
        <v>0</v>
      </c>
      <c r="AV57">
        <f t="shared" si="0"/>
        <v>0</v>
      </c>
      <c r="AW57">
        <f t="shared" si="1"/>
        <v>0</v>
      </c>
      <c r="AX57">
        <f t="shared" si="2"/>
        <v>0</v>
      </c>
      <c r="AY57">
        <f t="shared" si="3"/>
        <v>0</v>
      </c>
      <c r="AZ57">
        <f t="shared" si="4"/>
        <v>0</v>
      </c>
      <c r="BA57" t="str">
        <f t="shared" si="5"/>
        <v/>
      </c>
      <c r="BB57">
        <f t="shared" si="6"/>
        <v>1</v>
      </c>
      <c r="BC57">
        <f>MATCH($B57,clean_historis!$B:$B,0)</f>
        <v>57</v>
      </c>
      <c r="BD57">
        <f>IFERROR(INDEX(clean_historis!$AF:$AF,$BC57)/INDEX(clean_historis!$V:$V,$BC57),0)</f>
        <v>0</v>
      </c>
      <c r="BE57">
        <f>IFERROR(INDEX(clean_historis!$AR:$AR,$BC57)/INDEX(clean_historis!$AH:$AH,$BC57),0)</f>
        <v>0</v>
      </c>
      <c r="BF57">
        <f t="shared" si="7"/>
        <v>0</v>
      </c>
      <c r="BG57">
        <f>MAX(IF(INDEX(clean_historis!$CL:$CL,$BC57)=1,2025,0),IF(INDEX(clean_historis!$CK:$CK,$BC57)=1,2024,0),IF(INDEX(clean_historis!$CJ:$CJ,$BC57)=1,2023,0),IF(INDEX(clean_historis!$CI:$CI,$BC57)=1,2022,0),IF(INDEX(clean_historis!$CH:$CH,$BC57)=1,2021,0))</f>
        <v>0</v>
      </c>
      <c r="BH57">
        <f t="shared" si="8"/>
        <v>0</v>
      </c>
      <c r="BI57">
        <f t="shared" si="9"/>
        <v>0</v>
      </c>
      <c r="BJ57">
        <f t="shared" si="10"/>
        <v>1</v>
      </c>
      <c r="BK57">
        <f t="shared" si="11"/>
        <v>7.0047999999999995</v>
      </c>
      <c r="BL57">
        <f t="shared" si="12"/>
        <v>0</v>
      </c>
      <c r="BM57">
        <f t="shared" si="13"/>
        <v>0</v>
      </c>
      <c r="BN57">
        <v>0</v>
      </c>
      <c r="BO57">
        <f t="shared" si="16"/>
        <v>1</v>
      </c>
      <c r="BP57">
        <f t="shared" si="14"/>
        <v>0</v>
      </c>
      <c r="BQ57">
        <f t="shared" si="15"/>
        <v>1</v>
      </c>
    </row>
    <row r="58" spans="1:69" x14ac:dyDescent="0.25">
      <c r="A58">
        <v>57</v>
      </c>
      <c r="B58" t="s">
        <v>336</v>
      </c>
      <c r="C58" t="s">
        <v>337</v>
      </c>
      <c r="D58" t="s">
        <v>338</v>
      </c>
      <c r="E58" t="s">
        <v>339</v>
      </c>
      <c r="F58" t="s">
        <v>310</v>
      </c>
      <c r="G58">
        <v>1</v>
      </c>
      <c r="H58">
        <v>1</v>
      </c>
      <c r="I58">
        <v>303</v>
      </c>
      <c r="J58">
        <v>0</v>
      </c>
      <c r="K58">
        <v>1</v>
      </c>
      <c r="L58">
        <v>14913.1</v>
      </c>
      <c r="M58">
        <v>10870.4</v>
      </c>
      <c r="N58">
        <v>17123.5</v>
      </c>
      <c r="O58">
        <v>390</v>
      </c>
      <c r="P58">
        <v>17025.900000000001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0.74</v>
      </c>
      <c r="W58">
        <v>0</v>
      </c>
      <c r="X58">
        <v>0</v>
      </c>
      <c r="Y58">
        <v>0.74000000953674316</v>
      </c>
      <c r="Z58">
        <v>0</v>
      </c>
      <c r="AA58">
        <v>0</v>
      </c>
      <c r="AB58">
        <v>0.10000000149011611</v>
      </c>
      <c r="AC58">
        <v>0.14000000059604639</v>
      </c>
      <c r="AD58">
        <v>0.5</v>
      </c>
      <c r="AE58">
        <v>0.10000000149011611</v>
      </c>
      <c r="AF58">
        <v>0.64000000059604645</v>
      </c>
      <c r="AG58">
        <v>0.13513513676784089</v>
      </c>
      <c r="AH58">
        <v>0.86486486323215916</v>
      </c>
      <c r="AI58">
        <v>150</v>
      </c>
      <c r="AJ58">
        <v>0</v>
      </c>
      <c r="AK58">
        <v>0.10000000149011611</v>
      </c>
      <c r="AL58">
        <v>0.14000000059604639</v>
      </c>
      <c r="AM58">
        <v>0.5</v>
      </c>
      <c r="AN58">
        <v>0</v>
      </c>
      <c r="AO58">
        <v>0</v>
      </c>
      <c r="AR58">
        <v>0</v>
      </c>
      <c r="AS58">
        <v>0</v>
      </c>
      <c r="AT58">
        <v>0</v>
      </c>
      <c r="AU58">
        <v>0</v>
      </c>
      <c r="AV58">
        <f t="shared" si="0"/>
        <v>0.54054054054054057</v>
      </c>
      <c r="AW58">
        <f t="shared" si="1"/>
        <v>0.13513513513513509</v>
      </c>
      <c r="AX58">
        <f t="shared" si="2"/>
        <v>204.72972972972971</v>
      </c>
      <c r="AY58">
        <f t="shared" si="3"/>
        <v>0</v>
      </c>
      <c r="AZ58">
        <f t="shared" si="4"/>
        <v>0.5</v>
      </c>
      <c r="BA58" t="str">
        <f t="shared" si="5"/>
        <v/>
      </c>
      <c r="BB58">
        <f t="shared" si="6"/>
        <v>0.13513513676784089</v>
      </c>
      <c r="BC58">
        <f>MATCH($B58,clean_historis!$B:$B,0)</f>
        <v>58</v>
      </c>
      <c r="BD58">
        <f>IFERROR(INDEX(clean_historis!$AF:$AF,$BC58)/INDEX(clean_historis!$V:$V,$BC58),0)</f>
        <v>0</v>
      </c>
      <c r="BE58">
        <f>IFERROR(INDEX(clean_historis!$AR:$AR,$BC58)/INDEX(clean_historis!$AH:$AH,$BC58),0)</f>
        <v>0.54054054054054057</v>
      </c>
      <c r="BF58">
        <f t="shared" si="7"/>
        <v>0.67567567567567566</v>
      </c>
      <c r="BG58">
        <f>MAX(IF(INDEX(clean_historis!$CL:$CL,$BC58)=1,2025,0),IF(INDEX(clean_historis!$CK:$CK,$BC58)=1,2024,0),IF(INDEX(clean_historis!$CJ:$CJ,$BC58)=1,2023,0),IF(INDEX(clean_historis!$CI:$CI,$BC58)=1,2022,0),IF(INDEX(clean_historis!$CH:$CH,$BC58)=1,2021,0))</f>
        <v>0</v>
      </c>
      <c r="BH58">
        <f t="shared" si="8"/>
        <v>0.86486486323215916</v>
      </c>
      <c r="BI58">
        <f t="shared" si="9"/>
        <v>262.05405355934425</v>
      </c>
      <c r="BJ58">
        <f t="shared" si="10"/>
        <v>0</v>
      </c>
      <c r="BK58">
        <f t="shared" si="11"/>
        <v>59.932900000000004</v>
      </c>
      <c r="BL58">
        <f t="shared" si="12"/>
        <v>0</v>
      </c>
      <c r="BM58">
        <f t="shared" si="13"/>
        <v>1</v>
      </c>
      <c r="BN58">
        <v>0</v>
      </c>
      <c r="BO58">
        <f t="shared" si="16"/>
        <v>1</v>
      </c>
      <c r="BP58">
        <f t="shared" si="14"/>
        <v>0</v>
      </c>
      <c r="BQ58">
        <f t="shared" si="15"/>
        <v>1</v>
      </c>
    </row>
    <row r="59" spans="1:69" x14ac:dyDescent="0.25">
      <c r="A59">
        <v>58</v>
      </c>
      <c r="B59" t="s">
        <v>340</v>
      </c>
      <c r="C59" t="s">
        <v>341</v>
      </c>
      <c r="D59" t="s">
        <v>342</v>
      </c>
      <c r="E59" t="s">
        <v>339</v>
      </c>
      <c r="F59" t="s">
        <v>310</v>
      </c>
      <c r="G59">
        <v>1</v>
      </c>
      <c r="H59">
        <v>1</v>
      </c>
      <c r="I59">
        <v>303</v>
      </c>
      <c r="J59">
        <v>0</v>
      </c>
      <c r="K59">
        <v>0</v>
      </c>
      <c r="L59">
        <v>16716.8</v>
      </c>
      <c r="M59">
        <v>12674.1</v>
      </c>
      <c r="N59">
        <v>18927.2</v>
      </c>
      <c r="O59">
        <v>1391.2</v>
      </c>
      <c r="P59">
        <v>18829.599999999999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2.93</v>
      </c>
      <c r="W59">
        <v>2.9300000667572021</v>
      </c>
      <c r="X59">
        <v>0</v>
      </c>
      <c r="Y59">
        <v>0</v>
      </c>
      <c r="Z59">
        <v>0</v>
      </c>
      <c r="AA59">
        <v>0</v>
      </c>
      <c r="AB59">
        <v>0</v>
      </c>
      <c r="AC59">
        <v>2.2300000190734859</v>
      </c>
      <c r="AD59">
        <v>0.69999998807907104</v>
      </c>
      <c r="AE59">
        <v>0</v>
      </c>
      <c r="AF59">
        <v>2.9300000071525569</v>
      </c>
      <c r="AG59">
        <v>0</v>
      </c>
      <c r="AH59">
        <v>1</v>
      </c>
      <c r="AI59">
        <v>150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2023</v>
      </c>
      <c r="AQ59">
        <v>3</v>
      </c>
      <c r="AR59">
        <v>0</v>
      </c>
      <c r="AS59">
        <v>0</v>
      </c>
      <c r="AT59">
        <v>0</v>
      </c>
      <c r="AU59">
        <v>0</v>
      </c>
      <c r="AV59">
        <f t="shared" si="0"/>
        <v>0.273037542662116</v>
      </c>
      <c r="AW59">
        <f t="shared" si="1"/>
        <v>-0.10238908256686993</v>
      </c>
      <c r="AX59">
        <f t="shared" si="2"/>
        <v>72.389077265514857</v>
      </c>
      <c r="AY59">
        <f t="shared" si="3"/>
        <v>0</v>
      </c>
      <c r="AZ59">
        <f t="shared" si="4"/>
        <v>0.69999998807907104</v>
      </c>
      <c r="BA59" t="str">
        <f t="shared" si="5"/>
        <v/>
      </c>
      <c r="BB59">
        <f t="shared" si="6"/>
        <v>0</v>
      </c>
      <c r="BC59">
        <f>MATCH($B59,clean_historis!$B:$B,0)</f>
        <v>59</v>
      </c>
      <c r="BD59">
        <f>IFERROR(INDEX(clean_historis!$AF:$AF,$BC59)/INDEX(clean_historis!$V:$V,$BC59),0)</f>
        <v>6.8259385665529013E-2</v>
      </c>
      <c r="BE59">
        <f>IFERROR(INDEX(clean_historis!$AR:$AR,$BC59)/INDEX(clean_historis!$AH:$AH,$BC59),0)</f>
        <v>0.34129692832764502</v>
      </c>
      <c r="BF59">
        <f t="shared" si="7"/>
        <v>0.23890784576077509</v>
      </c>
      <c r="BG59">
        <f>MAX(IF(INDEX(clean_historis!$CL:$CL,$BC59)=1,2025,0),IF(INDEX(clean_historis!$CK:$CK,$BC59)=1,2024,0),IF(INDEX(clean_historis!$CJ:$CJ,$BC59)=1,2023,0),IF(INDEX(clean_historis!$CI:$CI,$BC59)=1,2022,0),IF(INDEX(clean_historis!$CH:$CH,$BC59)=1,2021,0))</f>
        <v>0</v>
      </c>
      <c r="BH59">
        <f t="shared" si="8"/>
        <v>1</v>
      </c>
      <c r="BI59">
        <f t="shared" si="9"/>
        <v>303</v>
      </c>
      <c r="BJ59">
        <f t="shared" si="10"/>
        <v>0</v>
      </c>
      <c r="BK59">
        <f t="shared" si="11"/>
        <v>67.1477</v>
      </c>
      <c r="BL59">
        <f t="shared" si="12"/>
        <v>0</v>
      </c>
      <c r="BM59">
        <f t="shared" si="13"/>
        <v>0</v>
      </c>
      <c r="BN59">
        <v>0</v>
      </c>
      <c r="BO59">
        <f t="shared" si="16"/>
        <v>0</v>
      </c>
      <c r="BP59">
        <f t="shared" si="14"/>
        <v>1</v>
      </c>
      <c r="BQ59">
        <f t="shared" si="15"/>
        <v>1</v>
      </c>
    </row>
    <row r="60" spans="1:69" x14ac:dyDescent="0.25">
      <c r="A60">
        <v>59</v>
      </c>
      <c r="B60" t="s">
        <v>343</v>
      </c>
      <c r="C60" t="s">
        <v>344</v>
      </c>
      <c r="D60" t="s">
        <v>345</v>
      </c>
      <c r="E60" t="s">
        <v>346</v>
      </c>
      <c r="F60" t="s">
        <v>100</v>
      </c>
      <c r="G60">
        <v>3</v>
      </c>
      <c r="H60">
        <v>1</v>
      </c>
      <c r="I60">
        <v>3551</v>
      </c>
      <c r="J60">
        <v>0</v>
      </c>
      <c r="K60">
        <v>1</v>
      </c>
      <c r="L60">
        <v>1491.2</v>
      </c>
      <c r="M60">
        <v>1641.3</v>
      </c>
      <c r="N60">
        <v>2153.6999999999998</v>
      </c>
      <c r="O60">
        <v>572.29999999999995</v>
      </c>
      <c r="P60">
        <v>1254.7</v>
      </c>
      <c r="Q60">
        <v>0</v>
      </c>
      <c r="R60">
        <v>0</v>
      </c>
      <c r="S60">
        <v>0</v>
      </c>
      <c r="T60">
        <v>0</v>
      </c>
      <c r="U60">
        <v>0</v>
      </c>
      <c r="V60">
        <v>0.81</v>
      </c>
      <c r="W60">
        <v>0</v>
      </c>
      <c r="X60">
        <v>0</v>
      </c>
      <c r="Y60">
        <v>0.81000000238418579</v>
      </c>
      <c r="Z60">
        <v>0</v>
      </c>
      <c r="AA60">
        <v>0</v>
      </c>
      <c r="AB60">
        <v>0.81000000238418579</v>
      </c>
      <c r="AC60">
        <v>0</v>
      </c>
      <c r="AD60">
        <v>0</v>
      </c>
      <c r="AE60">
        <v>0.81000000238418579</v>
      </c>
      <c r="AF60">
        <v>0</v>
      </c>
      <c r="AG60">
        <v>1</v>
      </c>
      <c r="AH60">
        <v>0</v>
      </c>
      <c r="AI60">
        <v>150</v>
      </c>
      <c r="AJ60">
        <v>0</v>
      </c>
      <c r="AK60">
        <v>0.81000000238418579</v>
      </c>
      <c r="AL60">
        <v>0</v>
      </c>
      <c r="AM60">
        <v>0</v>
      </c>
      <c r="AN60">
        <v>0</v>
      </c>
      <c r="AO60">
        <v>0</v>
      </c>
      <c r="AR60">
        <v>0</v>
      </c>
      <c r="AS60">
        <v>0</v>
      </c>
      <c r="AT60">
        <v>0</v>
      </c>
      <c r="AU60">
        <v>0</v>
      </c>
      <c r="AV60">
        <f t="shared" si="0"/>
        <v>0</v>
      </c>
      <c r="AW60">
        <f t="shared" si="1"/>
        <v>0</v>
      </c>
      <c r="AX60">
        <f t="shared" si="2"/>
        <v>0</v>
      </c>
      <c r="AY60">
        <f t="shared" si="3"/>
        <v>0</v>
      </c>
      <c r="AZ60">
        <f t="shared" si="4"/>
        <v>0</v>
      </c>
      <c r="BA60" t="str">
        <f t="shared" si="5"/>
        <v/>
      </c>
      <c r="BB60">
        <f t="shared" si="6"/>
        <v>1</v>
      </c>
      <c r="BC60">
        <f>MATCH($B60,clean_historis!$B:$B,0)</f>
        <v>60</v>
      </c>
      <c r="BD60">
        <f>IFERROR(INDEX(clean_historis!$AF:$AF,$BC60)/INDEX(clean_historis!$V:$V,$BC60),0)</f>
        <v>0</v>
      </c>
      <c r="BE60">
        <f>IFERROR(INDEX(clean_historis!$AR:$AR,$BC60)/INDEX(clean_historis!$AH:$AH,$BC60),0)</f>
        <v>0</v>
      </c>
      <c r="BF60">
        <f t="shared" si="7"/>
        <v>0</v>
      </c>
      <c r="BG60">
        <f>MAX(IF(INDEX(clean_historis!$CL:$CL,$BC60)=1,2025,0),IF(INDEX(clean_historis!$CK:$CK,$BC60)=1,2024,0),IF(INDEX(clean_historis!$CJ:$CJ,$BC60)=1,2023,0),IF(INDEX(clean_historis!$CI:$CI,$BC60)=1,2022,0),IF(INDEX(clean_historis!$CH:$CH,$BC60)=1,2021,0))</f>
        <v>0</v>
      </c>
      <c r="BH60">
        <f t="shared" si="8"/>
        <v>0</v>
      </c>
      <c r="BI60">
        <f t="shared" si="9"/>
        <v>0</v>
      </c>
      <c r="BJ60">
        <f t="shared" si="10"/>
        <v>1</v>
      </c>
      <c r="BK60">
        <f t="shared" si="11"/>
        <v>6.5409000000000006</v>
      </c>
      <c r="BL60">
        <f t="shared" si="12"/>
        <v>0</v>
      </c>
      <c r="BM60">
        <f t="shared" si="13"/>
        <v>0</v>
      </c>
      <c r="BN60">
        <v>0</v>
      </c>
      <c r="BO60">
        <f t="shared" si="16"/>
        <v>1</v>
      </c>
      <c r="BP60">
        <f t="shared" si="14"/>
        <v>0</v>
      </c>
      <c r="BQ60">
        <f t="shared" si="15"/>
        <v>1</v>
      </c>
    </row>
    <row r="61" spans="1:69" x14ac:dyDescent="0.25">
      <c r="A61">
        <v>60</v>
      </c>
      <c r="B61" t="s">
        <v>347</v>
      </c>
      <c r="C61" t="s">
        <v>348</v>
      </c>
      <c r="D61" t="s">
        <v>349</v>
      </c>
      <c r="E61" t="s">
        <v>350</v>
      </c>
      <c r="F61" t="s">
        <v>105</v>
      </c>
      <c r="G61">
        <v>1</v>
      </c>
      <c r="H61">
        <v>1</v>
      </c>
      <c r="I61">
        <v>404</v>
      </c>
      <c r="J61">
        <v>0</v>
      </c>
      <c r="K61">
        <v>1</v>
      </c>
      <c r="L61">
        <v>2436.5</v>
      </c>
      <c r="M61">
        <v>2727.7</v>
      </c>
      <c r="N61">
        <v>9356.2999999999993</v>
      </c>
      <c r="O61">
        <v>946.5</v>
      </c>
      <c r="P61">
        <v>10735.8</v>
      </c>
      <c r="Q61">
        <v>0</v>
      </c>
      <c r="R61">
        <v>0</v>
      </c>
      <c r="S61">
        <v>0</v>
      </c>
      <c r="T61">
        <v>0</v>
      </c>
      <c r="U61">
        <v>0</v>
      </c>
      <c r="V61">
        <v>1.28</v>
      </c>
      <c r="W61">
        <v>0</v>
      </c>
      <c r="X61">
        <v>0</v>
      </c>
      <c r="Y61">
        <v>0.60000002384185791</v>
      </c>
      <c r="Z61">
        <v>0</v>
      </c>
      <c r="AA61">
        <v>0.5</v>
      </c>
      <c r="AB61">
        <v>0.10000000149011611</v>
      </c>
      <c r="AC61">
        <v>0</v>
      </c>
      <c r="AD61">
        <v>0</v>
      </c>
      <c r="AE61">
        <v>0.60000000149011612</v>
      </c>
      <c r="AF61">
        <v>0</v>
      </c>
      <c r="AG61">
        <v>1</v>
      </c>
      <c r="AH61">
        <v>0</v>
      </c>
      <c r="AI61">
        <v>150</v>
      </c>
      <c r="AJ61">
        <v>0.5</v>
      </c>
      <c r="AK61">
        <v>0.10000000149011611</v>
      </c>
      <c r="AL61">
        <v>0</v>
      </c>
      <c r="AM61">
        <v>0</v>
      </c>
      <c r="AN61">
        <v>1</v>
      </c>
      <c r="AO61">
        <v>2</v>
      </c>
      <c r="AP61">
        <v>2024</v>
      </c>
      <c r="AQ61">
        <v>2</v>
      </c>
      <c r="AR61">
        <v>0</v>
      </c>
      <c r="AS61">
        <v>0</v>
      </c>
      <c r="AT61">
        <v>0</v>
      </c>
      <c r="AU61">
        <v>0</v>
      </c>
      <c r="AV61">
        <f t="shared" si="0"/>
        <v>-0.15625000000000011</v>
      </c>
      <c r="AW61">
        <f t="shared" si="1"/>
        <v>-0.53124999999999989</v>
      </c>
      <c r="AX61">
        <f t="shared" si="2"/>
        <v>0</v>
      </c>
      <c r="AY61">
        <f t="shared" si="3"/>
        <v>0</v>
      </c>
      <c r="AZ61">
        <f t="shared" si="4"/>
        <v>0</v>
      </c>
      <c r="BA61">
        <f t="shared" si="5"/>
        <v>1</v>
      </c>
      <c r="BB61">
        <f t="shared" si="6"/>
        <v>1</v>
      </c>
      <c r="BC61">
        <f>MATCH($B61,clean_historis!$B:$B,0)</f>
        <v>61</v>
      </c>
      <c r="BD61">
        <f>IFERROR(INDEX(clean_historis!$AF:$AF,$BC61)/INDEX(clean_historis!$V:$V,$BC61),0)</f>
        <v>0.6875</v>
      </c>
      <c r="BE61">
        <f>IFERROR(INDEX(clean_historis!$AR:$AR,$BC61)/INDEX(clean_historis!$AH:$AH,$BC61),0)</f>
        <v>0.53124999999999989</v>
      </c>
      <c r="BF61">
        <f t="shared" si="7"/>
        <v>0</v>
      </c>
      <c r="BG61">
        <f>MAX(IF(INDEX(clean_historis!$CL:$CL,$BC61)=1,2025,0),IF(INDEX(clean_historis!$CK:$CK,$BC61)=1,2024,0),IF(INDEX(clean_historis!$CJ:$CJ,$BC61)=1,2023,0),IF(INDEX(clean_historis!$CI:$CI,$BC61)=1,2022,0),IF(INDEX(clean_historis!$CH:$CH,$BC61)=1,2021,0))</f>
        <v>2024</v>
      </c>
      <c r="BH61">
        <f t="shared" si="8"/>
        <v>0</v>
      </c>
      <c r="BI61">
        <f t="shared" si="9"/>
        <v>0</v>
      </c>
      <c r="BJ61">
        <f t="shared" si="10"/>
        <v>0</v>
      </c>
      <c r="BK61">
        <f t="shared" si="11"/>
        <v>25.2563</v>
      </c>
      <c r="BL61">
        <f t="shared" si="12"/>
        <v>0</v>
      </c>
      <c r="BM61">
        <f t="shared" si="13"/>
        <v>0</v>
      </c>
      <c r="BN61">
        <v>0</v>
      </c>
      <c r="BO61">
        <f t="shared" si="16"/>
        <v>0</v>
      </c>
      <c r="BP61">
        <f t="shared" si="14"/>
        <v>1</v>
      </c>
      <c r="BQ61">
        <f t="shared" si="15"/>
        <v>0</v>
      </c>
    </row>
    <row r="62" spans="1:69" x14ac:dyDescent="0.25">
      <c r="A62">
        <v>61</v>
      </c>
      <c r="B62" t="s">
        <v>351</v>
      </c>
      <c r="C62" t="s">
        <v>352</v>
      </c>
      <c r="D62" t="s">
        <v>353</v>
      </c>
      <c r="E62" t="s">
        <v>354</v>
      </c>
      <c r="F62" t="s">
        <v>176</v>
      </c>
      <c r="G62">
        <v>1</v>
      </c>
      <c r="H62">
        <v>1</v>
      </c>
      <c r="I62">
        <v>259</v>
      </c>
      <c r="J62">
        <v>0</v>
      </c>
      <c r="K62">
        <v>0</v>
      </c>
      <c r="L62">
        <v>4463</v>
      </c>
      <c r="M62">
        <v>4493.7</v>
      </c>
      <c r="N62">
        <v>11634.9</v>
      </c>
      <c r="O62">
        <v>376.2</v>
      </c>
      <c r="P62">
        <v>13306.7</v>
      </c>
      <c r="Q62">
        <v>0</v>
      </c>
      <c r="R62">
        <v>0</v>
      </c>
      <c r="S62">
        <v>0</v>
      </c>
      <c r="T62">
        <v>0</v>
      </c>
      <c r="U62">
        <v>0</v>
      </c>
      <c r="V62">
        <v>1.51</v>
      </c>
      <c r="W62">
        <v>0</v>
      </c>
      <c r="X62">
        <v>0</v>
      </c>
      <c r="Y62">
        <v>1.5099999904632571</v>
      </c>
      <c r="Z62">
        <v>0</v>
      </c>
      <c r="AA62">
        <v>0</v>
      </c>
      <c r="AB62">
        <v>1.200000047683716</v>
      </c>
      <c r="AC62">
        <v>0.31000000238418579</v>
      </c>
      <c r="AD62">
        <v>0</v>
      </c>
      <c r="AE62">
        <v>1.200000047683716</v>
      </c>
      <c r="AF62">
        <v>0.31000000238418579</v>
      </c>
      <c r="AG62">
        <v>0.79470199198321501</v>
      </c>
      <c r="AH62">
        <v>0.20529800801678499</v>
      </c>
      <c r="AI62">
        <v>150</v>
      </c>
      <c r="AJ62">
        <v>0</v>
      </c>
      <c r="AK62">
        <v>1.200000047683716</v>
      </c>
      <c r="AL62">
        <v>0.31000000238418579</v>
      </c>
      <c r="AM62">
        <v>0</v>
      </c>
      <c r="AN62">
        <v>1</v>
      </c>
      <c r="AO62">
        <v>2</v>
      </c>
      <c r="AP62">
        <v>2025</v>
      </c>
      <c r="AQ62">
        <v>1</v>
      </c>
      <c r="AR62">
        <v>0</v>
      </c>
      <c r="AS62">
        <v>0</v>
      </c>
      <c r="AT62">
        <v>0</v>
      </c>
      <c r="AU62">
        <v>0</v>
      </c>
      <c r="AV62">
        <f t="shared" si="0"/>
        <v>7.2847682119205295E-2</v>
      </c>
      <c r="AW62">
        <f t="shared" si="1"/>
        <v>-7.2847682119205295E-2</v>
      </c>
      <c r="AX62">
        <f t="shared" si="2"/>
        <v>0</v>
      </c>
      <c r="AY62">
        <f t="shared" si="3"/>
        <v>0</v>
      </c>
      <c r="AZ62">
        <f t="shared" si="4"/>
        <v>0</v>
      </c>
      <c r="BA62" t="str">
        <f t="shared" si="5"/>
        <v/>
      </c>
      <c r="BB62">
        <f t="shared" si="6"/>
        <v>0.79470199198321501</v>
      </c>
      <c r="BC62">
        <f>MATCH($B62,clean_historis!$B:$B,0)</f>
        <v>62</v>
      </c>
      <c r="BD62">
        <f>IFERROR(INDEX(clean_historis!$AF:$AF,$BC62)/INDEX(clean_historis!$V:$V,$BC62),0)</f>
        <v>0</v>
      </c>
      <c r="BE62">
        <f>IFERROR(INDEX(clean_historis!$AR:$AR,$BC62)/INDEX(clean_historis!$AH:$AH,$BC62),0)</f>
        <v>7.2847682119205295E-2</v>
      </c>
      <c r="BF62">
        <f t="shared" si="7"/>
        <v>0</v>
      </c>
      <c r="BG62">
        <f>MAX(IF(INDEX(clean_historis!$CL:$CL,$BC62)=1,2025,0),IF(INDEX(clean_historis!$CK:$CK,$BC62)=1,2024,0),IF(INDEX(clean_historis!$CJ:$CJ,$BC62)=1,2023,0),IF(INDEX(clean_historis!$CI:$CI,$BC62)=1,2022,0),IF(INDEX(clean_historis!$CH:$CH,$BC62)=1,2021,0))</f>
        <v>0</v>
      </c>
      <c r="BH62">
        <f t="shared" si="8"/>
        <v>0.20529800801678499</v>
      </c>
      <c r="BI62">
        <f t="shared" si="9"/>
        <v>53.172184076347314</v>
      </c>
      <c r="BJ62">
        <f t="shared" si="10"/>
        <v>0</v>
      </c>
      <c r="BK62">
        <f t="shared" si="11"/>
        <v>33.898299999999999</v>
      </c>
      <c r="BL62">
        <f t="shared" si="12"/>
        <v>0</v>
      </c>
      <c r="BM62">
        <f t="shared" si="13"/>
        <v>0</v>
      </c>
      <c r="BN62">
        <v>0</v>
      </c>
      <c r="BO62">
        <f t="shared" si="16"/>
        <v>0</v>
      </c>
      <c r="BP62">
        <f t="shared" si="14"/>
        <v>1</v>
      </c>
      <c r="BQ62">
        <f t="shared" si="15"/>
        <v>0</v>
      </c>
    </row>
    <row r="63" spans="1:69" x14ac:dyDescent="0.25">
      <c r="A63">
        <v>62</v>
      </c>
      <c r="B63" t="s">
        <v>355</v>
      </c>
      <c r="C63" t="s">
        <v>356</v>
      </c>
      <c r="D63" t="s">
        <v>357</v>
      </c>
      <c r="E63" t="s">
        <v>358</v>
      </c>
      <c r="F63" t="s">
        <v>310</v>
      </c>
      <c r="G63">
        <v>1</v>
      </c>
      <c r="H63">
        <v>1</v>
      </c>
      <c r="I63">
        <v>474</v>
      </c>
      <c r="J63">
        <v>1</v>
      </c>
      <c r="K63">
        <v>0</v>
      </c>
      <c r="L63">
        <v>26934.3</v>
      </c>
      <c r="M63">
        <v>8122.4</v>
      </c>
      <c r="N63">
        <v>29144.7</v>
      </c>
      <c r="O63">
        <v>1982.5</v>
      </c>
      <c r="P63">
        <v>29047.1</v>
      </c>
      <c r="Q63">
        <v>0</v>
      </c>
      <c r="R63">
        <v>0</v>
      </c>
      <c r="S63">
        <v>0</v>
      </c>
      <c r="T63">
        <v>0</v>
      </c>
      <c r="U63">
        <v>0</v>
      </c>
      <c r="V63">
        <v>1.1599999999999999</v>
      </c>
      <c r="W63">
        <v>0</v>
      </c>
      <c r="X63">
        <v>0</v>
      </c>
      <c r="Y63">
        <v>1.1599999666213989</v>
      </c>
      <c r="Z63">
        <v>0</v>
      </c>
      <c r="AA63">
        <v>0</v>
      </c>
      <c r="AB63">
        <v>1.059999942779541</v>
      </c>
      <c r="AC63">
        <v>0.10000000149011611</v>
      </c>
      <c r="AD63">
        <v>0</v>
      </c>
      <c r="AE63">
        <v>1.059999942779541</v>
      </c>
      <c r="AF63">
        <v>0.10000000149011611</v>
      </c>
      <c r="AG63">
        <v>0.91379309802202036</v>
      </c>
      <c r="AH63">
        <v>8.6206901977979589E-2</v>
      </c>
      <c r="AI63">
        <v>150</v>
      </c>
      <c r="AJ63">
        <v>0</v>
      </c>
      <c r="AK63">
        <v>1.059999942779541</v>
      </c>
      <c r="AL63">
        <v>0.10000000149011611</v>
      </c>
      <c r="AM63">
        <v>0</v>
      </c>
      <c r="AN63">
        <v>0</v>
      </c>
      <c r="AO63">
        <v>0</v>
      </c>
      <c r="AR63">
        <v>0</v>
      </c>
      <c r="AS63">
        <v>0</v>
      </c>
      <c r="AT63">
        <v>0</v>
      </c>
      <c r="AU63">
        <v>0</v>
      </c>
      <c r="AV63">
        <f t="shared" si="0"/>
        <v>0</v>
      </c>
      <c r="AW63">
        <f t="shared" si="1"/>
        <v>0</v>
      </c>
      <c r="AX63">
        <f t="shared" si="2"/>
        <v>0</v>
      </c>
      <c r="AY63">
        <f t="shared" si="3"/>
        <v>0</v>
      </c>
      <c r="AZ63">
        <f t="shared" si="4"/>
        <v>0</v>
      </c>
      <c r="BA63" t="str">
        <f t="shared" si="5"/>
        <v/>
      </c>
      <c r="BB63">
        <f t="shared" si="6"/>
        <v>0.91379309802202036</v>
      </c>
      <c r="BC63">
        <f>MATCH($B63,clean_historis!$B:$B,0)</f>
        <v>63</v>
      </c>
      <c r="BD63">
        <f>IFERROR(INDEX(clean_historis!$AF:$AF,$BC63)/INDEX(clean_historis!$V:$V,$BC63),0)</f>
        <v>0</v>
      </c>
      <c r="BE63">
        <f>IFERROR(INDEX(clean_historis!$AR:$AR,$BC63)/INDEX(clean_historis!$AH:$AH,$BC63),0)</f>
        <v>0</v>
      </c>
      <c r="BF63">
        <f t="shared" si="7"/>
        <v>0</v>
      </c>
      <c r="BG63">
        <f>MAX(IF(INDEX(clean_historis!$CL:$CL,$BC63)=1,2025,0),IF(INDEX(clean_historis!$CK:$CK,$BC63)=1,2024,0),IF(INDEX(clean_historis!$CJ:$CJ,$BC63)=1,2023,0),IF(INDEX(clean_historis!$CI:$CI,$BC63)=1,2022,0),IF(INDEX(clean_historis!$CH:$CH,$BC63)=1,2021,0))</f>
        <v>0</v>
      </c>
      <c r="BH63">
        <f t="shared" si="8"/>
        <v>8.6206901977979644E-2</v>
      </c>
      <c r="BI63">
        <f t="shared" si="9"/>
        <v>40.86207153756235</v>
      </c>
      <c r="BJ63">
        <f t="shared" si="10"/>
        <v>0</v>
      </c>
      <c r="BK63">
        <f t="shared" si="11"/>
        <v>93.248499999999979</v>
      </c>
      <c r="BL63">
        <f t="shared" si="12"/>
        <v>0</v>
      </c>
      <c r="BM63">
        <f t="shared" si="13"/>
        <v>0</v>
      </c>
      <c r="BN63">
        <v>0</v>
      </c>
      <c r="BO63">
        <f t="shared" si="16"/>
        <v>0</v>
      </c>
      <c r="BP63">
        <f t="shared" si="14"/>
        <v>0</v>
      </c>
      <c r="BQ63">
        <f t="shared" si="15"/>
        <v>0</v>
      </c>
    </row>
    <row r="64" spans="1:69" x14ac:dyDescent="0.25">
      <c r="A64">
        <v>63</v>
      </c>
      <c r="B64" t="s">
        <v>359</v>
      </c>
      <c r="C64" t="s">
        <v>360</v>
      </c>
      <c r="D64" t="s">
        <v>361</v>
      </c>
      <c r="E64" t="s">
        <v>362</v>
      </c>
      <c r="F64" t="s">
        <v>363</v>
      </c>
      <c r="G64">
        <v>1</v>
      </c>
      <c r="H64">
        <v>1</v>
      </c>
      <c r="I64">
        <v>633</v>
      </c>
      <c r="J64">
        <v>0</v>
      </c>
      <c r="K64">
        <v>0</v>
      </c>
      <c r="L64">
        <v>1258.9000000000001</v>
      </c>
      <c r="M64">
        <v>795.3</v>
      </c>
      <c r="N64">
        <v>2477.8000000000002</v>
      </c>
      <c r="O64">
        <v>0</v>
      </c>
      <c r="P64">
        <v>29090.9</v>
      </c>
      <c r="Q64">
        <v>0</v>
      </c>
      <c r="R64">
        <v>0</v>
      </c>
      <c r="S64">
        <v>0</v>
      </c>
      <c r="T64">
        <v>0</v>
      </c>
      <c r="U64">
        <v>0</v>
      </c>
      <c r="V64">
        <v>0.32</v>
      </c>
      <c r="W64">
        <v>0</v>
      </c>
      <c r="X64">
        <v>0</v>
      </c>
      <c r="Y64">
        <v>0.31999999284744263</v>
      </c>
      <c r="Z64">
        <v>0</v>
      </c>
      <c r="AA64">
        <v>0</v>
      </c>
      <c r="AB64">
        <v>0.20000000298023221</v>
      </c>
      <c r="AC64">
        <v>0.10000000149011611</v>
      </c>
      <c r="AD64">
        <v>1.9999999552965161E-2</v>
      </c>
      <c r="AE64">
        <v>0.20000000298023221</v>
      </c>
      <c r="AF64">
        <v>0.1200000010430813</v>
      </c>
      <c r="AG64">
        <v>0.62500000145519152</v>
      </c>
      <c r="AH64">
        <v>0.37499999854480848</v>
      </c>
      <c r="AI64">
        <v>150</v>
      </c>
      <c r="AJ64">
        <v>0</v>
      </c>
      <c r="AK64">
        <v>0.20000000298023221</v>
      </c>
      <c r="AL64">
        <v>0.10000000149011611</v>
      </c>
      <c r="AM64">
        <v>1.9999999552965161E-2</v>
      </c>
      <c r="AN64">
        <v>0</v>
      </c>
      <c r="AO64">
        <v>0</v>
      </c>
      <c r="AR64">
        <v>0</v>
      </c>
      <c r="AS64">
        <v>0</v>
      </c>
      <c r="AT64">
        <v>0</v>
      </c>
      <c r="AU64">
        <v>0</v>
      </c>
      <c r="AV64">
        <f t="shared" si="0"/>
        <v>0</v>
      </c>
      <c r="AW64">
        <f t="shared" si="1"/>
        <v>6.2499998603016124E-2</v>
      </c>
      <c r="AX64">
        <f t="shared" si="2"/>
        <v>39.562499115709208</v>
      </c>
      <c r="AY64">
        <f t="shared" si="3"/>
        <v>0</v>
      </c>
      <c r="AZ64">
        <f t="shared" si="4"/>
        <v>1.9999999552965161E-2</v>
      </c>
      <c r="BA64" t="str">
        <f t="shared" si="5"/>
        <v/>
      </c>
      <c r="BB64">
        <f t="shared" si="6"/>
        <v>0.62500000145519152</v>
      </c>
      <c r="BC64">
        <f>MATCH($B64,clean_historis!$B:$B,0)</f>
        <v>64</v>
      </c>
      <c r="BD64">
        <f>IFERROR(INDEX(clean_historis!$AF:$AF,$BC64)/INDEX(clean_historis!$V:$V,$BC64),0)</f>
        <v>0</v>
      </c>
      <c r="BE64">
        <f>IFERROR(INDEX(clean_historis!$AR:$AR,$BC64)/INDEX(clean_historis!$AH:$AH,$BC64),0)</f>
        <v>0</v>
      </c>
      <c r="BF64">
        <f t="shared" si="7"/>
        <v>6.2499998603016124E-2</v>
      </c>
      <c r="BG64">
        <f>MAX(IF(INDEX(clean_historis!$CL:$CL,$BC64)=1,2025,0),IF(INDEX(clean_historis!$CK:$CK,$BC64)=1,2024,0),IF(INDEX(clean_historis!$CJ:$CJ,$BC64)=1,2023,0),IF(INDEX(clean_historis!$CI:$CI,$BC64)=1,2022,0),IF(INDEX(clean_historis!$CH:$CH,$BC64)=1,2021,0))</f>
        <v>0</v>
      </c>
      <c r="BH64">
        <f t="shared" si="8"/>
        <v>0.37499999854480848</v>
      </c>
      <c r="BI64">
        <f t="shared" si="9"/>
        <v>237.37499907886377</v>
      </c>
      <c r="BJ64">
        <f t="shared" si="10"/>
        <v>1</v>
      </c>
      <c r="BK64">
        <f t="shared" si="11"/>
        <v>33.622900000000008</v>
      </c>
      <c r="BL64">
        <f t="shared" si="12"/>
        <v>0</v>
      </c>
      <c r="BM64">
        <f t="shared" si="13"/>
        <v>0</v>
      </c>
      <c r="BN64">
        <v>1</v>
      </c>
      <c r="BO64">
        <f t="shared" si="16"/>
        <v>1</v>
      </c>
      <c r="BP64">
        <f t="shared" si="14"/>
        <v>0</v>
      </c>
      <c r="BQ64">
        <f t="shared" si="15"/>
        <v>1</v>
      </c>
    </row>
    <row r="65" spans="1:69" x14ac:dyDescent="0.25">
      <c r="A65">
        <v>64</v>
      </c>
      <c r="B65" t="s">
        <v>364</v>
      </c>
      <c r="C65" t="s">
        <v>365</v>
      </c>
      <c r="D65" t="s">
        <v>366</v>
      </c>
      <c r="E65" t="s">
        <v>367</v>
      </c>
      <c r="F65" t="s">
        <v>100</v>
      </c>
      <c r="G65">
        <v>1</v>
      </c>
      <c r="H65">
        <v>1</v>
      </c>
      <c r="I65">
        <v>1142</v>
      </c>
      <c r="J65">
        <v>0</v>
      </c>
      <c r="K65">
        <v>0</v>
      </c>
      <c r="L65">
        <v>1768.8</v>
      </c>
      <c r="M65">
        <v>197.4</v>
      </c>
      <c r="N65">
        <v>3467.1</v>
      </c>
      <c r="O65">
        <v>0</v>
      </c>
      <c r="P65">
        <v>1604.2</v>
      </c>
      <c r="Q65">
        <v>0</v>
      </c>
      <c r="R65">
        <v>0</v>
      </c>
      <c r="S65">
        <v>0</v>
      </c>
      <c r="T65">
        <v>0</v>
      </c>
      <c r="U65">
        <v>0</v>
      </c>
      <c r="V65">
        <v>0.18</v>
      </c>
      <c r="W65">
        <v>0</v>
      </c>
      <c r="X65">
        <v>0</v>
      </c>
      <c r="Y65">
        <v>0.1800000071525574</v>
      </c>
      <c r="Z65">
        <v>0</v>
      </c>
      <c r="AA65">
        <v>0</v>
      </c>
      <c r="AB65">
        <v>0</v>
      </c>
      <c r="AC65">
        <v>0.10000000149011611</v>
      </c>
      <c r="AD65">
        <v>7.9999998211860657E-2</v>
      </c>
      <c r="AE65">
        <v>0</v>
      </c>
      <c r="AF65">
        <v>0.1799999997019768</v>
      </c>
      <c r="AG65">
        <v>0</v>
      </c>
      <c r="AH65">
        <v>1</v>
      </c>
      <c r="AI65">
        <v>150</v>
      </c>
      <c r="AJ65">
        <v>0</v>
      </c>
      <c r="AK65">
        <v>0</v>
      </c>
      <c r="AL65">
        <v>0.10000000149011611</v>
      </c>
      <c r="AM65">
        <v>7.9999998211860657E-2</v>
      </c>
      <c r="AN65">
        <v>0</v>
      </c>
      <c r="AO65">
        <v>0</v>
      </c>
      <c r="AR65">
        <v>0</v>
      </c>
      <c r="AS65">
        <v>0</v>
      </c>
      <c r="AT65">
        <v>0</v>
      </c>
      <c r="AU65">
        <v>0</v>
      </c>
      <c r="AV65">
        <f t="shared" si="0"/>
        <v>0</v>
      </c>
      <c r="AW65">
        <f t="shared" si="1"/>
        <v>0.44444443451033699</v>
      </c>
      <c r="AX65">
        <f t="shared" si="2"/>
        <v>507.55554421080484</v>
      </c>
      <c r="AY65">
        <f t="shared" si="3"/>
        <v>0</v>
      </c>
      <c r="AZ65">
        <f t="shared" si="4"/>
        <v>7.9999998211860657E-2</v>
      </c>
      <c r="BA65" t="str">
        <f t="shared" si="5"/>
        <v/>
      </c>
      <c r="BB65">
        <f t="shared" si="6"/>
        <v>0</v>
      </c>
      <c r="BC65">
        <f>MATCH($B65,clean_historis!$B:$B,0)</f>
        <v>65</v>
      </c>
      <c r="BD65">
        <f>IFERROR(INDEX(clean_historis!$AF:$AF,$BC65)/INDEX(clean_historis!$V:$V,$BC65),0)</f>
        <v>0</v>
      </c>
      <c r="BE65">
        <f>IFERROR(INDEX(clean_historis!$AR:$AR,$BC65)/INDEX(clean_historis!$AH:$AH,$BC65),0)</f>
        <v>0</v>
      </c>
      <c r="BF65">
        <f t="shared" si="7"/>
        <v>0.44444443451033699</v>
      </c>
      <c r="BG65">
        <f>MAX(IF(INDEX(clean_historis!$CL:$CL,$BC65)=1,2025,0),IF(INDEX(clean_historis!$CK:$CK,$BC65)=1,2024,0),IF(INDEX(clean_historis!$CJ:$CJ,$BC65)=1,2023,0),IF(INDEX(clean_historis!$CI:$CI,$BC65)=1,2022,0),IF(INDEX(clean_historis!$CH:$CH,$BC65)=1,2021,0))</f>
        <v>0</v>
      </c>
      <c r="BH65">
        <f t="shared" si="8"/>
        <v>1</v>
      </c>
      <c r="BI65">
        <f t="shared" si="9"/>
        <v>1142</v>
      </c>
      <c r="BJ65">
        <f t="shared" si="10"/>
        <v>1</v>
      </c>
      <c r="BK65">
        <f t="shared" si="11"/>
        <v>7.0374999999999996</v>
      </c>
      <c r="BL65">
        <f t="shared" si="12"/>
        <v>0</v>
      </c>
      <c r="BM65">
        <f t="shared" si="13"/>
        <v>1</v>
      </c>
      <c r="BN65">
        <v>0</v>
      </c>
      <c r="BO65">
        <f t="shared" si="16"/>
        <v>1</v>
      </c>
      <c r="BP65">
        <f t="shared" si="14"/>
        <v>0</v>
      </c>
      <c r="BQ65">
        <f t="shared" si="15"/>
        <v>1</v>
      </c>
    </row>
    <row r="66" spans="1:69" x14ac:dyDescent="0.25">
      <c r="A66">
        <v>65</v>
      </c>
      <c r="B66" t="s">
        <v>368</v>
      </c>
      <c r="C66" t="s">
        <v>369</v>
      </c>
      <c r="D66" t="s">
        <v>370</v>
      </c>
      <c r="E66" t="s">
        <v>371</v>
      </c>
      <c r="F66" t="s">
        <v>310</v>
      </c>
      <c r="G66">
        <v>2</v>
      </c>
      <c r="H66">
        <v>1</v>
      </c>
      <c r="I66">
        <v>859</v>
      </c>
      <c r="J66">
        <v>0</v>
      </c>
      <c r="K66">
        <v>0</v>
      </c>
      <c r="L66">
        <v>30227.200000000001</v>
      </c>
      <c r="M66">
        <v>8413.6</v>
      </c>
      <c r="N66">
        <v>32437.599999999999</v>
      </c>
      <c r="O66">
        <v>2459.5</v>
      </c>
      <c r="P66">
        <v>32339.9</v>
      </c>
      <c r="Q66">
        <v>0</v>
      </c>
      <c r="R66">
        <v>0</v>
      </c>
      <c r="S66">
        <v>0</v>
      </c>
      <c r="T66">
        <v>0</v>
      </c>
      <c r="U66">
        <v>0</v>
      </c>
      <c r="V66">
        <v>4.8600000000000003</v>
      </c>
      <c r="W66">
        <v>3.059999942779541</v>
      </c>
      <c r="X66">
        <v>0</v>
      </c>
      <c r="Y66">
        <v>0</v>
      </c>
      <c r="Z66">
        <v>0</v>
      </c>
      <c r="AA66">
        <v>0</v>
      </c>
      <c r="AB66">
        <v>2.7599999904632568</v>
      </c>
      <c r="AC66">
        <v>0.30000001192092901</v>
      </c>
      <c r="AD66">
        <v>0</v>
      </c>
      <c r="AE66">
        <v>2.7599999904632568</v>
      </c>
      <c r="AF66">
        <v>0.30000001192092901</v>
      </c>
      <c r="AG66">
        <v>0.90196078049438388</v>
      </c>
      <c r="AH66">
        <v>9.8039219505616088E-2</v>
      </c>
      <c r="AI66">
        <v>150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3</v>
      </c>
      <c r="AP66">
        <v>2023</v>
      </c>
      <c r="AQ66">
        <v>3</v>
      </c>
      <c r="AR66">
        <v>0</v>
      </c>
      <c r="AS66">
        <v>0</v>
      </c>
      <c r="AT66">
        <v>0</v>
      </c>
      <c r="AU66">
        <v>0</v>
      </c>
      <c r="AV66">
        <f t="shared" ref="AV66:AV129" si="17">IFERROR($BE66-$BD66,0)</f>
        <v>2.057613168724326E-2</v>
      </c>
      <c r="AW66">
        <f t="shared" ref="AW66:AW129" si="18">IFERROR($BF66-$BE66,0)</f>
        <v>-0.69135802469135843</v>
      </c>
      <c r="AX66">
        <f t="shared" ref="AX66:AX129" si="19">IFERROR($BF66*$I66,0)</f>
        <v>0</v>
      </c>
      <c r="AY66">
        <f t="shared" ref="AY66:AY129" si="20">SUM($Q66:$U66)</f>
        <v>0</v>
      </c>
      <c r="AZ66">
        <f t="shared" ref="AZ66:AZ129" si="21">IFERROR($V66*$BF66,0)</f>
        <v>0</v>
      </c>
      <c r="BA66">
        <f t="shared" ref="BA66:BA129" si="22">IFERROR(IF($BG66=0,"",2025-$BG66),"")</f>
        <v>2</v>
      </c>
      <c r="BB66">
        <f t="shared" ref="BB66:BB129" si="23">$AG66</f>
        <v>0.90196078049438388</v>
      </c>
      <c r="BC66">
        <f>MATCH($B66,clean_historis!$B:$B,0)</f>
        <v>66</v>
      </c>
      <c r="BD66">
        <f>IFERROR(INDEX(clean_historis!$AF:$AF,$BC66)/INDEX(clean_historis!$V:$V,$BC66),0)</f>
        <v>0.67078189300411517</v>
      </c>
      <c r="BE66">
        <f>IFERROR(INDEX(clean_historis!$AR:$AR,$BC66)/INDEX(clean_historis!$AH:$AH,$BC66),0)</f>
        <v>0.69135802469135843</v>
      </c>
      <c r="BF66">
        <f t="shared" ref="BF66:BF129" si="24">IFERROR($AD66/$V66,0)</f>
        <v>0</v>
      </c>
      <c r="BG66">
        <f>MAX(IF(INDEX(clean_historis!$CL:$CL,$BC66)=1,2025,0),IF(INDEX(clean_historis!$CK:$CK,$BC66)=1,2024,0),IF(INDEX(clean_historis!$CJ:$CJ,$BC66)=1,2023,0),IF(INDEX(clean_historis!$CI:$CI,$BC66)=1,2022,0),IF(INDEX(clean_historis!$CH:$CH,$BC66)=1,2021,0))</f>
        <v>2023</v>
      </c>
      <c r="BH66">
        <f t="shared" ref="BH66:BH129" si="25">IF($AG66&lt;&gt;"",1-$AG66,IF($BB66&lt;&gt;"",1-$BB66,IFERROR($AF66/$V66,0)))</f>
        <v>9.8039219505616115E-2</v>
      </c>
      <c r="BI66">
        <f t="shared" ref="BI66:BI129" si="26">IFERROR($BH66*$I66,0)</f>
        <v>84.215689555324246</v>
      </c>
      <c r="BJ66">
        <f t="shared" ref="BJ66:BJ129" si="27">IF(OR(AND($P66&lt;&gt;"",$P66&lt;=5000),AND($L66&lt;&gt;"",$L66&lt;=2000)),1,0)</f>
        <v>0</v>
      </c>
      <c r="BK66">
        <f t="shared" ref="BK66:BK129" si="28">IFERROR(($P66+$L66+$N66+$M66)/1000,0)</f>
        <v>103.41830000000002</v>
      </c>
      <c r="BL66">
        <f t="shared" ref="BL66:BL129" si="29">IF(OR(ISNUMBER(SEARCH("stadion",$C66)),ISNUMBER(SEARCH("pasar",$C66)),ISNUMBER(SEARCH("pustu",$C66)),ISNUMBER(SEARCH("puskesmas",$C66)),ISNUMBER(SEARCH("sekolah",$C66)),ISNUMBER(SEARCH("kantor",$C66)),ISNUMBER(SEARCH("terminal",$C66))),1,0)</f>
        <v>0</v>
      </c>
      <c r="BM66">
        <f t="shared" ref="BM66:BM129" si="30">IF(IF($BF66&lt;&gt;"",$BF66,IFERROR($AD66/$V66,0))&gt;=0.3,1,0)</f>
        <v>0</v>
      </c>
      <c r="BN66">
        <v>0</v>
      </c>
      <c r="BO66">
        <f t="shared" si="16"/>
        <v>0</v>
      </c>
      <c r="BP66">
        <f t="shared" ref="BP66:BP129" si="31">IF(AO66&gt;=1,1,0)</f>
        <v>1</v>
      </c>
      <c r="BQ66">
        <f t="shared" ref="BQ66:BQ129" si="32">IF(OR(BO66=1,BL66=1,BH66&gt;0.5),1,0)</f>
        <v>0</v>
      </c>
    </row>
    <row r="67" spans="1:69" x14ac:dyDescent="0.25">
      <c r="A67">
        <v>66</v>
      </c>
      <c r="B67" t="s">
        <v>372</v>
      </c>
      <c r="C67" t="s">
        <v>373</v>
      </c>
      <c r="D67" t="s">
        <v>374</v>
      </c>
      <c r="E67" t="s">
        <v>109</v>
      </c>
      <c r="F67" t="s">
        <v>100</v>
      </c>
      <c r="G67">
        <v>2</v>
      </c>
      <c r="H67">
        <v>1</v>
      </c>
      <c r="I67">
        <v>2315</v>
      </c>
      <c r="J67">
        <v>0</v>
      </c>
      <c r="K67">
        <v>1</v>
      </c>
      <c r="L67">
        <v>454.9</v>
      </c>
      <c r="M67">
        <v>605</v>
      </c>
      <c r="N67">
        <v>1552.9</v>
      </c>
      <c r="O67">
        <v>35.299999999999997</v>
      </c>
      <c r="P67">
        <v>745.4</v>
      </c>
      <c r="Q67">
        <v>0</v>
      </c>
      <c r="R67">
        <v>0</v>
      </c>
      <c r="S67">
        <v>0</v>
      </c>
      <c r="T67">
        <v>0</v>
      </c>
      <c r="U67">
        <v>0</v>
      </c>
      <c r="V67">
        <v>0.41</v>
      </c>
      <c r="W67">
        <v>0</v>
      </c>
      <c r="X67">
        <v>0</v>
      </c>
      <c r="Y67">
        <v>0.40999999642372131</v>
      </c>
      <c r="Z67">
        <v>0</v>
      </c>
      <c r="AA67">
        <v>0</v>
      </c>
      <c r="AB67">
        <v>0.40999999642372131</v>
      </c>
      <c r="AC67">
        <v>0</v>
      </c>
      <c r="AD67">
        <v>0</v>
      </c>
      <c r="AE67">
        <v>0.40999999642372131</v>
      </c>
      <c r="AF67">
        <v>0</v>
      </c>
      <c r="AG67">
        <v>1</v>
      </c>
      <c r="AH67">
        <v>0</v>
      </c>
      <c r="AI67">
        <v>150</v>
      </c>
      <c r="AJ67">
        <v>0</v>
      </c>
      <c r="AK67">
        <v>0.40999999642372131</v>
      </c>
      <c r="AL67">
        <v>0</v>
      </c>
      <c r="AM67">
        <v>0</v>
      </c>
      <c r="AN67">
        <v>0</v>
      </c>
      <c r="AO67">
        <v>0</v>
      </c>
      <c r="AR67">
        <v>0</v>
      </c>
      <c r="AS67">
        <v>0</v>
      </c>
      <c r="AT67">
        <v>0</v>
      </c>
      <c r="AU67">
        <v>0</v>
      </c>
      <c r="AV67">
        <f t="shared" si="17"/>
        <v>0</v>
      </c>
      <c r="AW67">
        <f t="shared" si="18"/>
        <v>0</v>
      </c>
      <c r="AX67">
        <f t="shared" si="19"/>
        <v>0</v>
      </c>
      <c r="AY67">
        <f t="shared" si="20"/>
        <v>0</v>
      </c>
      <c r="AZ67">
        <f t="shared" si="21"/>
        <v>0</v>
      </c>
      <c r="BA67" t="str">
        <f t="shared" si="22"/>
        <v/>
      </c>
      <c r="BB67">
        <f t="shared" si="23"/>
        <v>1</v>
      </c>
      <c r="BC67">
        <f>MATCH($B67,clean_historis!$B:$B,0)</f>
        <v>67</v>
      </c>
      <c r="BD67">
        <f>IFERROR(INDEX(clean_historis!$AF:$AF,$BC67)/INDEX(clean_historis!$V:$V,$BC67),0)</f>
        <v>0</v>
      </c>
      <c r="BE67">
        <f>IFERROR(INDEX(clean_historis!$AR:$AR,$BC67)/INDEX(clean_historis!$AH:$AH,$BC67),0)</f>
        <v>0</v>
      </c>
      <c r="BF67">
        <f t="shared" si="24"/>
        <v>0</v>
      </c>
      <c r="BG67">
        <f>MAX(IF(INDEX(clean_historis!$CL:$CL,$BC67)=1,2025,0),IF(INDEX(clean_historis!$CK:$CK,$BC67)=1,2024,0),IF(INDEX(clean_historis!$CJ:$CJ,$BC67)=1,2023,0),IF(INDEX(clean_historis!$CI:$CI,$BC67)=1,2022,0),IF(INDEX(clean_historis!$CH:$CH,$BC67)=1,2021,0))</f>
        <v>0</v>
      </c>
      <c r="BH67">
        <f t="shared" si="25"/>
        <v>0</v>
      </c>
      <c r="BI67">
        <f t="shared" si="26"/>
        <v>0</v>
      </c>
      <c r="BJ67">
        <f t="shared" si="27"/>
        <v>1</v>
      </c>
      <c r="BK67">
        <f t="shared" si="28"/>
        <v>3.3581999999999996</v>
      </c>
      <c r="BL67">
        <f t="shared" si="29"/>
        <v>0</v>
      </c>
      <c r="BM67">
        <f t="shared" si="30"/>
        <v>0</v>
      </c>
      <c r="BN67">
        <v>0</v>
      </c>
      <c r="BO67">
        <f t="shared" ref="BO67:BO130" si="33">IF($V67&lt;1,1,0)</f>
        <v>1</v>
      </c>
      <c r="BP67">
        <f t="shared" si="31"/>
        <v>0</v>
      </c>
      <c r="BQ67">
        <f t="shared" si="32"/>
        <v>1</v>
      </c>
    </row>
    <row r="68" spans="1:69" x14ac:dyDescent="0.25">
      <c r="A68">
        <v>67</v>
      </c>
      <c r="B68" t="s">
        <v>375</v>
      </c>
      <c r="C68" t="s">
        <v>376</v>
      </c>
      <c r="D68" t="s">
        <v>377</v>
      </c>
      <c r="E68" t="s">
        <v>378</v>
      </c>
      <c r="F68" t="s">
        <v>105</v>
      </c>
      <c r="G68">
        <v>2</v>
      </c>
      <c r="H68">
        <v>1</v>
      </c>
      <c r="I68">
        <v>1247</v>
      </c>
      <c r="J68">
        <v>0</v>
      </c>
      <c r="K68">
        <v>0</v>
      </c>
      <c r="L68">
        <v>3193.6</v>
      </c>
      <c r="M68">
        <v>3103.3</v>
      </c>
      <c r="N68">
        <v>3164</v>
      </c>
      <c r="O68">
        <v>689.4</v>
      </c>
      <c r="P68">
        <v>4562.7</v>
      </c>
      <c r="Q68">
        <v>0</v>
      </c>
      <c r="R68">
        <v>0</v>
      </c>
      <c r="S68">
        <v>0</v>
      </c>
      <c r="T68">
        <v>0</v>
      </c>
      <c r="U68">
        <v>0</v>
      </c>
      <c r="V68">
        <v>0.6</v>
      </c>
      <c r="W68">
        <v>0</v>
      </c>
      <c r="X68">
        <v>0</v>
      </c>
      <c r="Y68">
        <v>0.60000002384185791</v>
      </c>
      <c r="Z68">
        <v>0</v>
      </c>
      <c r="AA68">
        <v>0.60000002384185791</v>
      </c>
      <c r="AB68">
        <v>0</v>
      </c>
      <c r="AC68">
        <v>0</v>
      </c>
      <c r="AD68">
        <v>0</v>
      </c>
      <c r="AE68">
        <v>0.60000002384185791</v>
      </c>
      <c r="AF68">
        <v>0</v>
      </c>
      <c r="AG68">
        <v>1</v>
      </c>
      <c r="AH68">
        <v>0</v>
      </c>
      <c r="AI68">
        <v>150</v>
      </c>
      <c r="AJ68">
        <v>0.60000002384185791</v>
      </c>
      <c r="AK68">
        <v>0</v>
      </c>
      <c r="AL68">
        <v>0</v>
      </c>
      <c r="AM68">
        <v>0</v>
      </c>
      <c r="AN68">
        <v>0</v>
      </c>
      <c r="AO68">
        <v>0</v>
      </c>
      <c r="AR68">
        <v>0</v>
      </c>
      <c r="AS68">
        <v>0</v>
      </c>
      <c r="AT68">
        <v>0</v>
      </c>
      <c r="AU68">
        <v>0</v>
      </c>
      <c r="AV68">
        <f t="shared" si="17"/>
        <v>0</v>
      </c>
      <c r="AW68">
        <f t="shared" si="18"/>
        <v>0</v>
      </c>
      <c r="AX68">
        <f t="shared" si="19"/>
        <v>0</v>
      </c>
      <c r="AY68">
        <f t="shared" si="20"/>
        <v>0</v>
      </c>
      <c r="AZ68">
        <f t="shared" si="21"/>
        <v>0</v>
      </c>
      <c r="BA68" t="str">
        <f t="shared" si="22"/>
        <v/>
      </c>
      <c r="BB68">
        <f t="shared" si="23"/>
        <v>1</v>
      </c>
      <c r="BC68">
        <f>MATCH($B68,clean_historis!$B:$B,0)</f>
        <v>68</v>
      </c>
      <c r="BD68">
        <f>IFERROR(INDEX(clean_historis!$AF:$AF,$BC68)/INDEX(clean_historis!$V:$V,$BC68),0)</f>
        <v>0</v>
      </c>
      <c r="BE68">
        <f>IFERROR(INDEX(clean_historis!$AR:$AR,$BC68)/INDEX(clean_historis!$AH:$AH,$BC68),0)</f>
        <v>0</v>
      </c>
      <c r="BF68">
        <f t="shared" si="24"/>
        <v>0</v>
      </c>
      <c r="BG68">
        <f>MAX(IF(INDEX(clean_historis!$CL:$CL,$BC68)=1,2025,0),IF(INDEX(clean_historis!$CK:$CK,$BC68)=1,2024,0),IF(INDEX(clean_historis!$CJ:$CJ,$BC68)=1,2023,0),IF(INDEX(clean_historis!$CI:$CI,$BC68)=1,2022,0),IF(INDEX(clean_historis!$CH:$CH,$BC68)=1,2021,0))</f>
        <v>0</v>
      </c>
      <c r="BH68">
        <f t="shared" si="25"/>
        <v>0</v>
      </c>
      <c r="BI68">
        <f t="shared" si="26"/>
        <v>0</v>
      </c>
      <c r="BJ68">
        <f t="shared" si="27"/>
        <v>1</v>
      </c>
      <c r="BK68">
        <f t="shared" si="28"/>
        <v>14.023599999999998</v>
      </c>
      <c r="BL68">
        <f t="shared" si="29"/>
        <v>0</v>
      </c>
      <c r="BM68">
        <f t="shared" si="30"/>
        <v>0</v>
      </c>
      <c r="BN68">
        <v>0</v>
      </c>
      <c r="BO68">
        <f t="shared" si="33"/>
        <v>1</v>
      </c>
      <c r="BP68">
        <f t="shared" si="31"/>
        <v>0</v>
      </c>
      <c r="BQ68">
        <f t="shared" si="32"/>
        <v>1</v>
      </c>
    </row>
    <row r="69" spans="1:69" x14ac:dyDescent="0.25">
      <c r="A69">
        <v>68</v>
      </c>
      <c r="B69" t="s">
        <v>379</v>
      </c>
      <c r="C69" t="s">
        <v>380</v>
      </c>
      <c r="D69" t="s">
        <v>381</v>
      </c>
      <c r="E69" t="s">
        <v>180</v>
      </c>
      <c r="F69" t="s">
        <v>105</v>
      </c>
      <c r="G69">
        <v>1</v>
      </c>
      <c r="H69">
        <v>1</v>
      </c>
      <c r="I69">
        <v>682</v>
      </c>
      <c r="J69">
        <v>0</v>
      </c>
      <c r="K69">
        <v>0</v>
      </c>
      <c r="L69">
        <v>2954.7</v>
      </c>
      <c r="M69">
        <v>2864.4</v>
      </c>
      <c r="N69">
        <v>3525</v>
      </c>
      <c r="O69">
        <v>916.8</v>
      </c>
      <c r="P69">
        <v>4923.6000000000004</v>
      </c>
      <c r="Q69">
        <v>0</v>
      </c>
      <c r="R69">
        <v>0</v>
      </c>
      <c r="S69">
        <v>0</v>
      </c>
      <c r="T69">
        <v>0</v>
      </c>
      <c r="U69">
        <v>0</v>
      </c>
      <c r="V69">
        <v>0.3</v>
      </c>
      <c r="W69">
        <v>0</v>
      </c>
      <c r="X69">
        <v>0</v>
      </c>
      <c r="Y69">
        <v>0.30000001192092901</v>
      </c>
      <c r="Z69">
        <v>0</v>
      </c>
      <c r="AA69">
        <v>0</v>
      </c>
      <c r="AB69">
        <v>0.10000000149011611</v>
      </c>
      <c r="AC69">
        <v>0.20000000298023221</v>
      </c>
      <c r="AD69">
        <v>0</v>
      </c>
      <c r="AE69">
        <v>0.10000000149011611</v>
      </c>
      <c r="AF69">
        <v>0.20000000298023221</v>
      </c>
      <c r="AG69">
        <v>0.33333333333333331</v>
      </c>
      <c r="AH69">
        <v>0.66666666666666663</v>
      </c>
      <c r="AI69">
        <v>150</v>
      </c>
      <c r="AJ69">
        <v>0</v>
      </c>
      <c r="AK69">
        <v>0.10000000149011611</v>
      </c>
      <c r="AL69">
        <v>0.20000000298023221</v>
      </c>
      <c r="AM69">
        <v>0</v>
      </c>
      <c r="AN69">
        <v>0</v>
      </c>
      <c r="AO69">
        <v>0</v>
      </c>
      <c r="AR69">
        <v>0</v>
      </c>
      <c r="AS69">
        <v>0</v>
      </c>
      <c r="AT69">
        <v>0</v>
      </c>
      <c r="AU69">
        <v>0</v>
      </c>
      <c r="AV69">
        <f t="shared" si="17"/>
        <v>0</v>
      </c>
      <c r="AW69">
        <f t="shared" si="18"/>
        <v>0</v>
      </c>
      <c r="AX69">
        <f t="shared" si="19"/>
        <v>0</v>
      </c>
      <c r="AY69">
        <f t="shared" si="20"/>
        <v>0</v>
      </c>
      <c r="AZ69">
        <f t="shared" si="21"/>
        <v>0</v>
      </c>
      <c r="BA69" t="str">
        <f t="shared" si="22"/>
        <v/>
      </c>
      <c r="BB69">
        <f t="shared" si="23"/>
        <v>0.33333333333333331</v>
      </c>
      <c r="BC69">
        <f>MATCH($B69,clean_historis!$B:$B,0)</f>
        <v>69</v>
      </c>
      <c r="BD69">
        <f>IFERROR(INDEX(clean_historis!$AF:$AF,$BC69)/INDEX(clean_historis!$V:$V,$BC69),0)</f>
        <v>0</v>
      </c>
      <c r="BE69">
        <f>IFERROR(INDEX(clean_historis!$AR:$AR,$BC69)/INDEX(clean_historis!$AH:$AH,$BC69),0)</f>
        <v>0</v>
      </c>
      <c r="BF69">
        <f t="shared" si="24"/>
        <v>0</v>
      </c>
      <c r="BG69">
        <f>MAX(IF(INDEX(clean_historis!$CL:$CL,$BC69)=1,2025,0),IF(INDEX(clean_historis!$CK:$CK,$BC69)=1,2024,0),IF(INDEX(clean_historis!$CJ:$CJ,$BC69)=1,2023,0),IF(INDEX(clean_historis!$CI:$CI,$BC69)=1,2022,0),IF(INDEX(clean_historis!$CH:$CH,$BC69)=1,2021,0))</f>
        <v>0</v>
      </c>
      <c r="BH69">
        <f t="shared" si="25"/>
        <v>0.66666666666666674</v>
      </c>
      <c r="BI69">
        <f t="shared" si="26"/>
        <v>454.66666666666674</v>
      </c>
      <c r="BJ69">
        <f t="shared" si="27"/>
        <v>1</v>
      </c>
      <c r="BK69">
        <f t="shared" si="28"/>
        <v>14.2677</v>
      </c>
      <c r="BL69">
        <f t="shared" si="29"/>
        <v>0</v>
      </c>
      <c r="BM69">
        <f t="shared" si="30"/>
        <v>0</v>
      </c>
      <c r="BN69">
        <v>0</v>
      </c>
      <c r="BO69">
        <f t="shared" si="33"/>
        <v>1</v>
      </c>
      <c r="BP69">
        <f t="shared" si="31"/>
        <v>0</v>
      </c>
      <c r="BQ69">
        <f t="shared" si="32"/>
        <v>1</v>
      </c>
    </row>
    <row r="70" spans="1:69" x14ac:dyDescent="0.25">
      <c r="A70">
        <v>69</v>
      </c>
      <c r="B70" t="s">
        <v>382</v>
      </c>
      <c r="C70" t="s">
        <v>383</v>
      </c>
      <c r="D70" t="s">
        <v>384</v>
      </c>
      <c r="E70" t="s">
        <v>385</v>
      </c>
      <c r="F70" t="s">
        <v>127</v>
      </c>
      <c r="G70">
        <v>1</v>
      </c>
      <c r="H70">
        <v>1</v>
      </c>
      <c r="I70">
        <v>448</v>
      </c>
      <c r="J70">
        <v>0</v>
      </c>
      <c r="K70">
        <v>0</v>
      </c>
      <c r="L70">
        <v>7191.3</v>
      </c>
      <c r="M70">
        <v>7765.4</v>
      </c>
      <c r="N70">
        <v>11936</v>
      </c>
      <c r="O70">
        <v>1270.5999999999999</v>
      </c>
      <c r="P70">
        <v>10334.700000000001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2.36</v>
      </c>
      <c r="W70">
        <v>0</v>
      </c>
      <c r="X70">
        <v>0</v>
      </c>
      <c r="Y70">
        <v>2.3599998950958252</v>
      </c>
      <c r="Z70">
        <v>0</v>
      </c>
      <c r="AA70">
        <v>2.059999942779541</v>
      </c>
      <c r="AB70">
        <v>0.30000001192092901</v>
      </c>
      <c r="AC70">
        <v>0</v>
      </c>
      <c r="AD70">
        <v>0</v>
      </c>
      <c r="AE70">
        <v>2.35999995470047</v>
      </c>
      <c r="AF70">
        <v>0</v>
      </c>
      <c r="AG70">
        <v>1</v>
      </c>
      <c r="AH70">
        <v>0</v>
      </c>
      <c r="AI70">
        <v>150</v>
      </c>
      <c r="AJ70">
        <v>2.059999942779541</v>
      </c>
      <c r="AK70">
        <v>0.30000001192092901</v>
      </c>
      <c r="AL70">
        <v>0</v>
      </c>
      <c r="AM70">
        <v>0</v>
      </c>
      <c r="AN70">
        <v>0</v>
      </c>
      <c r="AO70">
        <v>0</v>
      </c>
      <c r="AR70">
        <v>0</v>
      </c>
      <c r="AS70">
        <v>0</v>
      </c>
      <c r="AT70">
        <v>0</v>
      </c>
      <c r="AU70">
        <v>0</v>
      </c>
      <c r="AV70">
        <f t="shared" si="17"/>
        <v>-1</v>
      </c>
      <c r="AW70">
        <f t="shared" si="18"/>
        <v>0</v>
      </c>
      <c r="AX70">
        <f t="shared" si="19"/>
        <v>0</v>
      </c>
      <c r="AY70">
        <f t="shared" si="20"/>
        <v>0</v>
      </c>
      <c r="AZ70">
        <f t="shared" si="21"/>
        <v>0</v>
      </c>
      <c r="BA70" t="str">
        <f t="shared" si="22"/>
        <v/>
      </c>
      <c r="BB70">
        <f t="shared" si="23"/>
        <v>1</v>
      </c>
      <c r="BC70">
        <f>MATCH($B70,clean_historis!$B:$B,0)</f>
        <v>70</v>
      </c>
      <c r="BD70">
        <f>IFERROR(INDEX(clean_historis!$AF:$AF,$BC70)/INDEX(clean_historis!$V:$V,$BC70),0)</f>
        <v>1</v>
      </c>
      <c r="BE70">
        <f>IFERROR(INDEX(clean_historis!$AR:$AR,$BC70)/INDEX(clean_historis!$AH:$AH,$BC70),0)</f>
        <v>0</v>
      </c>
      <c r="BF70">
        <f t="shared" si="24"/>
        <v>0</v>
      </c>
      <c r="BG70">
        <f>MAX(IF(INDEX(clean_historis!$CL:$CL,$BC70)=1,2025,0),IF(INDEX(clean_historis!$CK:$CK,$BC70)=1,2024,0),IF(INDEX(clean_historis!$CJ:$CJ,$BC70)=1,2023,0),IF(INDEX(clean_historis!$CI:$CI,$BC70)=1,2022,0),IF(INDEX(clean_historis!$CH:$CH,$BC70)=1,2021,0))</f>
        <v>0</v>
      </c>
      <c r="BH70">
        <f t="shared" si="25"/>
        <v>0</v>
      </c>
      <c r="BI70">
        <f t="shared" si="26"/>
        <v>0</v>
      </c>
      <c r="BJ70">
        <f t="shared" si="27"/>
        <v>0</v>
      </c>
      <c r="BK70">
        <f t="shared" si="28"/>
        <v>37.227400000000003</v>
      </c>
      <c r="BL70">
        <f t="shared" si="29"/>
        <v>0</v>
      </c>
      <c r="BM70">
        <f t="shared" si="30"/>
        <v>0</v>
      </c>
      <c r="BN70">
        <v>0</v>
      </c>
      <c r="BO70">
        <f t="shared" si="33"/>
        <v>0</v>
      </c>
      <c r="BP70">
        <f t="shared" si="31"/>
        <v>0</v>
      </c>
      <c r="BQ70">
        <f t="shared" si="32"/>
        <v>0</v>
      </c>
    </row>
    <row r="71" spans="1:69" x14ac:dyDescent="0.25">
      <c r="A71">
        <v>70</v>
      </c>
      <c r="B71" t="s">
        <v>386</v>
      </c>
      <c r="C71" t="s">
        <v>387</v>
      </c>
      <c r="D71" t="s">
        <v>388</v>
      </c>
      <c r="E71" t="s">
        <v>389</v>
      </c>
      <c r="F71" t="s">
        <v>100</v>
      </c>
      <c r="G71">
        <v>2</v>
      </c>
      <c r="H71">
        <v>1</v>
      </c>
      <c r="I71">
        <v>1348</v>
      </c>
      <c r="J71">
        <v>1</v>
      </c>
      <c r="L71">
        <v>3498.6</v>
      </c>
      <c r="M71">
        <v>2163.1999999999998</v>
      </c>
      <c r="N71">
        <v>6008.8</v>
      </c>
      <c r="O71">
        <v>845</v>
      </c>
      <c r="P71">
        <v>4145.8999999999996</v>
      </c>
      <c r="Q71">
        <v>0</v>
      </c>
      <c r="R71">
        <v>0</v>
      </c>
      <c r="S71">
        <v>0</v>
      </c>
      <c r="T71">
        <v>0</v>
      </c>
      <c r="U71">
        <v>0</v>
      </c>
      <c r="V71">
        <v>1.52</v>
      </c>
      <c r="W71">
        <v>0</v>
      </c>
      <c r="X71">
        <v>0</v>
      </c>
      <c r="Y71">
        <v>1.5199999809265139</v>
      </c>
      <c r="Z71">
        <v>0</v>
      </c>
      <c r="AA71">
        <v>0</v>
      </c>
      <c r="AB71">
        <v>1.0199999809265139</v>
      </c>
      <c r="AC71">
        <v>0.5</v>
      </c>
      <c r="AD71">
        <v>0</v>
      </c>
      <c r="AE71">
        <v>1.0199999809265139</v>
      </c>
      <c r="AF71">
        <v>0.5</v>
      </c>
      <c r="AG71">
        <v>0.67105262745120187</v>
      </c>
      <c r="AH71">
        <v>0.32894737254879819</v>
      </c>
      <c r="AI71">
        <v>150</v>
      </c>
      <c r="AJ71">
        <v>0</v>
      </c>
      <c r="AK71">
        <v>1.0199999809265139</v>
      </c>
      <c r="AL71">
        <v>0.5</v>
      </c>
      <c r="AM71">
        <v>0</v>
      </c>
      <c r="AN71">
        <v>1</v>
      </c>
      <c r="AO71">
        <v>1</v>
      </c>
      <c r="AP71">
        <v>2023</v>
      </c>
      <c r="AQ71">
        <v>3</v>
      </c>
      <c r="AR71">
        <v>0</v>
      </c>
      <c r="AS71">
        <v>0</v>
      </c>
      <c r="AT71">
        <v>0</v>
      </c>
      <c r="AU71">
        <v>0</v>
      </c>
      <c r="AV71">
        <f t="shared" si="17"/>
        <v>0</v>
      </c>
      <c r="AW71">
        <f t="shared" si="18"/>
        <v>0</v>
      </c>
      <c r="AX71">
        <f t="shared" si="19"/>
        <v>0</v>
      </c>
      <c r="AY71">
        <f t="shared" si="20"/>
        <v>0</v>
      </c>
      <c r="AZ71">
        <f t="shared" si="21"/>
        <v>0</v>
      </c>
      <c r="BA71" t="str">
        <f t="shared" si="22"/>
        <v/>
      </c>
      <c r="BB71">
        <f t="shared" si="23"/>
        <v>0.67105262745120187</v>
      </c>
      <c r="BC71">
        <f>MATCH($B71,clean_historis!$B:$B,0)</f>
        <v>71</v>
      </c>
      <c r="BD71">
        <f>IFERROR(INDEX(clean_historis!$AF:$AF,$BC71)/INDEX(clean_historis!$V:$V,$BC71),0)</f>
        <v>0</v>
      </c>
      <c r="BE71">
        <f>IFERROR(INDEX(clean_historis!$AR:$AR,$BC71)/INDEX(clean_historis!$AH:$AH,$BC71),0)</f>
        <v>0</v>
      </c>
      <c r="BF71">
        <f t="shared" si="24"/>
        <v>0</v>
      </c>
      <c r="BG71">
        <f>MAX(IF(INDEX(clean_historis!$CL:$CL,$BC71)=1,2025,0),IF(INDEX(clean_historis!$CK:$CK,$BC71)=1,2024,0),IF(INDEX(clean_historis!$CJ:$CJ,$BC71)=1,2023,0),IF(INDEX(clean_historis!$CI:$CI,$BC71)=1,2022,0),IF(INDEX(clean_historis!$CH:$CH,$BC71)=1,2021,0))</f>
        <v>0</v>
      </c>
      <c r="BH71">
        <f t="shared" si="25"/>
        <v>0.32894737254879813</v>
      </c>
      <c r="BI71">
        <f t="shared" si="26"/>
        <v>443.42105819577989</v>
      </c>
      <c r="BJ71">
        <f t="shared" si="27"/>
        <v>1</v>
      </c>
      <c r="BK71">
        <f t="shared" si="28"/>
        <v>15.8165</v>
      </c>
      <c r="BL71">
        <f t="shared" si="29"/>
        <v>0</v>
      </c>
      <c r="BM71">
        <f t="shared" si="30"/>
        <v>0</v>
      </c>
      <c r="BN71">
        <v>0</v>
      </c>
      <c r="BO71">
        <f t="shared" si="33"/>
        <v>0</v>
      </c>
      <c r="BP71">
        <f t="shared" si="31"/>
        <v>1</v>
      </c>
      <c r="BQ71">
        <f t="shared" si="32"/>
        <v>0</v>
      </c>
    </row>
    <row r="72" spans="1:69" x14ac:dyDescent="0.25">
      <c r="A72">
        <v>71</v>
      </c>
      <c r="B72" t="s">
        <v>390</v>
      </c>
      <c r="C72" t="s">
        <v>391</v>
      </c>
      <c r="D72" t="s">
        <v>392</v>
      </c>
      <c r="E72" t="s">
        <v>393</v>
      </c>
      <c r="F72" t="s">
        <v>203</v>
      </c>
      <c r="G72">
        <v>2</v>
      </c>
      <c r="H72">
        <v>2</v>
      </c>
      <c r="I72">
        <v>1084</v>
      </c>
      <c r="J72">
        <v>1</v>
      </c>
      <c r="K72">
        <v>0</v>
      </c>
      <c r="L72">
        <v>5501</v>
      </c>
      <c r="M72">
        <v>4435</v>
      </c>
      <c r="N72">
        <v>7855.4</v>
      </c>
      <c r="O72">
        <v>1269.8</v>
      </c>
      <c r="P72">
        <v>5992.5</v>
      </c>
      <c r="Q72">
        <v>0</v>
      </c>
      <c r="R72">
        <v>0</v>
      </c>
      <c r="S72">
        <v>0</v>
      </c>
      <c r="T72">
        <v>0</v>
      </c>
      <c r="U72">
        <v>0</v>
      </c>
      <c r="V72">
        <v>1.92</v>
      </c>
      <c r="W72">
        <v>0</v>
      </c>
      <c r="X72">
        <v>0</v>
      </c>
      <c r="Y72">
        <v>1.919999957084656</v>
      </c>
      <c r="Z72">
        <v>0</v>
      </c>
      <c r="AA72">
        <v>0.119999997317791</v>
      </c>
      <c r="AB72">
        <v>1.799999952316284</v>
      </c>
      <c r="AC72">
        <v>0</v>
      </c>
      <c r="AD72">
        <v>0</v>
      </c>
      <c r="AE72">
        <v>1.9199999496340749</v>
      </c>
      <c r="AF72">
        <v>0</v>
      </c>
      <c r="AG72">
        <v>1</v>
      </c>
      <c r="AH72">
        <v>0</v>
      </c>
      <c r="AI72">
        <v>150</v>
      </c>
      <c r="AJ72">
        <v>0.119999997317791</v>
      </c>
      <c r="AK72">
        <v>1.799999952316284</v>
      </c>
      <c r="AL72">
        <v>0</v>
      </c>
      <c r="AM72">
        <v>0</v>
      </c>
      <c r="AN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f t="shared" si="17"/>
        <v>0</v>
      </c>
      <c r="AW72">
        <f t="shared" si="18"/>
        <v>0</v>
      </c>
      <c r="AX72">
        <f t="shared" si="19"/>
        <v>0</v>
      </c>
      <c r="AY72">
        <f t="shared" si="20"/>
        <v>0</v>
      </c>
      <c r="AZ72">
        <f t="shared" si="21"/>
        <v>0</v>
      </c>
      <c r="BA72" t="str">
        <f t="shared" si="22"/>
        <v/>
      </c>
      <c r="BB72">
        <f t="shared" si="23"/>
        <v>1</v>
      </c>
      <c r="BC72">
        <f>MATCH($B72,clean_historis!$B:$B,0)</f>
        <v>72</v>
      </c>
      <c r="BD72">
        <f>IFERROR(INDEX(clean_historis!$AF:$AF,$BC72)/INDEX(clean_historis!$V:$V,$BC72),0)</f>
        <v>0</v>
      </c>
      <c r="BE72">
        <f>IFERROR(INDEX(clean_historis!$AR:$AR,$BC72)/INDEX(clean_historis!$AH:$AH,$BC72),0)</f>
        <v>0</v>
      </c>
      <c r="BF72">
        <f t="shared" si="24"/>
        <v>0</v>
      </c>
      <c r="BG72">
        <f>MAX(IF(INDEX(clean_historis!$CL:$CL,$BC72)=1,2025,0),IF(INDEX(clean_historis!$CK:$CK,$BC72)=1,2024,0),IF(INDEX(clean_historis!$CJ:$CJ,$BC72)=1,2023,0),IF(INDEX(clean_historis!$CI:$CI,$BC72)=1,2022,0),IF(INDEX(clean_historis!$CH:$CH,$BC72)=1,2021,0))</f>
        <v>0</v>
      </c>
      <c r="BH72">
        <f t="shared" si="25"/>
        <v>0</v>
      </c>
      <c r="BI72">
        <f t="shared" si="26"/>
        <v>0</v>
      </c>
      <c r="BJ72">
        <f t="shared" si="27"/>
        <v>0</v>
      </c>
      <c r="BK72">
        <f t="shared" si="28"/>
        <v>23.783900000000003</v>
      </c>
      <c r="BL72">
        <f t="shared" si="29"/>
        <v>0</v>
      </c>
      <c r="BM72">
        <f t="shared" si="30"/>
        <v>0</v>
      </c>
      <c r="BN72">
        <v>0</v>
      </c>
      <c r="BO72">
        <f t="shared" si="33"/>
        <v>0</v>
      </c>
      <c r="BP72">
        <f t="shared" si="31"/>
        <v>0</v>
      </c>
      <c r="BQ72">
        <f t="shared" si="32"/>
        <v>0</v>
      </c>
    </row>
    <row r="73" spans="1:69" x14ac:dyDescent="0.25">
      <c r="A73">
        <v>72</v>
      </c>
      <c r="B73" t="s">
        <v>394</v>
      </c>
      <c r="C73" t="s">
        <v>395</v>
      </c>
      <c r="D73" t="s">
        <v>396</v>
      </c>
      <c r="E73" t="s">
        <v>397</v>
      </c>
      <c r="F73" t="s">
        <v>100</v>
      </c>
      <c r="G73">
        <v>2</v>
      </c>
      <c r="H73">
        <v>1</v>
      </c>
      <c r="I73">
        <v>1637</v>
      </c>
      <c r="J73">
        <v>1</v>
      </c>
      <c r="K73">
        <v>1</v>
      </c>
      <c r="L73">
        <v>3537.8</v>
      </c>
      <c r="M73">
        <v>2014.8</v>
      </c>
      <c r="N73">
        <v>5299.5</v>
      </c>
      <c r="O73">
        <v>697.1</v>
      </c>
      <c r="P73">
        <v>3436.6</v>
      </c>
      <c r="Q73">
        <v>0</v>
      </c>
      <c r="R73">
        <v>0</v>
      </c>
      <c r="S73">
        <v>0</v>
      </c>
      <c r="T73">
        <v>0</v>
      </c>
      <c r="U73">
        <v>0</v>
      </c>
      <c r="V73">
        <v>1.29</v>
      </c>
      <c r="W73">
        <v>0</v>
      </c>
      <c r="X73">
        <v>0</v>
      </c>
      <c r="Y73">
        <v>1.2899999618530269</v>
      </c>
      <c r="Z73">
        <v>0</v>
      </c>
      <c r="AA73">
        <v>0</v>
      </c>
      <c r="AB73">
        <v>0.99000000953674316</v>
      </c>
      <c r="AC73">
        <v>0.30000001192092901</v>
      </c>
      <c r="AD73">
        <v>0</v>
      </c>
      <c r="AE73">
        <v>0.99000000953674316</v>
      </c>
      <c r="AF73">
        <v>0.30000001192092901</v>
      </c>
      <c r="AG73">
        <v>0.76744185509242435</v>
      </c>
      <c r="AH73">
        <v>0.23255814490757559</v>
      </c>
      <c r="AI73">
        <v>150</v>
      </c>
      <c r="AJ73">
        <v>0</v>
      </c>
      <c r="AK73">
        <v>0.99000000953674316</v>
      </c>
      <c r="AL73">
        <v>0.30000001192092901</v>
      </c>
      <c r="AM73">
        <v>0</v>
      </c>
      <c r="AN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f t="shared" si="17"/>
        <v>0</v>
      </c>
      <c r="AW73">
        <f t="shared" si="18"/>
        <v>0</v>
      </c>
      <c r="AX73">
        <f t="shared" si="19"/>
        <v>0</v>
      </c>
      <c r="AY73">
        <f t="shared" si="20"/>
        <v>0</v>
      </c>
      <c r="AZ73">
        <f t="shared" si="21"/>
        <v>0</v>
      </c>
      <c r="BA73" t="str">
        <f t="shared" si="22"/>
        <v/>
      </c>
      <c r="BB73">
        <f t="shared" si="23"/>
        <v>0.76744185509242435</v>
      </c>
      <c r="BC73">
        <f>MATCH($B73,clean_historis!$B:$B,0)</f>
        <v>73</v>
      </c>
      <c r="BD73">
        <f>IFERROR(INDEX(clean_historis!$AF:$AF,$BC73)/INDEX(clean_historis!$V:$V,$BC73),0)</f>
        <v>0</v>
      </c>
      <c r="BE73">
        <f>IFERROR(INDEX(clean_historis!$AR:$AR,$BC73)/INDEX(clean_historis!$AH:$AH,$BC73),0)</f>
        <v>0</v>
      </c>
      <c r="BF73">
        <f t="shared" si="24"/>
        <v>0</v>
      </c>
      <c r="BG73">
        <f>MAX(IF(INDEX(clean_historis!$CL:$CL,$BC73)=1,2025,0),IF(INDEX(clean_historis!$CK:$CK,$BC73)=1,2024,0),IF(INDEX(clean_historis!$CJ:$CJ,$BC73)=1,2023,0),IF(INDEX(clean_historis!$CI:$CI,$BC73)=1,2022,0),IF(INDEX(clean_historis!$CH:$CH,$BC73)=1,2021,0))</f>
        <v>0</v>
      </c>
      <c r="BH73">
        <f t="shared" si="25"/>
        <v>0.23255814490757565</v>
      </c>
      <c r="BI73">
        <f t="shared" si="26"/>
        <v>380.69768321370134</v>
      </c>
      <c r="BJ73">
        <f t="shared" si="27"/>
        <v>1</v>
      </c>
      <c r="BK73">
        <f t="shared" si="28"/>
        <v>14.288699999999999</v>
      </c>
      <c r="BL73">
        <f t="shared" si="29"/>
        <v>0</v>
      </c>
      <c r="BM73">
        <f t="shared" si="30"/>
        <v>0</v>
      </c>
      <c r="BN73">
        <v>0</v>
      </c>
      <c r="BO73">
        <f t="shared" si="33"/>
        <v>0</v>
      </c>
      <c r="BP73">
        <f t="shared" si="31"/>
        <v>0</v>
      </c>
      <c r="BQ73">
        <f t="shared" si="32"/>
        <v>0</v>
      </c>
    </row>
    <row r="74" spans="1:69" x14ac:dyDescent="0.25">
      <c r="A74">
        <v>73</v>
      </c>
      <c r="B74" t="s">
        <v>398</v>
      </c>
      <c r="C74" t="s">
        <v>399</v>
      </c>
      <c r="D74" t="s">
        <v>400</v>
      </c>
      <c r="E74" t="s">
        <v>401</v>
      </c>
      <c r="F74" t="s">
        <v>100</v>
      </c>
      <c r="G74">
        <v>1</v>
      </c>
      <c r="H74">
        <v>1</v>
      </c>
      <c r="I74">
        <v>775</v>
      </c>
      <c r="J74">
        <v>0</v>
      </c>
      <c r="K74">
        <v>1</v>
      </c>
      <c r="L74">
        <v>2824.3</v>
      </c>
      <c r="M74">
        <v>1429.3</v>
      </c>
      <c r="N74">
        <v>4911</v>
      </c>
      <c r="O74">
        <v>113.6</v>
      </c>
      <c r="P74">
        <v>3048.1</v>
      </c>
      <c r="Q74">
        <v>0</v>
      </c>
      <c r="R74">
        <v>0</v>
      </c>
      <c r="S74">
        <v>0</v>
      </c>
      <c r="T74">
        <v>0</v>
      </c>
      <c r="U74">
        <v>0</v>
      </c>
      <c r="V74">
        <v>0.89</v>
      </c>
      <c r="W74">
        <v>0</v>
      </c>
      <c r="X74">
        <v>0</v>
      </c>
      <c r="Y74">
        <v>0.88999998569488525</v>
      </c>
      <c r="Z74">
        <v>0</v>
      </c>
      <c r="AA74">
        <v>0</v>
      </c>
      <c r="AB74">
        <v>0.38999998569488531</v>
      </c>
      <c r="AC74">
        <v>0.40000000596046448</v>
      </c>
      <c r="AD74">
        <v>0.10000000149011611</v>
      </c>
      <c r="AE74">
        <v>0.38999998569488531</v>
      </c>
      <c r="AF74">
        <v>0.5000000074505806</v>
      </c>
      <c r="AG74">
        <v>0.43820223449276119</v>
      </c>
      <c r="AH74">
        <v>0.56179776550723881</v>
      </c>
      <c r="AI74">
        <v>150</v>
      </c>
      <c r="AJ74">
        <v>0</v>
      </c>
      <c r="AK74">
        <v>0.38999998569488531</v>
      </c>
      <c r="AL74">
        <v>0.40000000596046448</v>
      </c>
      <c r="AM74">
        <v>0.10000000149011611</v>
      </c>
      <c r="AN74">
        <v>1</v>
      </c>
      <c r="AO74">
        <v>1</v>
      </c>
      <c r="AP74">
        <v>2023</v>
      </c>
      <c r="AQ74">
        <v>3</v>
      </c>
      <c r="AR74">
        <v>0</v>
      </c>
      <c r="AS74">
        <v>0</v>
      </c>
      <c r="AT74">
        <v>0</v>
      </c>
      <c r="AU74">
        <v>0</v>
      </c>
      <c r="AV74">
        <f t="shared" si="17"/>
        <v>0</v>
      </c>
      <c r="AW74">
        <f t="shared" si="18"/>
        <v>0.11235955223608551</v>
      </c>
      <c r="AX74">
        <f t="shared" si="19"/>
        <v>87.078652982966275</v>
      </c>
      <c r="AY74">
        <f t="shared" si="20"/>
        <v>0</v>
      </c>
      <c r="AZ74">
        <f t="shared" si="21"/>
        <v>0.10000000149011611</v>
      </c>
      <c r="BA74" t="str">
        <f t="shared" si="22"/>
        <v/>
      </c>
      <c r="BB74">
        <f t="shared" si="23"/>
        <v>0.43820223449276119</v>
      </c>
      <c r="BC74">
        <f>MATCH($B74,clean_historis!$B:$B,0)</f>
        <v>74</v>
      </c>
      <c r="BD74">
        <f>IFERROR(INDEX(clean_historis!$AF:$AF,$BC74)/INDEX(clean_historis!$V:$V,$BC74),0)</f>
        <v>0</v>
      </c>
      <c r="BE74">
        <f>IFERROR(INDEX(clean_historis!$AR:$AR,$BC74)/INDEX(clean_historis!$AH:$AH,$BC74),0)</f>
        <v>0</v>
      </c>
      <c r="BF74">
        <f t="shared" si="24"/>
        <v>0.11235955223608551</v>
      </c>
      <c r="BG74">
        <f>MAX(IF(INDEX(clean_historis!$CL:$CL,$BC74)=1,2025,0),IF(INDEX(clean_historis!$CK:$CK,$BC74)=1,2024,0),IF(INDEX(clean_historis!$CJ:$CJ,$BC74)=1,2023,0),IF(INDEX(clean_historis!$CI:$CI,$BC74)=1,2022,0),IF(INDEX(clean_historis!$CH:$CH,$BC74)=1,2021,0))</f>
        <v>0</v>
      </c>
      <c r="BH74">
        <f t="shared" si="25"/>
        <v>0.56179776550723881</v>
      </c>
      <c r="BI74">
        <f t="shared" si="26"/>
        <v>435.39326826811009</v>
      </c>
      <c r="BJ74">
        <f t="shared" si="27"/>
        <v>1</v>
      </c>
      <c r="BK74">
        <f t="shared" si="28"/>
        <v>12.212699999999998</v>
      </c>
      <c r="BL74">
        <f t="shared" si="29"/>
        <v>0</v>
      </c>
      <c r="BM74">
        <f t="shared" si="30"/>
        <v>0</v>
      </c>
      <c r="BN74">
        <v>0</v>
      </c>
      <c r="BO74">
        <f t="shared" si="33"/>
        <v>1</v>
      </c>
      <c r="BP74">
        <f t="shared" si="31"/>
        <v>1</v>
      </c>
      <c r="BQ74">
        <f t="shared" si="32"/>
        <v>1</v>
      </c>
    </row>
    <row r="75" spans="1:69" x14ac:dyDescent="0.25">
      <c r="A75">
        <v>74</v>
      </c>
      <c r="B75" t="s">
        <v>402</v>
      </c>
      <c r="C75" t="s">
        <v>403</v>
      </c>
      <c r="D75" t="s">
        <v>404</v>
      </c>
      <c r="E75" t="s">
        <v>405</v>
      </c>
      <c r="F75" t="s">
        <v>100</v>
      </c>
      <c r="G75">
        <v>2</v>
      </c>
      <c r="H75">
        <v>1</v>
      </c>
      <c r="I75">
        <v>1503</v>
      </c>
      <c r="J75">
        <v>0</v>
      </c>
      <c r="K75">
        <v>0</v>
      </c>
      <c r="L75">
        <v>6491.8</v>
      </c>
      <c r="M75">
        <v>5365.4</v>
      </c>
      <c r="N75">
        <v>7507</v>
      </c>
      <c r="O75">
        <v>1638.9</v>
      </c>
      <c r="P75">
        <v>6173.5</v>
      </c>
      <c r="Q75">
        <v>0</v>
      </c>
      <c r="R75">
        <v>0</v>
      </c>
      <c r="S75">
        <v>0</v>
      </c>
      <c r="T75">
        <v>0</v>
      </c>
      <c r="U75">
        <v>0</v>
      </c>
      <c r="V75">
        <v>2.95</v>
      </c>
      <c r="W75">
        <v>0</v>
      </c>
      <c r="X75">
        <v>0</v>
      </c>
      <c r="Y75">
        <v>1.5</v>
      </c>
      <c r="Z75">
        <v>0</v>
      </c>
      <c r="AA75">
        <v>0</v>
      </c>
      <c r="AB75">
        <v>1.5</v>
      </c>
      <c r="AC75">
        <v>0</v>
      </c>
      <c r="AD75">
        <v>0</v>
      </c>
      <c r="AE75">
        <v>1.5</v>
      </c>
      <c r="AF75">
        <v>0</v>
      </c>
      <c r="AG75">
        <v>1</v>
      </c>
      <c r="AH75">
        <v>0</v>
      </c>
      <c r="AI75">
        <v>150</v>
      </c>
      <c r="AJ75">
        <v>0</v>
      </c>
      <c r="AK75">
        <v>1.5</v>
      </c>
      <c r="AL75">
        <v>0</v>
      </c>
      <c r="AM75">
        <v>0</v>
      </c>
      <c r="AN75">
        <v>1</v>
      </c>
      <c r="AO75">
        <v>1</v>
      </c>
      <c r="AP75">
        <v>2023</v>
      </c>
      <c r="AQ75">
        <v>3</v>
      </c>
      <c r="AR75">
        <v>0</v>
      </c>
      <c r="AS75">
        <v>0</v>
      </c>
      <c r="AT75">
        <v>0</v>
      </c>
      <c r="AU75">
        <v>0</v>
      </c>
      <c r="AV75">
        <f t="shared" si="17"/>
        <v>0</v>
      </c>
      <c r="AW75">
        <f t="shared" si="18"/>
        <v>-0.49152542372881353</v>
      </c>
      <c r="AX75">
        <f t="shared" si="19"/>
        <v>0</v>
      </c>
      <c r="AY75">
        <f t="shared" si="20"/>
        <v>0</v>
      </c>
      <c r="AZ75">
        <f t="shared" si="21"/>
        <v>0</v>
      </c>
      <c r="BA75" t="str">
        <f t="shared" si="22"/>
        <v/>
      </c>
      <c r="BB75">
        <f t="shared" si="23"/>
        <v>1</v>
      </c>
      <c r="BC75">
        <f>MATCH($B75,clean_historis!$B:$B,0)</f>
        <v>75</v>
      </c>
      <c r="BD75">
        <f>IFERROR(INDEX(clean_historis!$AF:$AF,$BC75)/INDEX(clean_historis!$V:$V,$BC75),0)</f>
        <v>0.49152542372881353</v>
      </c>
      <c r="BE75">
        <f>IFERROR(INDEX(clean_historis!$AR:$AR,$BC75)/INDEX(clean_historis!$AH:$AH,$BC75),0)</f>
        <v>0.49152542372881353</v>
      </c>
      <c r="BF75">
        <f t="shared" si="24"/>
        <v>0</v>
      </c>
      <c r="BG75">
        <f>MAX(IF(INDEX(clean_historis!$CL:$CL,$BC75)=1,2025,0),IF(INDEX(clean_historis!$CK:$CK,$BC75)=1,2024,0),IF(INDEX(clean_historis!$CJ:$CJ,$BC75)=1,2023,0),IF(INDEX(clean_historis!$CI:$CI,$BC75)=1,2022,0),IF(INDEX(clean_historis!$CH:$CH,$BC75)=1,2021,0))</f>
        <v>0</v>
      </c>
      <c r="BH75">
        <f t="shared" si="25"/>
        <v>0</v>
      </c>
      <c r="BI75">
        <f t="shared" si="26"/>
        <v>0</v>
      </c>
      <c r="BJ75">
        <f t="shared" si="27"/>
        <v>0</v>
      </c>
      <c r="BK75">
        <f t="shared" si="28"/>
        <v>25.537699999999997</v>
      </c>
      <c r="BL75">
        <f t="shared" si="29"/>
        <v>0</v>
      </c>
      <c r="BM75">
        <f t="shared" si="30"/>
        <v>0</v>
      </c>
      <c r="BN75">
        <v>0</v>
      </c>
      <c r="BO75">
        <f t="shared" si="33"/>
        <v>0</v>
      </c>
      <c r="BP75">
        <f t="shared" si="31"/>
        <v>1</v>
      </c>
      <c r="BQ75">
        <f t="shared" si="32"/>
        <v>0</v>
      </c>
    </row>
    <row r="76" spans="1:69" x14ac:dyDescent="0.25">
      <c r="A76">
        <v>75</v>
      </c>
      <c r="B76" t="s">
        <v>406</v>
      </c>
      <c r="C76" t="s">
        <v>407</v>
      </c>
      <c r="D76" t="s">
        <v>408</v>
      </c>
      <c r="E76" t="s">
        <v>409</v>
      </c>
      <c r="F76" t="s">
        <v>363</v>
      </c>
      <c r="G76">
        <v>2</v>
      </c>
      <c r="H76">
        <v>1</v>
      </c>
      <c r="I76">
        <v>1172</v>
      </c>
      <c r="J76">
        <v>0</v>
      </c>
      <c r="K76">
        <v>0</v>
      </c>
      <c r="L76">
        <v>1245.2</v>
      </c>
      <c r="M76">
        <v>609.9</v>
      </c>
      <c r="N76">
        <v>2464.1</v>
      </c>
      <c r="O76">
        <v>629.9</v>
      </c>
      <c r="P76">
        <v>29077.200000000001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0.56999999999999995</v>
      </c>
      <c r="W76">
        <v>0.37000000476837158</v>
      </c>
      <c r="X76">
        <v>0.20000000298023221</v>
      </c>
      <c r="Y76">
        <v>0</v>
      </c>
      <c r="Z76">
        <v>0</v>
      </c>
      <c r="AA76">
        <v>0.56999999284744263</v>
      </c>
      <c r="AB76">
        <v>0</v>
      </c>
      <c r="AC76">
        <v>0</v>
      </c>
      <c r="AD76">
        <v>0</v>
      </c>
      <c r="AE76">
        <v>0.56999999284744263</v>
      </c>
      <c r="AF76">
        <v>0</v>
      </c>
      <c r="AG76">
        <v>1</v>
      </c>
      <c r="AH76">
        <v>0</v>
      </c>
      <c r="AI76">
        <v>150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5</v>
      </c>
      <c r="AP76">
        <v>2025</v>
      </c>
      <c r="AQ76">
        <v>1</v>
      </c>
      <c r="AR76">
        <v>0</v>
      </c>
      <c r="AS76">
        <v>0</v>
      </c>
      <c r="AT76">
        <v>0</v>
      </c>
      <c r="AU76">
        <v>0</v>
      </c>
      <c r="AV76">
        <f t="shared" si="17"/>
        <v>0</v>
      </c>
      <c r="AW76">
        <f t="shared" si="18"/>
        <v>-0.82456140350877194</v>
      </c>
      <c r="AX76">
        <f t="shared" si="19"/>
        <v>0</v>
      </c>
      <c r="AY76">
        <f t="shared" si="20"/>
        <v>0</v>
      </c>
      <c r="AZ76">
        <f t="shared" si="21"/>
        <v>0</v>
      </c>
      <c r="BA76">
        <f t="shared" si="22"/>
        <v>0</v>
      </c>
      <c r="BB76">
        <f t="shared" si="23"/>
        <v>1</v>
      </c>
      <c r="BC76">
        <f>MATCH($B76,clean_historis!$B:$B,0)</f>
        <v>76</v>
      </c>
      <c r="BD76">
        <f>IFERROR(INDEX(clean_historis!$AF:$AF,$BC76)/INDEX(clean_historis!$V:$V,$BC76),0)</f>
        <v>0.82456140350877194</v>
      </c>
      <c r="BE76">
        <f>IFERROR(INDEX(clean_historis!$AR:$AR,$BC76)/INDEX(clean_historis!$AH:$AH,$BC76),0)</f>
        <v>0.82456140350877194</v>
      </c>
      <c r="BF76">
        <f t="shared" si="24"/>
        <v>0</v>
      </c>
      <c r="BG76">
        <f>MAX(IF(INDEX(clean_historis!$CL:$CL,$BC76)=1,2025,0),IF(INDEX(clean_historis!$CK:$CK,$BC76)=1,2024,0),IF(INDEX(clean_historis!$CJ:$CJ,$BC76)=1,2023,0),IF(INDEX(clean_historis!$CI:$CI,$BC76)=1,2022,0),IF(INDEX(clean_historis!$CH:$CH,$BC76)=1,2021,0))</f>
        <v>2025</v>
      </c>
      <c r="BH76">
        <f t="shared" si="25"/>
        <v>0</v>
      </c>
      <c r="BI76">
        <f t="shared" si="26"/>
        <v>0</v>
      </c>
      <c r="BJ76">
        <f t="shared" si="27"/>
        <v>1</v>
      </c>
      <c r="BK76">
        <f t="shared" si="28"/>
        <v>33.3964</v>
      </c>
      <c r="BL76">
        <f t="shared" si="29"/>
        <v>0</v>
      </c>
      <c r="BM76">
        <f t="shared" si="30"/>
        <v>0</v>
      </c>
      <c r="BN76">
        <v>0</v>
      </c>
      <c r="BO76">
        <f t="shared" si="33"/>
        <v>1</v>
      </c>
      <c r="BP76">
        <f t="shared" si="31"/>
        <v>1</v>
      </c>
      <c r="BQ76">
        <f t="shared" si="32"/>
        <v>1</v>
      </c>
    </row>
    <row r="77" spans="1:69" x14ac:dyDescent="0.25">
      <c r="A77">
        <v>76</v>
      </c>
      <c r="B77" t="s">
        <v>410</v>
      </c>
      <c r="C77" t="s">
        <v>411</v>
      </c>
      <c r="D77" t="s">
        <v>412</v>
      </c>
      <c r="E77" t="s">
        <v>413</v>
      </c>
      <c r="F77" t="s">
        <v>105</v>
      </c>
      <c r="G77">
        <v>1</v>
      </c>
      <c r="H77">
        <v>1</v>
      </c>
      <c r="I77">
        <v>313</v>
      </c>
      <c r="J77">
        <v>0</v>
      </c>
      <c r="K77">
        <v>0</v>
      </c>
      <c r="L77">
        <v>1860.7</v>
      </c>
      <c r="M77">
        <v>2224.4</v>
      </c>
      <c r="N77">
        <v>7617.1</v>
      </c>
      <c r="O77">
        <v>1155.9000000000001</v>
      </c>
      <c r="P77">
        <v>8996.6</v>
      </c>
      <c r="Q77">
        <v>0</v>
      </c>
      <c r="R77">
        <v>0</v>
      </c>
      <c r="S77">
        <v>0</v>
      </c>
      <c r="T77">
        <v>0</v>
      </c>
      <c r="U77">
        <v>0</v>
      </c>
      <c r="V77">
        <v>1.1599999999999999</v>
      </c>
      <c r="W77">
        <v>0</v>
      </c>
      <c r="X77">
        <v>0</v>
      </c>
      <c r="Y77">
        <v>1</v>
      </c>
      <c r="Z77">
        <v>0</v>
      </c>
      <c r="AA77">
        <v>0</v>
      </c>
      <c r="AB77">
        <v>0.80000001192092896</v>
      </c>
      <c r="AC77">
        <v>0.20000000298023221</v>
      </c>
      <c r="AD77">
        <v>0</v>
      </c>
      <c r="AE77">
        <v>0.80000001192092896</v>
      </c>
      <c r="AF77">
        <v>0.20000000298023221</v>
      </c>
      <c r="AG77">
        <v>0.8</v>
      </c>
      <c r="AH77">
        <v>0.2</v>
      </c>
      <c r="AI77">
        <v>150</v>
      </c>
      <c r="AJ77">
        <v>0</v>
      </c>
      <c r="AK77">
        <v>0.80000001192092896</v>
      </c>
      <c r="AL77">
        <v>0.20000000298023221</v>
      </c>
      <c r="AM77">
        <v>0</v>
      </c>
      <c r="AN77">
        <v>1</v>
      </c>
      <c r="AO77">
        <v>3</v>
      </c>
      <c r="AP77">
        <v>2023</v>
      </c>
      <c r="AQ77">
        <v>3</v>
      </c>
      <c r="AR77">
        <v>0</v>
      </c>
      <c r="AS77">
        <v>0</v>
      </c>
      <c r="AT77">
        <v>0</v>
      </c>
      <c r="AU77">
        <v>0</v>
      </c>
      <c r="AV77">
        <f t="shared" si="17"/>
        <v>8.6206896551724171E-2</v>
      </c>
      <c r="AW77">
        <f t="shared" si="18"/>
        <v>-0.13793103448275865</v>
      </c>
      <c r="AX77">
        <f t="shared" si="19"/>
        <v>0</v>
      </c>
      <c r="AY77">
        <f t="shared" si="20"/>
        <v>0</v>
      </c>
      <c r="AZ77">
        <f t="shared" si="21"/>
        <v>0</v>
      </c>
      <c r="BA77" t="str">
        <f t="shared" si="22"/>
        <v/>
      </c>
      <c r="BB77">
        <f t="shared" si="23"/>
        <v>0.8</v>
      </c>
      <c r="BC77">
        <f>MATCH($B77,clean_historis!$B:$B,0)</f>
        <v>77</v>
      </c>
      <c r="BD77">
        <f>IFERROR(INDEX(clean_historis!$AF:$AF,$BC77)/INDEX(clean_historis!$V:$V,$BC77),0)</f>
        <v>5.1724137931034482E-2</v>
      </c>
      <c r="BE77">
        <f>IFERROR(INDEX(clean_historis!$AR:$AR,$BC77)/INDEX(clean_historis!$AH:$AH,$BC77),0)</f>
        <v>0.13793103448275865</v>
      </c>
      <c r="BF77">
        <f t="shared" si="24"/>
        <v>0</v>
      </c>
      <c r="BG77">
        <f>MAX(IF(INDEX(clean_historis!$CL:$CL,$BC77)=1,2025,0),IF(INDEX(clean_historis!$CK:$CK,$BC77)=1,2024,0),IF(INDEX(clean_historis!$CJ:$CJ,$BC77)=1,2023,0),IF(INDEX(clean_historis!$CI:$CI,$BC77)=1,2022,0),IF(INDEX(clean_historis!$CH:$CH,$BC77)=1,2021,0))</f>
        <v>0</v>
      </c>
      <c r="BH77">
        <f t="shared" si="25"/>
        <v>0.19999999999999996</v>
      </c>
      <c r="BI77">
        <f t="shared" si="26"/>
        <v>62.599999999999987</v>
      </c>
      <c r="BJ77">
        <f t="shared" si="27"/>
        <v>1</v>
      </c>
      <c r="BK77">
        <f t="shared" si="28"/>
        <v>20.698800000000002</v>
      </c>
      <c r="BL77">
        <f t="shared" si="29"/>
        <v>0</v>
      </c>
      <c r="BM77">
        <f t="shared" si="30"/>
        <v>0</v>
      </c>
      <c r="BN77">
        <v>0</v>
      </c>
      <c r="BO77">
        <f t="shared" si="33"/>
        <v>0</v>
      </c>
      <c r="BP77">
        <f t="shared" si="31"/>
        <v>1</v>
      </c>
      <c r="BQ77">
        <f t="shared" si="32"/>
        <v>0</v>
      </c>
    </row>
    <row r="78" spans="1:69" x14ac:dyDescent="0.25">
      <c r="A78">
        <v>77</v>
      </c>
      <c r="B78" t="s">
        <v>414</v>
      </c>
      <c r="C78" t="s">
        <v>415</v>
      </c>
      <c r="D78" t="s">
        <v>416</v>
      </c>
      <c r="E78" t="s">
        <v>417</v>
      </c>
      <c r="F78" t="s">
        <v>105</v>
      </c>
      <c r="G78">
        <v>2</v>
      </c>
      <c r="H78">
        <v>1</v>
      </c>
      <c r="I78">
        <v>827</v>
      </c>
      <c r="J78">
        <v>0</v>
      </c>
      <c r="K78">
        <v>1</v>
      </c>
      <c r="L78">
        <v>2082.5</v>
      </c>
      <c r="M78">
        <v>1257.4000000000001</v>
      </c>
      <c r="N78">
        <v>7886</v>
      </c>
      <c r="O78">
        <v>568.79999999999995</v>
      </c>
      <c r="P78">
        <v>9265.5</v>
      </c>
      <c r="Q78">
        <v>0</v>
      </c>
      <c r="R78">
        <v>0</v>
      </c>
      <c r="S78">
        <v>0</v>
      </c>
      <c r="T78">
        <v>0</v>
      </c>
      <c r="U78">
        <v>0</v>
      </c>
      <c r="V78">
        <v>0.52</v>
      </c>
      <c r="W78">
        <v>0</v>
      </c>
      <c r="X78">
        <v>0</v>
      </c>
      <c r="Y78">
        <v>0.51999998092651367</v>
      </c>
      <c r="Z78">
        <v>0</v>
      </c>
      <c r="AA78">
        <v>0.41999998688697809</v>
      </c>
      <c r="AB78">
        <v>0.10000000149011611</v>
      </c>
      <c r="AC78">
        <v>0</v>
      </c>
      <c r="AD78">
        <v>0</v>
      </c>
      <c r="AE78">
        <v>0.51999998837709427</v>
      </c>
      <c r="AF78">
        <v>0</v>
      </c>
      <c r="AG78">
        <v>1</v>
      </c>
      <c r="AH78">
        <v>0</v>
      </c>
      <c r="AI78">
        <v>150</v>
      </c>
      <c r="AJ78">
        <v>0.41999998688697809</v>
      </c>
      <c r="AK78">
        <v>0.10000000149011611</v>
      </c>
      <c r="AL78">
        <v>0</v>
      </c>
      <c r="AM78">
        <v>0</v>
      </c>
      <c r="AN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f t="shared" si="17"/>
        <v>0</v>
      </c>
      <c r="AW78">
        <f t="shared" si="18"/>
        <v>0</v>
      </c>
      <c r="AX78">
        <f t="shared" si="19"/>
        <v>0</v>
      </c>
      <c r="AY78">
        <f t="shared" si="20"/>
        <v>0</v>
      </c>
      <c r="AZ78">
        <f t="shared" si="21"/>
        <v>0</v>
      </c>
      <c r="BA78" t="str">
        <f t="shared" si="22"/>
        <v/>
      </c>
      <c r="BB78">
        <f t="shared" si="23"/>
        <v>1</v>
      </c>
      <c r="BC78">
        <f>MATCH($B78,clean_historis!$B:$B,0)</f>
        <v>78</v>
      </c>
      <c r="BD78">
        <f>IFERROR(INDEX(clean_historis!$AF:$AF,$BC78)/INDEX(clean_historis!$V:$V,$BC78),0)</f>
        <v>0</v>
      </c>
      <c r="BE78">
        <f>IFERROR(INDEX(clean_historis!$AR:$AR,$BC78)/INDEX(clean_historis!$AH:$AH,$BC78),0)</f>
        <v>0</v>
      </c>
      <c r="BF78">
        <f t="shared" si="24"/>
        <v>0</v>
      </c>
      <c r="BG78">
        <f>MAX(IF(INDEX(clean_historis!$CL:$CL,$BC78)=1,2025,0),IF(INDEX(clean_historis!$CK:$CK,$BC78)=1,2024,0),IF(INDEX(clean_historis!$CJ:$CJ,$BC78)=1,2023,0),IF(INDEX(clean_historis!$CI:$CI,$BC78)=1,2022,0),IF(INDEX(clean_historis!$CH:$CH,$BC78)=1,2021,0))</f>
        <v>0</v>
      </c>
      <c r="BH78">
        <f t="shared" si="25"/>
        <v>0</v>
      </c>
      <c r="BI78">
        <f t="shared" si="26"/>
        <v>0</v>
      </c>
      <c r="BJ78">
        <f t="shared" si="27"/>
        <v>0</v>
      </c>
      <c r="BK78">
        <f t="shared" si="28"/>
        <v>20.491400000000002</v>
      </c>
      <c r="BL78">
        <f t="shared" si="29"/>
        <v>0</v>
      </c>
      <c r="BM78">
        <f t="shared" si="30"/>
        <v>0</v>
      </c>
      <c r="BN78">
        <v>0</v>
      </c>
      <c r="BO78">
        <f t="shared" si="33"/>
        <v>1</v>
      </c>
      <c r="BP78">
        <f t="shared" si="31"/>
        <v>0</v>
      </c>
      <c r="BQ78">
        <f t="shared" si="32"/>
        <v>1</v>
      </c>
    </row>
    <row r="79" spans="1:69" x14ac:dyDescent="0.25">
      <c r="A79">
        <v>78</v>
      </c>
      <c r="B79" t="s">
        <v>418</v>
      </c>
      <c r="C79" t="s">
        <v>419</v>
      </c>
      <c r="D79" t="s">
        <v>420</v>
      </c>
      <c r="E79" t="s">
        <v>421</v>
      </c>
      <c r="F79" t="s">
        <v>315</v>
      </c>
      <c r="G79">
        <v>1</v>
      </c>
      <c r="H79">
        <v>1</v>
      </c>
      <c r="I79">
        <v>771</v>
      </c>
      <c r="J79">
        <v>0</v>
      </c>
      <c r="K79">
        <v>0</v>
      </c>
      <c r="L79">
        <v>2087.4</v>
      </c>
      <c r="M79">
        <v>657.1</v>
      </c>
      <c r="N79">
        <v>3045.9</v>
      </c>
      <c r="O79">
        <v>341.5</v>
      </c>
      <c r="P79">
        <v>29659</v>
      </c>
      <c r="Q79">
        <v>0</v>
      </c>
      <c r="R79">
        <v>0</v>
      </c>
      <c r="S79">
        <v>0</v>
      </c>
      <c r="T79">
        <v>0</v>
      </c>
      <c r="U79">
        <v>0</v>
      </c>
      <c r="V79">
        <v>0.24</v>
      </c>
      <c r="W79">
        <v>0</v>
      </c>
      <c r="X79">
        <v>0</v>
      </c>
      <c r="Y79">
        <v>0.239999994635582</v>
      </c>
      <c r="Z79">
        <v>0</v>
      </c>
      <c r="AA79">
        <v>0</v>
      </c>
      <c r="AB79">
        <v>0</v>
      </c>
      <c r="AC79">
        <v>0</v>
      </c>
      <c r="AD79">
        <v>0.239999994635582</v>
      </c>
      <c r="AE79">
        <v>0</v>
      </c>
      <c r="AF79">
        <v>0.239999994635582</v>
      </c>
      <c r="AG79">
        <v>0</v>
      </c>
      <c r="AH79">
        <v>1</v>
      </c>
      <c r="AI79">
        <v>150</v>
      </c>
      <c r="AJ79">
        <v>0</v>
      </c>
      <c r="AK79">
        <v>0</v>
      </c>
      <c r="AL79">
        <v>0</v>
      </c>
      <c r="AM79">
        <v>0.239999994635582</v>
      </c>
      <c r="AN79">
        <v>0</v>
      </c>
      <c r="AO79">
        <v>0</v>
      </c>
      <c r="AR79">
        <v>1</v>
      </c>
      <c r="AS79">
        <v>0</v>
      </c>
      <c r="AT79">
        <v>1</v>
      </c>
      <c r="AU79">
        <v>1</v>
      </c>
      <c r="AV79">
        <f t="shared" si="17"/>
        <v>0</v>
      </c>
      <c r="AW79">
        <f t="shared" si="18"/>
        <v>-2.2351741679749182E-8</v>
      </c>
      <c r="AX79">
        <f t="shared" si="19"/>
        <v>770.99998276680719</v>
      </c>
      <c r="AY79">
        <f t="shared" si="20"/>
        <v>0</v>
      </c>
      <c r="AZ79">
        <f t="shared" si="21"/>
        <v>0.239999994635582</v>
      </c>
      <c r="BA79" t="str">
        <f t="shared" si="22"/>
        <v/>
      </c>
      <c r="BB79">
        <f t="shared" si="23"/>
        <v>0</v>
      </c>
      <c r="BC79">
        <f>MATCH($B79,clean_historis!$B:$B,0)</f>
        <v>79</v>
      </c>
      <c r="BD79">
        <f>IFERROR(INDEX(clean_historis!$AF:$AF,$BC79)/INDEX(clean_historis!$V:$V,$BC79),0)</f>
        <v>1</v>
      </c>
      <c r="BE79">
        <f>IFERROR(INDEX(clean_historis!$AR:$AR,$BC79)/INDEX(clean_historis!$AH:$AH,$BC79),0)</f>
        <v>1</v>
      </c>
      <c r="BF79">
        <f t="shared" si="24"/>
        <v>0.99999997764825832</v>
      </c>
      <c r="BG79">
        <f>MAX(IF(INDEX(clean_historis!$CL:$CL,$BC79)=1,2025,0),IF(INDEX(clean_historis!$CK:$CK,$BC79)=1,2024,0),IF(INDEX(clean_historis!$CJ:$CJ,$BC79)=1,2023,0),IF(INDEX(clean_historis!$CI:$CI,$BC79)=1,2022,0),IF(INDEX(clean_historis!$CH:$CH,$BC79)=1,2021,0))</f>
        <v>0</v>
      </c>
      <c r="BH79">
        <f t="shared" si="25"/>
        <v>1</v>
      </c>
      <c r="BI79">
        <f t="shared" si="26"/>
        <v>771</v>
      </c>
      <c r="BJ79">
        <f t="shared" si="27"/>
        <v>0</v>
      </c>
      <c r="BK79">
        <f t="shared" si="28"/>
        <v>35.449400000000004</v>
      </c>
      <c r="BL79">
        <f t="shared" si="29"/>
        <v>1</v>
      </c>
      <c r="BM79">
        <f t="shared" si="30"/>
        <v>1</v>
      </c>
      <c r="BN79">
        <v>0</v>
      </c>
      <c r="BO79">
        <f t="shared" si="33"/>
        <v>1</v>
      </c>
      <c r="BP79">
        <f t="shared" si="31"/>
        <v>0</v>
      </c>
      <c r="BQ79">
        <f t="shared" si="32"/>
        <v>1</v>
      </c>
    </row>
    <row r="80" spans="1:69" x14ac:dyDescent="0.25">
      <c r="A80">
        <v>79</v>
      </c>
      <c r="B80" t="s">
        <v>422</v>
      </c>
      <c r="C80" t="s">
        <v>423</v>
      </c>
      <c r="D80" t="s">
        <v>424</v>
      </c>
      <c r="E80" t="s">
        <v>425</v>
      </c>
      <c r="F80" t="s">
        <v>100</v>
      </c>
      <c r="G80">
        <v>1</v>
      </c>
      <c r="H80">
        <v>1</v>
      </c>
      <c r="I80">
        <v>630</v>
      </c>
      <c r="J80">
        <v>0</v>
      </c>
      <c r="K80">
        <v>0</v>
      </c>
      <c r="L80">
        <v>2508.6999999999998</v>
      </c>
      <c r="M80">
        <v>2658.7</v>
      </c>
      <c r="N80">
        <v>2185.1999999999998</v>
      </c>
      <c r="O80">
        <v>1236.8</v>
      </c>
      <c r="P80">
        <v>2363.6999999999998</v>
      </c>
      <c r="Q80">
        <v>0</v>
      </c>
      <c r="R80">
        <v>0</v>
      </c>
      <c r="S80">
        <v>0</v>
      </c>
      <c r="T80">
        <v>0</v>
      </c>
      <c r="U80">
        <v>0</v>
      </c>
      <c r="V80">
        <v>0.7</v>
      </c>
      <c r="W80">
        <v>0</v>
      </c>
      <c r="X80">
        <v>0</v>
      </c>
      <c r="Y80">
        <v>0.69999998807907104</v>
      </c>
      <c r="Z80">
        <v>0</v>
      </c>
      <c r="AA80">
        <v>0.69999998807907104</v>
      </c>
      <c r="AB80">
        <v>0</v>
      </c>
      <c r="AC80">
        <v>0</v>
      </c>
      <c r="AD80">
        <v>0</v>
      </c>
      <c r="AE80">
        <v>0.69999998807907104</v>
      </c>
      <c r="AF80">
        <v>0</v>
      </c>
      <c r="AG80">
        <v>1</v>
      </c>
      <c r="AH80">
        <v>0</v>
      </c>
      <c r="AI80">
        <v>150</v>
      </c>
      <c r="AJ80">
        <v>0.69999998807907104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2024</v>
      </c>
      <c r="AQ80">
        <v>2</v>
      </c>
      <c r="AR80">
        <v>0</v>
      </c>
      <c r="AS80">
        <v>0</v>
      </c>
      <c r="AT80">
        <v>0</v>
      </c>
      <c r="AU80">
        <v>0</v>
      </c>
      <c r="AV80">
        <f t="shared" si="17"/>
        <v>-1</v>
      </c>
      <c r="AW80">
        <f t="shared" si="18"/>
        <v>0</v>
      </c>
      <c r="AX80">
        <f t="shared" si="19"/>
        <v>0</v>
      </c>
      <c r="AY80">
        <f t="shared" si="20"/>
        <v>0</v>
      </c>
      <c r="AZ80">
        <f t="shared" si="21"/>
        <v>0</v>
      </c>
      <c r="BA80">
        <f t="shared" si="22"/>
        <v>1</v>
      </c>
      <c r="BB80">
        <f t="shared" si="23"/>
        <v>1</v>
      </c>
      <c r="BC80">
        <f>MATCH($B80,clean_historis!$B:$B,0)</f>
        <v>80</v>
      </c>
      <c r="BD80">
        <f>IFERROR(INDEX(clean_historis!$AF:$AF,$BC80)/INDEX(clean_historis!$V:$V,$BC80),0)</f>
        <v>1</v>
      </c>
      <c r="BE80">
        <f>IFERROR(INDEX(clean_historis!$AR:$AR,$BC80)/INDEX(clean_historis!$AH:$AH,$BC80),0)</f>
        <v>0</v>
      </c>
      <c r="BF80">
        <f t="shared" si="24"/>
        <v>0</v>
      </c>
      <c r="BG80">
        <f>MAX(IF(INDEX(clean_historis!$CL:$CL,$BC80)=1,2025,0),IF(INDEX(clean_historis!$CK:$CK,$BC80)=1,2024,0),IF(INDEX(clean_historis!$CJ:$CJ,$BC80)=1,2023,0),IF(INDEX(clean_historis!$CI:$CI,$BC80)=1,2022,0),IF(INDEX(clean_historis!$CH:$CH,$BC80)=1,2021,0))</f>
        <v>2024</v>
      </c>
      <c r="BH80">
        <f t="shared" si="25"/>
        <v>0</v>
      </c>
      <c r="BI80">
        <f t="shared" si="26"/>
        <v>0</v>
      </c>
      <c r="BJ80">
        <f t="shared" si="27"/>
        <v>1</v>
      </c>
      <c r="BK80">
        <f t="shared" si="28"/>
        <v>9.7162999999999986</v>
      </c>
      <c r="BL80">
        <f t="shared" si="29"/>
        <v>0</v>
      </c>
      <c r="BM80">
        <f t="shared" si="30"/>
        <v>0</v>
      </c>
      <c r="BN80">
        <v>0</v>
      </c>
      <c r="BO80">
        <f t="shared" si="33"/>
        <v>1</v>
      </c>
      <c r="BP80">
        <f t="shared" si="31"/>
        <v>1</v>
      </c>
      <c r="BQ80">
        <f t="shared" si="32"/>
        <v>1</v>
      </c>
    </row>
    <row r="81" spans="1:69" x14ac:dyDescent="0.25">
      <c r="A81">
        <v>80</v>
      </c>
      <c r="B81" t="s">
        <v>426</v>
      </c>
      <c r="C81" t="s">
        <v>427</v>
      </c>
      <c r="D81" t="s">
        <v>428</v>
      </c>
      <c r="E81" t="s">
        <v>429</v>
      </c>
      <c r="F81" t="s">
        <v>132</v>
      </c>
      <c r="G81">
        <v>2</v>
      </c>
      <c r="H81">
        <v>1</v>
      </c>
      <c r="I81">
        <v>1110</v>
      </c>
      <c r="J81">
        <v>0</v>
      </c>
      <c r="K81">
        <v>0</v>
      </c>
      <c r="L81">
        <v>8342.9</v>
      </c>
      <c r="M81">
        <v>2875.1</v>
      </c>
      <c r="N81">
        <v>16421.599999999999</v>
      </c>
      <c r="O81">
        <v>404.8</v>
      </c>
      <c r="P81">
        <v>14820.3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0</v>
      </c>
      <c r="X81">
        <v>0</v>
      </c>
      <c r="Y81">
        <v>5</v>
      </c>
      <c r="Z81">
        <v>0</v>
      </c>
      <c r="AA81">
        <v>0</v>
      </c>
      <c r="AB81">
        <v>3.7999999523162842</v>
      </c>
      <c r="AC81">
        <v>1.1000000238418579</v>
      </c>
      <c r="AD81">
        <v>0.10000000149011611</v>
      </c>
      <c r="AE81">
        <v>3.7999999523162842</v>
      </c>
      <c r="AF81">
        <v>1.200000025331974</v>
      </c>
      <c r="AG81">
        <v>0.75999999386072159</v>
      </c>
      <c r="AH81">
        <v>0.24000000613927841</v>
      </c>
      <c r="AI81">
        <v>150</v>
      </c>
      <c r="AJ81">
        <v>0</v>
      </c>
      <c r="AK81">
        <v>3.7999999523162842</v>
      </c>
      <c r="AL81">
        <v>1.1000000238418579</v>
      </c>
      <c r="AM81">
        <v>0.10000000149011611</v>
      </c>
      <c r="AN81">
        <v>1</v>
      </c>
      <c r="AO81">
        <v>3</v>
      </c>
      <c r="AP81">
        <v>2025</v>
      </c>
      <c r="AQ81">
        <v>1</v>
      </c>
      <c r="AR81">
        <v>0</v>
      </c>
      <c r="AS81">
        <v>0</v>
      </c>
      <c r="AT81">
        <v>0</v>
      </c>
      <c r="AU81">
        <v>1</v>
      </c>
      <c r="AV81">
        <f t="shared" si="17"/>
        <v>0</v>
      </c>
      <c r="AW81">
        <f t="shared" si="18"/>
        <v>2.0000000298023221E-2</v>
      </c>
      <c r="AX81">
        <f t="shared" si="19"/>
        <v>22.200000330805775</v>
      </c>
      <c r="AY81">
        <f t="shared" si="20"/>
        <v>0</v>
      </c>
      <c r="AZ81">
        <f t="shared" si="21"/>
        <v>0.10000000149011611</v>
      </c>
      <c r="BA81" t="str">
        <f t="shared" si="22"/>
        <v/>
      </c>
      <c r="BB81">
        <f t="shared" si="23"/>
        <v>0.75999999386072159</v>
      </c>
      <c r="BC81">
        <f>MATCH($B81,clean_historis!$B:$B,0)</f>
        <v>81</v>
      </c>
      <c r="BD81">
        <f>IFERROR(INDEX(clean_historis!$AF:$AF,$BC81)/INDEX(clean_historis!$V:$V,$BC81),0)</f>
        <v>0</v>
      </c>
      <c r="BE81">
        <f>IFERROR(INDEX(clean_historis!$AR:$AR,$BC81)/INDEX(clean_historis!$AH:$AH,$BC81),0)</f>
        <v>0</v>
      </c>
      <c r="BF81">
        <f t="shared" si="24"/>
        <v>2.0000000298023221E-2</v>
      </c>
      <c r="BG81">
        <f>MAX(IF(INDEX(clean_historis!$CL:$CL,$BC81)=1,2025,0),IF(INDEX(clean_historis!$CK:$CK,$BC81)=1,2024,0),IF(INDEX(clean_historis!$CJ:$CJ,$BC81)=1,2023,0),IF(INDEX(clean_historis!$CI:$CI,$BC81)=1,2022,0),IF(INDEX(clean_historis!$CH:$CH,$BC81)=1,2021,0))</f>
        <v>0</v>
      </c>
      <c r="BH81">
        <f t="shared" si="25"/>
        <v>0.24000000613927841</v>
      </c>
      <c r="BI81">
        <f t="shared" si="26"/>
        <v>266.40000681459901</v>
      </c>
      <c r="BJ81">
        <f t="shared" si="27"/>
        <v>0</v>
      </c>
      <c r="BK81">
        <f t="shared" si="28"/>
        <v>42.459899999999998</v>
      </c>
      <c r="BL81">
        <f t="shared" si="29"/>
        <v>0</v>
      </c>
      <c r="BM81">
        <f t="shared" si="30"/>
        <v>0</v>
      </c>
      <c r="BN81">
        <v>0</v>
      </c>
      <c r="BO81">
        <f t="shared" si="33"/>
        <v>0</v>
      </c>
      <c r="BP81">
        <f t="shared" si="31"/>
        <v>1</v>
      </c>
      <c r="BQ81">
        <f t="shared" si="32"/>
        <v>0</v>
      </c>
    </row>
    <row r="82" spans="1:69" x14ac:dyDescent="0.25">
      <c r="A82">
        <v>81</v>
      </c>
      <c r="B82" t="s">
        <v>430</v>
      </c>
      <c r="C82" t="s">
        <v>431</v>
      </c>
      <c r="D82" t="s">
        <v>432</v>
      </c>
      <c r="E82" t="s">
        <v>433</v>
      </c>
      <c r="F82" t="s">
        <v>105</v>
      </c>
      <c r="G82">
        <v>3</v>
      </c>
      <c r="H82">
        <v>1</v>
      </c>
      <c r="I82">
        <v>1775</v>
      </c>
      <c r="J82">
        <v>0</v>
      </c>
      <c r="K82">
        <v>0</v>
      </c>
      <c r="L82">
        <v>4802.3999999999996</v>
      </c>
      <c r="M82">
        <v>2469.6</v>
      </c>
      <c r="N82">
        <v>6511.4</v>
      </c>
      <c r="O82">
        <v>1016.5</v>
      </c>
      <c r="P82">
        <v>6676</v>
      </c>
      <c r="Q82">
        <v>0</v>
      </c>
      <c r="R82">
        <v>0</v>
      </c>
      <c r="S82">
        <v>0</v>
      </c>
      <c r="T82">
        <v>0</v>
      </c>
      <c r="U82">
        <v>0</v>
      </c>
      <c r="V82">
        <v>0.62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150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R82">
        <v>0</v>
      </c>
      <c r="AS82">
        <v>0</v>
      </c>
      <c r="AT82">
        <v>0</v>
      </c>
      <c r="AU82">
        <v>1</v>
      </c>
      <c r="AV82">
        <f t="shared" si="17"/>
        <v>0</v>
      </c>
      <c r="AW82">
        <f t="shared" si="18"/>
        <v>-1</v>
      </c>
      <c r="AX82">
        <f t="shared" si="19"/>
        <v>0</v>
      </c>
      <c r="AY82">
        <f t="shared" si="20"/>
        <v>0</v>
      </c>
      <c r="AZ82">
        <f t="shared" si="21"/>
        <v>0</v>
      </c>
      <c r="BA82" t="str">
        <f t="shared" si="22"/>
        <v/>
      </c>
      <c r="BB82">
        <f t="shared" si="23"/>
        <v>0</v>
      </c>
      <c r="BC82">
        <f>MATCH($B82,clean_historis!$B:$B,0)</f>
        <v>82</v>
      </c>
      <c r="BD82">
        <f>IFERROR(INDEX(clean_historis!$AF:$AF,$BC82)/INDEX(clean_historis!$V:$V,$BC82),0)</f>
        <v>1</v>
      </c>
      <c r="BE82">
        <f>IFERROR(INDEX(clean_historis!$AR:$AR,$BC82)/INDEX(clean_historis!$AH:$AH,$BC82),0)</f>
        <v>1</v>
      </c>
      <c r="BF82">
        <f t="shared" si="24"/>
        <v>0</v>
      </c>
      <c r="BG82">
        <f>MAX(IF(INDEX(clean_historis!$CL:$CL,$BC82)=1,2025,0),IF(INDEX(clean_historis!$CK:$CK,$BC82)=1,2024,0),IF(INDEX(clean_historis!$CJ:$CJ,$BC82)=1,2023,0),IF(INDEX(clean_historis!$CI:$CI,$BC82)=1,2022,0),IF(INDEX(clean_historis!$CH:$CH,$BC82)=1,2021,0))</f>
        <v>0</v>
      </c>
      <c r="BH82">
        <f t="shared" si="25"/>
        <v>1</v>
      </c>
      <c r="BI82">
        <f t="shared" si="26"/>
        <v>1775</v>
      </c>
      <c r="BJ82">
        <f t="shared" si="27"/>
        <v>0</v>
      </c>
      <c r="BK82">
        <f t="shared" si="28"/>
        <v>20.459399999999999</v>
      </c>
      <c r="BL82">
        <f t="shared" si="29"/>
        <v>0</v>
      </c>
      <c r="BM82">
        <f t="shared" si="30"/>
        <v>0</v>
      </c>
      <c r="BN82">
        <v>0</v>
      </c>
      <c r="BO82">
        <f t="shared" si="33"/>
        <v>1</v>
      </c>
      <c r="BP82">
        <f t="shared" si="31"/>
        <v>0</v>
      </c>
      <c r="BQ82">
        <f t="shared" si="32"/>
        <v>1</v>
      </c>
    </row>
    <row r="83" spans="1:69" x14ac:dyDescent="0.25">
      <c r="A83">
        <v>82</v>
      </c>
      <c r="B83" t="s">
        <v>434</v>
      </c>
      <c r="C83" t="s">
        <v>435</v>
      </c>
      <c r="D83" t="s">
        <v>436</v>
      </c>
      <c r="E83" t="s">
        <v>437</v>
      </c>
      <c r="F83" t="s">
        <v>100</v>
      </c>
      <c r="G83">
        <v>1</v>
      </c>
      <c r="H83">
        <v>1</v>
      </c>
      <c r="I83">
        <v>576</v>
      </c>
      <c r="J83">
        <v>0</v>
      </c>
      <c r="K83">
        <v>1</v>
      </c>
      <c r="L83">
        <v>2541.1</v>
      </c>
      <c r="M83">
        <v>2421.3000000000002</v>
      </c>
      <c r="N83">
        <v>2900.2</v>
      </c>
      <c r="O83">
        <v>285.2</v>
      </c>
      <c r="P83">
        <v>2396.1999999999998</v>
      </c>
      <c r="Q83">
        <v>0</v>
      </c>
      <c r="R83">
        <v>0</v>
      </c>
      <c r="S83">
        <v>0</v>
      </c>
      <c r="T83">
        <v>0</v>
      </c>
      <c r="U83">
        <v>0</v>
      </c>
      <c r="V83">
        <v>0.12</v>
      </c>
      <c r="W83">
        <v>0</v>
      </c>
      <c r="X83">
        <v>0</v>
      </c>
      <c r="Y83">
        <v>0.119999997317791</v>
      </c>
      <c r="Z83">
        <v>0</v>
      </c>
      <c r="AA83">
        <v>0</v>
      </c>
      <c r="AB83">
        <v>0.10000000149011611</v>
      </c>
      <c r="AC83">
        <v>1.9999999552965161E-2</v>
      </c>
      <c r="AD83">
        <v>0</v>
      </c>
      <c r="AE83">
        <v>0.10000000149011611</v>
      </c>
      <c r="AF83">
        <v>1.9999999552965161E-2</v>
      </c>
      <c r="AG83">
        <v>0.83333333850734759</v>
      </c>
      <c r="AH83">
        <v>0.16666666149265241</v>
      </c>
      <c r="AI83">
        <v>150</v>
      </c>
      <c r="AJ83">
        <v>0</v>
      </c>
      <c r="AK83">
        <v>0.10000000149011611</v>
      </c>
      <c r="AL83">
        <v>1.9999999552965161E-2</v>
      </c>
      <c r="AM83">
        <v>0</v>
      </c>
      <c r="AN83">
        <v>0</v>
      </c>
      <c r="AO83">
        <v>0</v>
      </c>
      <c r="AR83">
        <v>0</v>
      </c>
      <c r="AS83">
        <v>0</v>
      </c>
      <c r="AT83">
        <v>0</v>
      </c>
      <c r="AU83">
        <v>0</v>
      </c>
      <c r="AV83">
        <f t="shared" si="17"/>
        <v>0</v>
      </c>
      <c r="AW83">
        <f t="shared" si="18"/>
        <v>0</v>
      </c>
      <c r="AX83">
        <f t="shared" si="19"/>
        <v>0</v>
      </c>
      <c r="AY83">
        <f t="shared" si="20"/>
        <v>0</v>
      </c>
      <c r="AZ83">
        <f t="shared" si="21"/>
        <v>0</v>
      </c>
      <c r="BA83" t="str">
        <f t="shared" si="22"/>
        <v/>
      </c>
      <c r="BB83">
        <f t="shared" si="23"/>
        <v>0.83333333850734759</v>
      </c>
      <c r="BC83">
        <f>MATCH($B83,clean_historis!$B:$B,0)</f>
        <v>83</v>
      </c>
      <c r="BD83">
        <f>IFERROR(INDEX(clean_historis!$AF:$AF,$BC83)/INDEX(clean_historis!$V:$V,$BC83),0)</f>
        <v>0</v>
      </c>
      <c r="BE83">
        <f>IFERROR(INDEX(clean_historis!$AR:$AR,$BC83)/INDEX(clean_historis!$AH:$AH,$BC83),0)</f>
        <v>0</v>
      </c>
      <c r="BF83">
        <f t="shared" si="24"/>
        <v>0</v>
      </c>
      <c r="BG83">
        <f>MAX(IF(INDEX(clean_historis!$CL:$CL,$BC83)=1,2025,0),IF(INDEX(clean_historis!$CK:$CK,$BC83)=1,2024,0),IF(INDEX(clean_historis!$CJ:$CJ,$BC83)=1,2023,0),IF(INDEX(clean_historis!$CI:$CI,$BC83)=1,2022,0),IF(INDEX(clean_historis!$CH:$CH,$BC83)=1,2021,0))</f>
        <v>0</v>
      </c>
      <c r="BH83">
        <f t="shared" si="25"/>
        <v>0.16666666149265241</v>
      </c>
      <c r="BI83">
        <f t="shared" si="26"/>
        <v>95.99999701976779</v>
      </c>
      <c r="BJ83">
        <f t="shared" si="27"/>
        <v>1</v>
      </c>
      <c r="BK83">
        <f t="shared" si="28"/>
        <v>10.258799999999999</v>
      </c>
      <c r="BL83">
        <f t="shared" si="29"/>
        <v>0</v>
      </c>
      <c r="BM83">
        <f t="shared" si="30"/>
        <v>0</v>
      </c>
      <c r="BN83">
        <v>0</v>
      </c>
      <c r="BO83">
        <f t="shared" si="33"/>
        <v>1</v>
      </c>
      <c r="BP83">
        <f t="shared" si="31"/>
        <v>0</v>
      </c>
      <c r="BQ83">
        <f t="shared" si="32"/>
        <v>1</v>
      </c>
    </row>
    <row r="84" spans="1:69" x14ac:dyDescent="0.25">
      <c r="A84">
        <v>83</v>
      </c>
      <c r="B84" t="s">
        <v>438</v>
      </c>
      <c r="C84" t="s">
        <v>439</v>
      </c>
      <c r="D84" t="s">
        <v>440</v>
      </c>
      <c r="E84" t="s">
        <v>413</v>
      </c>
      <c r="F84" t="s">
        <v>105</v>
      </c>
      <c r="G84">
        <v>1</v>
      </c>
      <c r="H84">
        <v>1</v>
      </c>
      <c r="I84">
        <v>313</v>
      </c>
      <c r="J84">
        <v>0</v>
      </c>
      <c r="K84">
        <v>0</v>
      </c>
      <c r="L84">
        <v>2110.9</v>
      </c>
      <c r="M84">
        <v>1506.2</v>
      </c>
      <c r="N84">
        <v>7867.3</v>
      </c>
      <c r="O84">
        <v>817.5</v>
      </c>
      <c r="P84">
        <v>9246.7999999999993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0.71</v>
      </c>
      <c r="W84">
        <v>0</v>
      </c>
      <c r="X84">
        <v>0</v>
      </c>
      <c r="Y84">
        <v>0.70999997854232788</v>
      </c>
      <c r="Z84">
        <v>0</v>
      </c>
      <c r="AA84">
        <v>0.61000001430511475</v>
      </c>
      <c r="AB84">
        <v>0.10000000149011611</v>
      </c>
      <c r="AC84">
        <v>0</v>
      </c>
      <c r="AD84">
        <v>0</v>
      </c>
      <c r="AE84">
        <v>0.71000001579523087</v>
      </c>
      <c r="AF84">
        <v>0</v>
      </c>
      <c r="AG84">
        <v>1</v>
      </c>
      <c r="AH84">
        <v>0</v>
      </c>
      <c r="AI84">
        <v>150</v>
      </c>
      <c r="AJ84">
        <v>0.61000001430511475</v>
      </c>
      <c r="AK84">
        <v>0.10000000149011611</v>
      </c>
      <c r="AL84">
        <v>0</v>
      </c>
      <c r="AM84">
        <v>0</v>
      </c>
      <c r="AN84">
        <v>0</v>
      </c>
      <c r="AO84">
        <v>0</v>
      </c>
      <c r="AR84">
        <v>0</v>
      </c>
      <c r="AS84">
        <v>0</v>
      </c>
      <c r="AT84">
        <v>0</v>
      </c>
      <c r="AU84">
        <v>0</v>
      </c>
      <c r="AV84">
        <f t="shared" si="17"/>
        <v>0</v>
      </c>
      <c r="AW84">
        <f t="shared" si="18"/>
        <v>0</v>
      </c>
      <c r="AX84">
        <f t="shared" si="19"/>
        <v>0</v>
      </c>
      <c r="AY84">
        <f t="shared" si="20"/>
        <v>0</v>
      </c>
      <c r="AZ84">
        <f t="shared" si="21"/>
        <v>0</v>
      </c>
      <c r="BA84" t="str">
        <f t="shared" si="22"/>
        <v/>
      </c>
      <c r="BB84">
        <f t="shared" si="23"/>
        <v>1</v>
      </c>
      <c r="BC84">
        <f>MATCH($B84,clean_historis!$B:$B,0)</f>
        <v>84</v>
      </c>
      <c r="BD84">
        <f>IFERROR(INDEX(clean_historis!$AF:$AF,$BC84)/INDEX(clean_historis!$V:$V,$BC84),0)</f>
        <v>0</v>
      </c>
      <c r="BE84">
        <f>IFERROR(INDEX(clean_historis!$AR:$AR,$BC84)/INDEX(clean_historis!$AH:$AH,$BC84),0)</f>
        <v>0</v>
      </c>
      <c r="BF84">
        <f t="shared" si="24"/>
        <v>0</v>
      </c>
      <c r="BG84">
        <f>MAX(IF(INDEX(clean_historis!$CL:$CL,$BC84)=1,2025,0),IF(INDEX(clean_historis!$CK:$CK,$BC84)=1,2024,0),IF(INDEX(clean_historis!$CJ:$CJ,$BC84)=1,2023,0),IF(INDEX(clean_historis!$CI:$CI,$BC84)=1,2022,0),IF(INDEX(clean_historis!$CH:$CH,$BC84)=1,2021,0))</f>
        <v>0</v>
      </c>
      <c r="BH84">
        <f t="shared" si="25"/>
        <v>0</v>
      </c>
      <c r="BI84">
        <f t="shared" si="26"/>
        <v>0</v>
      </c>
      <c r="BJ84">
        <f t="shared" si="27"/>
        <v>0</v>
      </c>
      <c r="BK84">
        <f t="shared" si="28"/>
        <v>20.731200000000001</v>
      </c>
      <c r="BL84">
        <f t="shared" si="29"/>
        <v>0</v>
      </c>
      <c r="BM84">
        <f t="shared" si="30"/>
        <v>0</v>
      </c>
      <c r="BN84">
        <v>0</v>
      </c>
      <c r="BO84">
        <f t="shared" si="33"/>
        <v>1</v>
      </c>
      <c r="BP84">
        <f t="shared" si="31"/>
        <v>0</v>
      </c>
      <c r="BQ84">
        <f t="shared" si="32"/>
        <v>1</v>
      </c>
    </row>
    <row r="85" spans="1:69" x14ac:dyDescent="0.25">
      <c r="A85">
        <v>84</v>
      </c>
      <c r="B85" t="s">
        <v>441</v>
      </c>
      <c r="C85" t="s">
        <v>442</v>
      </c>
      <c r="D85" t="s">
        <v>443</v>
      </c>
      <c r="E85" t="s">
        <v>444</v>
      </c>
      <c r="F85" t="s">
        <v>363</v>
      </c>
      <c r="G85">
        <v>1</v>
      </c>
      <c r="H85">
        <v>1</v>
      </c>
      <c r="I85">
        <v>870</v>
      </c>
      <c r="J85">
        <v>1</v>
      </c>
      <c r="K85">
        <v>0</v>
      </c>
      <c r="L85">
        <v>2175.6999999999998</v>
      </c>
      <c r="M85">
        <v>1937.1</v>
      </c>
      <c r="N85">
        <v>3394.6</v>
      </c>
      <c r="O85">
        <v>0</v>
      </c>
      <c r="P85">
        <v>30007.7</v>
      </c>
      <c r="Q85">
        <v>0</v>
      </c>
      <c r="R85">
        <v>0</v>
      </c>
      <c r="S85">
        <v>0</v>
      </c>
      <c r="T85">
        <v>0</v>
      </c>
      <c r="U85">
        <v>0</v>
      </c>
      <c r="V85">
        <v>0.35</v>
      </c>
      <c r="W85">
        <v>0</v>
      </c>
      <c r="X85">
        <v>0</v>
      </c>
      <c r="Y85">
        <v>0.34999999403953552</v>
      </c>
      <c r="Z85">
        <v>0</v>
      </c>
      <c r="AA85">
        <v>0</v>
      </c>
      <c r="AB85">
        <v>0.15000000596046451</v>
      </c>
      <c r="AC85">
        <v>0.10000000149011611</v>
      </c>
      <c r="AD85">
        <v>0.10000000149011611</v>
      </c>
      <c r="AE85">
        <v>0.15000000596046451</v>
      </c>
      <c r="AF85">
        <v>0.20000000298023221</v>
      </c>
      <c r="AG85">
        <v>0.42857143465353498</v>
      </c>
      <c r="AH85">
        <v>0.57142856534646502</v>
      </c>
      <c r="AI85">
        <v>150</v>
      </c>
      <c r="AJ85">
        <v>0</v>
      </c>
      <c r="AK85">
        <v>0.15000000596046451</v>
      </c>
      <c r="AL85">
        <v>0.10000000149011611</v>
      </c>
      <c r="AM85">
        <v>0.10000000149011611</v>
      </c>
      <c r="AN85">
        <v>0</v>
      </c>
      <c r="AO85">
        <v>0</v>
      </c>
      <c r="AR85">
        <v>0</v>
      </c>
      <c r="AS85">
        <v>0</v>
      </c>
      <c r="AT85">
        <v>0</v>
      </c>
      <c r="AU85">
        <v>0</v>
      </c>
      <c r="AV85">
        <f t="shared" si="17"/>
        <v>0.4285714285714286</v>
      </c>
      <c r="AW85">
        <f t="shared" si="18"/>
        <v>-0.14285713859966831</v>
      </c>
      <c r="AX85">
        <f t="shared" si="19"/>
        <v>248.57143227543145</v>
      </c>
      <c r="AY85">
        <f t="shared" si="20"/>
        <v>0</v>
      </c>
      <c r="AZ85">
        <f t="shared" si="21"/>
        <v>0.10000000149011609</v>
      </c>
      <c r="BA85" t="str">
        <f t="shared" si="22"/>
        <v/>
      </c>
      <c r="BB85">
        <f t="shared" si="23"/>
        <v>0.42857143465353498</v>
      </c>
      <c r="BC85">
        <f>MATCH($B85,clean_historis!$B:$B,0)</f>
        <v>85</v>
      </c>
      <c r="BD85">
        <f>IFERROR(INDEX(clean_historis!$AF:$AF,$BC85)/INDEX(clean_historis!$V:$V,$BC85),0)</f>
        <v>0</v>
      </c>
      <c r="BE85">
        <f>IFERROR(INDEX(clean_historis!$AR:$AR,$BC85)/INDEX(clean_historis!$AH:$AH,$BC85),0)</f>
        <v>0.4285714285714286</v>
      </c>
      <c r="BF85">
        <f t="shared" si="24"/>
        <v>0.28571428997176029</v>
      </c>
      <c r="BG85">
        <f>MAX(IF(INDEX(clean_historis!$CL:$CL,$BC85)=1,2025,0),IF(INDEX(clean_historis!$CK:$CK,$BC85)=1,2024,0),IF(INDEX(clean_historis!$CJ:$CJ,$BC85)=1,2023,0),IF(INDEX(clean_historis!$CI:$CI,$BC85)=1,2022,0),IF(INDEX(clean_historis!$CH:$CH,$BC85)=1,2021,0))</f>
        <v>0</v>
      </c>
      <c r="BH85">
        <f t="shared" si="25"/>
        <v>0.57142856534646502</v>
      </c>
      <c r="BI85">
        <f t="shared" si="26"/>
        <v>497.14285185142455</v>
      </c>
      <c r="BJ85">
        <f t="shared" si="27"/>
        <v>0</v>
      </c>
      <c r="BK85">
        <f t="shared" si="28"/>
        <v>37.515099999999997</v>
      </c>
      <c r="BL85">
        <f t="shared" si="29"/>
        <v>0</v>
      </c>
      <c r="BM85">
        <f t="shared" si="30"/>
        <v>0</v>
      </c>
      <c r="BN85">
        <v>0</v>
      </c>
      <c r="BO85">
        <f t="shared" si="33"/>
        <v>1</v>
      </c>
      <c r="BP85">
        <f t="shared" si="31"/>
        <v>0</v>
      </c>
      <c r="BQ85">
        <f t="shared" si="32"/>
        <v>1</v>
      </c>
    </row>
    <row r="86" spans="1:69" x14ac:dyDescent="0.25">
      <c r="A86">
        <v>85</v>
      </c>
      <c r="B86" t="s">
        <v>445</v>
      </c>
      <c r="C86" t="s">
        <v>446</v>
      </c>
      <c r="D86" t="s">
        <v>447</v>
      </c>
      <c r="E86" t="s">
        <v>448</v>
      </c>
      <c r="F86" t="s">
        <v>315</v>
      </c>
      <c r="G86">
        <v>1</v>
      </c>
      <c r="H86">
        <v>1</v>
      </c>
      <c r="I86">
        <v>706</v>
      </c>
      <c r="J86">
        <v>0</v>
      </c>
      <c r="K86">
        <v>0</v>
      </c>
      <c r="L86">
        <v>1239.3</v>
      </c>
      <c r="M86">
        <v>413.9</v>
      </c>
      <c r="N86">
        <v>2322</v>
      </c>
      <c r="O86">
        <v>75.5</v>
      </c>
      <c r="P86">
        <v>28935.1</v>
      </c>
      <c r="Q86">
        <v>0</v>
      </c>
      <c r="R86">
        <v>0</v>
      </c>
      <c r="S86">
        <v>0</v>
      </c>
      <c r="T86">
        <v>0</v>
      </c>
      <c r="U86">
        <v>0</v>
      </c>
      <c r="V86">
        <v>0.32</v>
      </c>
      <c r="W86">
        <v>0</v>
      </c>
      <c r="X86">
        <v>0</v>
      </c>
      <c r="Y86">
        <v>0.31999999284744263</v>
      </c>
      <c r="Z86">
        <v>0</v>
      </c>
      <c r="AA86">
        <v>0.31999999284744263</v>
      </c>
      <c r="AB86">
        <v>0</v>
      </c>
      <c r="AC86">
        <v>0</v>
      </c>
      <c r="AD86">
        <v>0</v>
      </c>
      <c r="AE86">
        <v>0.31999999284744263</v>
      </c>
      <c r="AF86">
        <v>0</v>
      </c>
      <c r="AG86">
        <v>1</v>
      </c>
      <c r="AH86">
        <v>0</v>
      </c>
      <c r="AI86">
        <v>150</v>
      </c>
      <c r="AJ86">
        <v>0.31999999284744263</v>
      </c>
      <c r="AK86">
        <v>0</v>
      </c>
      <c r="AL86">
        <v>0</v>
      </c>
      <c r="AM86">
        <v>0</v>
      </c>
      <c r="AN86">
        <v>0</v>
      </c>
      <c r="AO86">
        <v>0</v>
      </c>
      <c r="AR86">
        <v>0</v>
      </c>
      <c r="AS86">
        <v>0</v>
      </c>
      <c r="AT86">
        <v>0</v>
      </c>
      <c r="AU86">
        <v>0</v>
      </c>
      <c r="AV86">
        <f t="shared" si="17"/>
        <v>0</v>
      </c>
      <c r="AW86">
        <f t="shared" si="18"/>
        <v>0</v>
      </c>
      <c r="AX86">
        <f t="shared" si="19"/>
        <v>0</v>
      </c>
      <c r="AY86">
        <f t="shared" si="20"/>
        <v>0</v>
      </c>
      <c r="AZ86">
        <f t="shared" si="21"/>
        <v>0</v>
      </c>
      <c r="BA86" t="str">
        <f t="shared" si="22"/>
        <v/>
      </c>
      <c r="BB86">
        <f t="shared" si="23"/>
        <v>1</v>
      </c>
      <c r="BC86">
        <f>MATCH($B86,clean_historis!$B:$B,0)</f>
        <v>86</v>
      </c>
      <c r="BD86">
        <f>IFERROR(INDEX(clean_historis!$AF:$AF,$BC86)/INDEX(clean_historis!$V:$V,$BC86),0)</f>
        <v>0</v>
      </c>
      <c r="BE86">
        <f>IFERROR(INDEX(clean_historis!$AR:$AR,$BC86)/INDEX(clean_historis!$AH:$AH,$BC86),0)</f>
        <v>0</v>
      </c>
      <c r="BF86">
        <f t="shared" si="24"/>
        <v>0</v>
      </c>
      <c r="BG86">
        <f>MAX(IF(INDEX(clean_historis!$CL:$CL,$BC86)=1,2025,0),IF(INDEX(clean_historis!$CK:$CK,$BC86)=1,2024,0),IF(INDEX(clean_historis!$CJ:$CJ,$BC86)=1,2023,0),IF(INDEX(clean_historis!$CI:$CI,$BC86)=1,2022,0),IF(INDEX(clean_historis!$CH:$CH,$BC86)=1,2021,0))</f>
        <v>0</v>
      </c>
      <c r="BH86">
        <f t="shared" si="25"/>
        <v>0</v>
      </c>
      <c r="BI86">
        <f t="shared" si="26"/>
        <v>0</v>
      </c>
      <c r="BJ86">
        <f t="shared" si="27"/>
        <v>1</v>
      </c>
      <c r="BK86">
        <f t="shared" si="28"/>
        <v>32.910299999999992</v>
      </c>
      <c r="BL86">
        <f t="shared" si="29"/>
        <v>0</v>
      </c>
      <c r="BM86">
        <f t="shared" si="30"/>
        <v>0</v>
      </c>
      <c r="BN86">
        <v>0</v>
      </c>
      <c r="BO86">
        <f t="shared" si="33"/>
        <v>1</v>
      </c>
      <c r="BP86">
        <f t="shared" si="31"/>
        <v>0</v>
      </c>
      <c r="BQ86">
        <f t="shared" si="32"/>
        <v>1</v>
      </c>
    </row>
    <row r="87" spans="1:69" x14ac:dyDescent="0.25">
      <c r="A87">
        <v>86</v>
      </c>
      <c r="B87" t="s">
        <v>449</v>
      </c>
      <c r="C87" t="s">
        <v>450</v>
      </c>
      <c r="D87" t="s">
        <v>451</v>
      </c>
      <c r="E87" t="s">
        <v>452</v>
      </c>
      <c r="F87" t="s">
        <v>363</v>
      </c>
      <c r="G87">
        <v>1</v>
      </c>
      <c r="H87">
        <v>1</v>
      </c>
      <c r="I87">
        <v>489</v>
      </c>
      <c r="J87">
        <v>1</v>
      </c>
      <c r="K87">
        <v>0</v>
      </c>
      <c r="L87">
        <v>609.29999999999995</v>
      </c>
      <c r="M87">
        <v>370.6</v>
      </c>
      <c r="N87">
        <v>1828.1</v>
      </c>
      <c r="O87">
        <v>75</v>
      </c>
      <c r="P87">
        <v>28441.3</v>
      </c>
      <c r="Q87">
        <v>0</v>
      </c>
      <c r="R87">
        <v>0</v>
      </c>
      <c r="S87">
        <v>0</v>
      </c>
      <c r="T87">
        <v>0</v>
      </c>
      <c r="U87">
        <v>0</v>
      </c>
      <c r="V87">
        <v>0.17</v>
      </c>
      <c r="W87">
        <v>0</v>
      </c>
      <c r="X87">
        <v>0</v>
      </c>
      <c r="Y87">
        <v>0.17000000178813929</v>
      </c>
      <c r="Z87">
        <v>0</v>
      </c>
      <c r="AA87">
        <v>0.17000000178813929</v>
      </c>
      <c r="AB87">
        <v>0</v>
      </c>
      <c r="AC87">
        <v>0</v>
      </c>
      <c r="AD87">
        <v>0</v>
      </c>
      <c r="AE87">
        <v>0.17000000178813929</v>
      </c>
      <c r="AF87">
        <v>0</v>
      </c>
      <c r="AG87">
        <v>1</v>
      </c>
      <c r="AH87">
        <v>0</v>
      </c>
      <c r="AI87">
        <v>150</v>
      </c>
      <c r="AJ87">
        <v>0.17000000178813929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2025</v>
      </c>
      <c r="AQ87">
        <v>1</v>
      </c>
      <c r="AR87">
        <v>0</v>
      </c>
      <c r="AS87">
        <v>0</v>
      </c>
      <c r="AT87">
        <v>0</v>
      </c>
      <c r="AU87">
        <v>0</v>
      </c>
      <c r="AV87">
        <f t="shared" si="17"/>
        <v>0</v>
      </c>
      <c r="AW87">
        <f t="shared" si="18"/>
        <v>-1</v>
      </c>
      <c r="AX87">
        <f t="shared" si="19"/>
        <v>0</v>
      </c>
      <c r="AY87">
        <f t="shared" si="20"/>
        <v>0</v>
      </c>
      <c r="AZ87">
        <f t="shared" si="21"/>
        <v>0</v>
      </c>
      <c r="BA87">
        <f t="shared" si="22"/>
        <v>0</v>
      </c>
      <c r="BB87">
        <f t="shared" si="23"/>
        <v>1</v>
      </c>
      <c r="BC87">
        <f>MATCH($B87,clean_historis!$B:$B,0)</f>
        <v>87</v>
      </c>
      <c r="BD87">
        <f>IFERROR(INDEX(clean_historis!$AF:$AF,$BC87)/INDEX(clean_historis!$V:$V,$BC87),0)</f>
        <v>1</v>
      </c>
      <c r="BE87">
        <f>IFERROR(INDEX(clean_historis!$AR:$AR,$BC87)/INDEX(clean_historis!$AH:$AH,$BC87),0)</f>
        <v>1</v>
      </c>
      <c r="BF87">
        <f t="shared" si="24"/>
        <v>0</v>
      </c>
      <c r="BG87">
        <f>MAX(IF(INDEX(clean_historis!$CL:$CL,$BC87)=1,2025,0),IF(INDEX(clean_historis!$CK:$CK,$BC87)=1,2024,0),IF(INDEX(clean_historis!$CJ:$CJ,$BC87)=1,2023,0),IF(INDEX(clean_historis!$CI:$CI,$BC87)=1,2022,0),IF(INDEX(clean_historis!$CH:$CH,$BC87)=1,2021,0))</f>
        <v>2025</v>
      </c>
      <c r="BH87">
        <f t="shared" si="25"/>
        <v>0</v>
      </c>
      <c r="BI87">
        <f t="shared" si="26"/>
        <v>0</v>
      </c>
      <c r="BJ87">
        <f t="shared" si="27"/>
        <v>1</v>
      </c>
      <c r="BK87">
        <f t="shared" si="28"/>
        <v>31.249299999999995</v>
      </c>
      <c r="BL87">
        <f t="shared" si="29"/>
        <v>0</v>
      </c>
      <c r="BM87">
        <f t="shared" si="30"/>
        <v>0</v>
      </c>
      <c r="BN87">
        <v>0</v>
      </c>
      <c r="BO87">
        <f t="shared" si="33"/>
        <v>1</v>
      </c>
      <c r="BP87">
        <f t="shared" si="31"/>
        <v>1</v>
      </c>
      <c r="BQ87">
        <f t="shared" si="32"/>
        <v>1</v>
      </c>
    </row>
    <row r="88" spans="1:69" x14ac:dyDescent="0.25">
      <c r="A88">
        <v>87</v>
      </c>
      <c r="B88" t="s">
        <v>453</v>
      </c>
      <c r="C88" t="s">
        <v>454</v>
      </c>
      <c r="D88" t="s">
        <v>455</v>
      </c>
      <c r="E88" t="s">
        <v>456</v>
      </c>
      <c r="F88" t="s">
        <v>363</v>
      </c>
      <c r="G88">
        <v>1</v>
      </c>
      <c r="H88">
        <v>1</v>
      </c>
      <c r="I88">
        <v>670</v>
      </c>
      <c r="J88">
        <v>0</v>
      </c>
      <c r="K88">
        <v>0</v>
      </c>
      <c r="L88">
        <v>9408.8282999999992</v>
      </c>
      <c r="M88">
        <v>9355</v>
      </c>
      <c r="N88">
        <v>14749.7</v>
      </c>
      <c r="O88">
        <v>139.69999999999999</v>
      </c>
      <c r="P88">
        <v>41472.5</v>
      </c>
      <c r="Q88">
        <v>0</v>
      </c>
      <c r="R88">
        <v>0</v>
      </c>
      <c r="S88">
        <v>0</v>
      </c>
      <c r="T88">
        <v>0</v>
      </c>
      <c r="U88">
        <v>0</v>
      </c>
      <c r="V88">
        <v>0.56999999999999995</v>
      </c>
      <c r="W88">
        <v>0.56999999284744263</v>
      </c>
      <c r="X88">
        <v>0</v>
      </c>
      <c r="Y88">
        <v>0</v>
      </c>
      <c r="Z88">
        <v>0</v>
      </c>
      <c r="AA88">
        <v>0</v>
      </c>
      <c r="AB88">
        <v>0.27000001072883612</v>
      </c>
      <c r="AC88">
        <v>0.10000000149011611</v>
      </c>
      <c r="AD88">
        <v>0.20000000298023221</v>
      </c>
      <c r="AE88">
        <v>0.27000001072883612</v>
      </c>
      <c r="AF88">
        <v>0.30000000447034841</v>
      </c>
      <c r="AG88">
        <v>0.47368421671793393</v>
      </c>
      <c r="AH88">
        <v>0.52631578328206619</v>
      </c>
      <c r="AI88">
        <v>150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R88">
        <v>0</v>
      </c>
      <c r="AS88">
        <v>0</v>
      </c>
      <c r="AT88">
        <v>0</v>
      </c>
      <c r="AU88">
        <v>0</v>
      </c>
      <c r="AV88">
        <f t="shared" si="17"/>
        <v>0.35087719298245618</v>
      </c>
      <c r="AW88">
        <f t="shared" si="18"/>
        <v>5.228477539809262E-9</v>
      </c>
      <c r="AX88">
        <f t="shared" si="19"/>
        <v>235.08772280132558</v>
      </c>
      <c r="AY88">
        <f t="shared" si="20"/>
        <v>0</v>
      </c>
      <c r="AZ88">
        <f t="shared" si="21"/>
        <v>0.20000000298023221</v>
      </c>
      <c r="BA88" t="str">
        <f t="shared" si="22"/>
        <v/>
      </c>
      <c r="BB88">
        <f t="shared" si="23"/>
        <v>0.47368421671793393</v>
      </c>
      <c r="BC88">
        <f>MATCH($B88,clean_historis!$B:$B,0)</f>
        <v>88</v>
      </c>
      <c r="BD88">
        <f>IFERROR(INDEX(clean_historis!$AF:$AF,$BC88)/INDEX(clean_historis!$V:$V,$BC88),0)</f>
        <v>0</v>
      </c>
      <c r="BE88">
        <f>IFERROR(INDEX(clean_historis!$AR:$AR,$BC88)/INDEX(clean_historis!$AH:$AH,$BC88),0)</f>
        <v>0.35087719298245618</v>
      </c>
      <c r="BF88">
        <f t="shared" si="24"/>
        <v>0.35087719821093372</v>
      </c>
      <c r="BG88">
        <f>MAX(IF(INDEX(clean_historis!$CL:$CL,$BC88)=1,2025,0),IF(INDEX(clean_historis!$CK:$CK,$BC88)=1,2024,0),IF(INDEX(clean_historis!$CJ:$CJ,$BC88)=1,2023,0),IF(INDEX(clean_historis!$CI:$CI,$BC88)=1,2022,0),IF(INDEX(clean_historis!$CH:$CH,$BC88)=1,2021,0))</f>
        <v>0</v>
      </c>
      <c r="BH88">
        <f t="shared" si="25"/>
        <v>0.52631578328206607</v>
      </c>
      <c r="BI88">
        <f t="shared" si="26"/>
        <v>352.63157479898427</v>
      </c>
      <c r="BJ88">
        <f t="shared" si="27"/>
        <v>0</v>
      </c>
      <c r="BK88">
        <f t="shared" si="28"/>
        <v>74.986028300000001</v>
      </c>
      <c r="BL88">
        <f t="shared" si="29"/>
        <v>0</v>
      </c>
      <c r="BM88">
        <f t="shared" si="30"/>
        <v>1</v>
      </c>
      <c r="BN88">
        <v>0</v>
      </c>
      <c r="BO88">
        <f t="shared" si="33"/>
        <v>1</v>
      </c>
      <c r="BP88">
        <f t="shared" si="31"/>
        <v>0</v>
      </c>
      <c r="BQ88">
        <f t="shared" si="32"/>
        <v>1</v>
      </c>
    </row>
    <row r="89" spans="1:69" x14ac:dyDescent="0.25">
      <c r="A89">
        <v>88</v>
      </c>
      <c r="B89" t="s">
        <v>457</v>
      </c>
      <c r="C89" t="s">
        <v>458</v>
      </c>
      <c r="D89" t="s">
        <v>459</v>
      </c>
      <c r="E89" t="s">
        <v>460</v>
      </c>
      <c r="F89" t="s">
        <v>105</v>
      </c>
      <c r="G89">
        <v>2</v>
      </c>
      <c r="H89">
        <v>1</v>
      </c>
      <c r="I89">
        <v>903</v>
      </c>
      <c r="J89">
        <v>0</v>
      </c>
      <c r="K89">
        <v>0</v>
      </c>
      <c r="L89">
        <v>2999</v>
      </c>
      <c r="M89">
        <v>3569.4</v>
      </c>
      <c r="N89">
        <v>8755.4</v>
      </c>
      <c r="O89">
        <v>786</v>
      </c>
      <c r="P89">
        <v>9035.9</v>
      </c>
      <c r="Q89">
        <v>0</v>
      </c>
      <c r="R89">
        <v>0</v>
      </c>
      <c r="S89">
        <v>0</v>
      </c>
      <c r="T89">
        <v>0</v>
      </c>
      <c r="U89">
        <v>0</v>
      </c>
      <c r="V89">
        <v>2.12</v>
      </c>
      <c r="W89">
        <v>0</v>
      </c>
      <c r="X89">
        <v>0</v>
      </c>
      <c r="Y89">
        <v>1.6000000238418579</v>
      </c>
      <c r="Z89">
        <v>0</v>
      </c>
      <c r="AA89">
        <v>0</v>
      </c>
      <c r="AB89">
        <v>0.10000000149011611</v>
      </c>
      <c r="AC89">
        <v>0.30000001192092901</v>
      </c>
      <c r="AD89">
        <v>1.200000047683716</v>
      </c>
      <c r="AE89">
        <v>0.10000000149011611</v>
      </c>
      <c r="AF89">
        <v>1.500000059604645</v>
      </c>
      <c r="AG89">
        <v>6.2499998544808533E-2</v>
      </c>
      <c r="AH89">
        <v>0.93750000145519141</v>
      </c>
      <c r="AI89">
        <v>150</v>
      </c>
      <c r="AJ89">
        <v>0</v>
      </c>
      <c r="AK89">
        <v>0.10000000149011611</v>
      </c>
      <c r="AL89">
        <v>0.30000001192092901</v>
      </c>
      <c r="AM89">
        <v>1.200000047683716</v>
      </c>
      <c r="AN89">
        <v>1</v>
      </c>
      <c r="AO89">
        <v>3</v>
      </c>
      <c r="AP89">
        <v>2023</v>
      </c>
      <c r="AQ89">
        <v>3</v>
      </c>
      <c r="AR89">
        <v>0</v>
      </c>
      <c r="AS89">
        <v>0</v>
      </c>
      <c r="AT89">
        <v>0</v>
      </c>
      <c r="AU89">
        <v>1</v>
      </c>
      <c r="AV89">
        <f t="shared" si="17"/>
        <v>0.18867924528301883</v>
      </c>
      <c r="AW89">
        <f t="shared" si="18"/>
        <v>-0.15094337373409616</v>
      </c>
      <c r="AX89">
        <f t="shared" si="19"/>
        <v>511.13209578226207</v>
      </c>
      <c r="AY89">
        <f t="shared" si="20"/>
        <v>0</v>
      </c>
      <c r="AZ89">
        <f t="shared" si="21"/>
        <v>1.200000047683716</v>
      </c>
      <c r="BA89" t="str">
        <f t="shared" si="22"/>
        <v/>
      </c>
      <c r="BB89">
        <f t="shared" si="23"/>
        <v>6.2499998544808533E-2</v>
      </c>
      <c r="BC89">
        <f>MATCH($B89,clean_historis!$B:$B,0)</f>
        <v>89</v>
      </c>
      <c r="BD89">
        <f>IFERROR(INDEX(clean_historis!$AF:$AF,$BC89)/INDEX(clean_historis!$V:$V,$BC89),0)</f>
        <v>0.52830188679245282</v>
      </c>
      <c r="BE89">
        <f>IFERROR(INDEX(clean_historis!$AR:$AR,$BC89)/INDEX(clean_historis!$AH:$AH,$BC89),0)</f>
        <v>0.71698113207547165</v>
      </c>
      <c r="BF89">
        <f t="shared" si="24"/>
        <v>0.56603775834137549</v>
      </c>
      <c r="BG89">
        <f>MAX(IF(INDEX(clean_historis!$CL:$CL,$BC89)=1,2025,0),IF(INDEX(clean_historis!$CK:$CK,$BC89)=1,2024,0),IF(INDEX(clean_historis!$CJ:$CJ,$BC89)=1,2023,0),IF(INDEX(clean_historis!$CI:$CI,$BC89)=1,2022,0),IF(INDEX(clean_historis!$CH:$CH,$BC89)=1,2021,0))</f>
        <v>0</v>
      </c>
      <c r="BH89">
        <f t="shared" si="25"/>
        <v>0.93750000145519152</v>
      </c>
      <c r="BI89">
        <f t="shared" si="26"/>
        <v>846.56250131403795</v>
      </c>
      <c r="BJ89">
        <f t="shared" si="27"/>
        <v>0</v>
      </c>
      <c r="BK89">
        <f t="shared" si="28"/>
        <v>24.3597</v>
      </c>
      <c r="BL89">
        <f t="shared" si="29"/>
        <v>0</v>
      </c>
      <c r="BM89">
        <f t="shared" si="30"/>
        <v>1</v>
      </c>
      <c r="BN89">
        <v>1</v>
      </c>
      <c r="BO89">
        <f t="shared" si="33"/>
        <v>0</v>
      </c>
      <c r="BP89">
        <f t="shared" si="31"/>
        <v>1</v>
      </c>
      <c r="BQ89">
        <f t="shared" si="32"/>
        <v>1</v>
      </c>
    </row>
    <row r="90" spans="1:69" x14ac:dyDescent="0.25">
      <c r="A90">
        <v>89</v>
      </c>
      <c r="B90" t="s">
        <v>461</v>
      </c>
      <c r="C90" t="s">
        <v>462</v>
      </c>
      <c r="D90" t="s">
        <v>463</v>
      </c>
      <c r="E90" t="s">
        <v>464</v>
      </c>
      <c r="F90" t="s">
        <v>105</v>
      </c>
      <c r="G90">
        <v>2</v>
      </c>
      <c r="H90">
        <v>1</v>
      </c>
      <c r="I90">
        <v>1354</v>
      </c>
      <c r="J90">
        <v>0</v>
      </c>
      <c r="K90">
        <v>0</v>
      </c>
      <c r="L90">
        <v>2693.7</v>
      </c>
      <c r="M90">
        <v>1953.7</v>
      </c>
      <c r="N90">
        <v>5995.5</v>
      </c>
      <c r="O90">
        <v>1377.9</v>
      </c>
      <c r="P90">
        <v>6160.2</v>
      </c>
      <c r="Q90">
        <v>0</v>
      </c>
      <c r="R90">
        <v>0</v>
      </c>
      <c r="S90">
        <v>0</v>
      </c>
      <c r="T90">
        <v>0</v>
      </c>
      <c r="U90">
        <v>0</v>
      </c>
      <c r="V90">
        <v>1.91</v>
      </c>
      <c r="W90">
        <v>0</v>
      </c>
      <c r="X90">
        <v>0</v>
      </c>
      <c r="Y90">
        <v>1.9099999666213989</v>
      </c>
      <c r="Z90">
        <v>0</v>
      </c>
      <c r="AA90">
        <v>1.809999942779541</v>
      </c>
      <c r="AB90">
        <v>0.10000000149011611</v>
      </c>
      <c r="AC90">
        <v>0</v>
      </c>
      <c r="AD90">
        <v>0</v>
      </c>
      <c r="AE90">
        <v>1.9099999442696569</v>
      </c>
      <c r="AF90">
        <v>0</v>
      </c>
      <c r="AG90">
        <v>1</v>
      </c>
      <c r="AH90">
        <v>0</v>
      </c>
      <c r="AI90">
        <v>150</v>
      </c>
      <c r="AJ90">
        <v>1.809999942779541</v>
      </c>
      <c r="AK90">
        <v>0.10000000149011611</v>
      </c>
      <c r="AL90">
        <v>0</v>
      </c>
      <c r="AM90">
        <v>0</v>
      </c>
      <c r="AN90">
        <v>1</v>
      </c>
      <c r="AO90">
        <v>4</v>
      </c>
      <c r="AP90">
        <v>2024</v>
      </c>
      <c r="AQ90">
        <v>2</v>
      </c>
      <c r="AR90">
        <v>1</v>
      </c>
      <c r="AS90">
        <v>1</v>
      </c>
      <c r="AT90">
        <v>0</v>
      </c>
      <c r="AU90">
        <v>0</v>
      </c>
      <c r="AV90">
        <f t="shared" si="17"/>
        <v>-0.79057591623036649</v>
      </c>
      <c r="AW90">
        <f t="shared" si="18"/>
        <v>0</v>
      </c>
      <c r="AX90">
        <f t="shared" si="19"/>
        <v>0</v>
      </c>
      <c r="AY90">
        <f t="shared" si="20"/>
        <v>0</v>
      </c>
      <c r="AZ90">
        <f t="shared" si="21"/>
        <v>0</v>
      </c>
      <c r="BA90">
        <f t="shared" si="22"/>
        <v>1</v>
      </c>
      <c r="BB90">
        <f t="shared" si="23"/>
        <v>1</v>
      </c>
      <c r="BC90">
        <f>MATCH($B90,clean_historis!$B:$B,0)</f>
        <v>90</v>
      </c>
      <c r="BD90">
        <f>IFERROR(INDEX(clean_historis!$AF:$AF,$BC90)/INDEX(clean_historis!$V:$V,$BC90),0)</f>
        <v>0.79057591623036649</v>
      </c>
      <c r="BE90">
        <f>IFERROR(INDEX(clean_historis!$AR:$AR,$BC90)/INDEX(clean_historis!$AH:$AH,$BC90),0)</f>
        <v>0</v>
      </c>
      <c r="BF90">
        <f t="shared" si="24"/>
        <v>0</v>
      </c>
      <c r="BG90">
        <f>MAX(IF(INDEX(clean_historis!$CL:$CL,$BC90)=1,2025,0),IF(INDEX(clean_historis!$CK:$CK,$BC90)=1,2024,0),IF(INDEX(clean_historis!$CJ:$CJ,$BC90)=1,2023,0),IF(INDEX(clean_historis!$CI:$CI,$BC90)=1,2022,0),IF(INDEX(clean_historis!$CH:$CH,$BC90)=1,2021,0))</f>
        <v>2024</v>
      </c>
      <c r="BH90">
        <f t="shared" si="25"/>
        <v>0</v>
      </c>
      <c r="BI90">
        <f t="shared" si="26"/>
        <v>0</v>
      </c>
      <c r="BJ90">
        <f t="shared" si="27"/>
        <v>0</v>
      </c>
      <c r="BK90">
        <f t="shared" si="28"/>
        <v>16.803099999999997</v>
      </c>
      <c r="BL90">
        <f t="shared" si="29"/>
        <v>0</v>
      </c>
      <c r="BM90">
        <f t="shared" si="30"/>
        <v>0</v>
      </c>
      <c r="BN90">
        <v>0</v>
      </c>
      <c r="BO90">
        <f t="shared" si="33"/>
        <v>0</v>
      </c>
      <c r="BP90">
        <f t="shared" si="31"/>
        <v>1</v>
      </c>
      <c r="BQ90">
        <f t="shared" si="32"/>
        <v>0</v>
      </c>
    </row>
    <row r="91" spans="1:69" x14ac:dyDescent="0.25">
      <c r="A91">
        <v>90</v>
      </c>
      <c r="B91" t="s">
        <v>465</v>
      </c>
      <c r="C91" t="s">
        <v>466</v>
      </c>
      <c r="D91" t="s">
        <v>467</v>
      </c>
      <c r="E91" t="s">
        <v>468</v>
      </c>
      <c r="F91" t="s">
        <v>469</v>
      </c>
      <c r="G91">
        <v>3</v>
      </c>
      <c r="H91">
        <v>2</v>
      </c>
      <c r="I91">
        <v>810</v>
      </c>
      <c r="J91">
        <v>0</v>
      </c>
      <c r="K91">
        <v>1</v>
      </c>
      <c r="L91">
        <v>18029.7</v>
      </c>
      <c r="M91">
        <v>13987</v>
      </c>
      <c r="N91">
        <v>20240.099999999999</v>
      </c>
      <c r="O91">
        <v>409.1</v>
      </c>
      <c r="P91">
        <v>20142.5</v>
      </c>
      <c r="Q91">
        <v>0</v>
      </c>
      <c r="R91">
        <v>0</v>
      </c>
      <c r="S91">
        <v>0</v>
      </c>
      <c r="T91">
        <v>0</v>
      </c>
      <c r="U91">
        <v>0</v>
      </c>
      <c r="V91">
        <v>7.78</v>
      </c>
      <c r="W91">
        <v>0</v>
      </c>
      <c r="X91">
        <v>0</v>
      </c>
      <c r="Y91">
        <v>5.880000114440918</v>
      </c>
      <c r="Z91">
        <v>0</v>
      </c>
      <c r="AA91">
        <v>0</v>
      </c>
      <c r="AB91">
        <v>4.179999828338623</v>
      </c>
      <c r="AC91">
        <v>0.89999997615814209</v>
      </c>
      <c r="AD91">
        <v>0.80000001192092896</v>
      </c>
      <c r="AE91">
        <v>4.179999828338623</v>
      </c>
      <c r="AF91">
        <v>1.699999988079071</v>
      </c>
      <c r="AG91">
        <v>0.71088434674224676</v>
      </c>
      <c r="AH91">
        <v>0.28911565325775329</v>
      </c>
      <c r="AI91">
        <v>150</v>
      </c>
      <c r="AJ91">
        <v>0</v>
      </c>
      <c r="AK91">
        <v>4.179999828338623</v>
      </c>
      <c r="AL91">
        <v>0.89999997615814209</v>
      </c>
      <c r="AM91">
        <v>0.80000001192092896</v>
      </c>
      <c r="AN91">
        <v>1</v>
      </c>
      <c r="AO91">
        <v>1</v>
      </c>
      <c r="AP91">
        <v>2024</v>
      </c>
      <c r="AQ91">
        <v>2</v>
      </c>
      <c r="AR91">
        <v>0</v>
      </c>
      <c r="AS91">
        <v>0</v>
      </c>
      <c r="AT91">
        <v>0</v>
      </c>
      <c r="AU91">
        <v>1</v>
      </c>
      <c r="AV91">
        <f t="shared" si="17"/>
        <v>1.6653345369377348E-16</v>
      </c>
      <c r="AW91">
        <f t="shared" si="18"/>
        <v>-0.14138817327494502</v>
      </c>
      <c r="AX91">
        <f t="shared" si="19"/>
        <v>83.290489673001602</v>
      </c>
      <c r="AY91">
        <f t="shared" si="20"/>
        <v>0</v>
      </c>
      <c r="AZ91">
        <f t="shared" si="21"/>
        <v>0.80000001192092896</v>
      </c>
      <c r="BA91">
        <f t="shared" si="22"/>
        <v>1</v>
      </c>
      <c r="BB91">
        <f t="shared" si="23"/>
        <v>0.71088434674224676</v>
      </c>
      <c r="BC91">
        <f>MATCH($B91,clean_historis!$B:$B,0)</f>
        <v>91</v>
      </c>
      <c r="BD91">
        <f>IFERROR(INDEX(clean_historis!$AF:$AF,$BC91)/INDEX(clean_historis!$V:$V,$BC91),0)</f>
        <v>0.24421593830334187</v>
      </c>
      <c r="BE91">
        <f>IFERROR(INDEX(clean_historis!$AR:$AR,$BC91)/INDEX(clean_historis!$AH:$AH,$BC91),0)</f>
        <v>0.24421593830334204</v>
      </c>
      <c r="BF91">
        <f t="shared" si="24"/>
        <v>0.10282776502839704</v>
      </c>
      <c r="BG91">
        <f>MAX(IF(INDEX(clean_historis!$CL:$CL,$BC91)=1,2025,0),IF(INDEX(clean_historis!$CK:$CK,$BC91)=1,2024,0),IF(INDEX(clean_historis!$CJ:$CJ,$BC91)=1,2023,0),IF(INDEX(clean_historis!$CI:$CI,$BC91)=1,2022,0),IF(INDEX(clean_historis!$CH:$CH,$BC91)=1,2021,0))</f>
        <v>2024</v>
      </c>
      <c r="BH91">
        <f t="shared" si="25"/>
        <v>0.28911565325775324</v>
      </c>
      <c r="BI91">
        <f t="shared" si="26"/>
        <v>234.18367913878012</v>
      </c>
      <c r="BJ91">
        <f t="shared" si="27"/>
        <v>0</v>
      </c>
      <c r="BK91">
        <f t="shared" si="28"/>
        <v>72.399299999999982</v>
      </c>
      <c r="BL91">
        <f t="shared" si="29"/>
        <v>0</v>
      </c>
      <c r="BM91">
        <f t="shared" si="30"/>
        <v>0</v>
      </c>
      <c r="BN91">
        <v>1</v>
      </c>
      <c r="BO91">
        <f t="shared" si="33"/>
        <v>0</v>
      </c>
      <c r="BP91">
        <f t="shared" si="31"/>
        <v>1</v>
      </c>
      <c r="BQ91">
        <f t="shared" si="32"/>
        <v>0</v>
      </c>
    </row>
    <row r="92" spans="1:69" x14ac:dyDescent="0.2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132</v>
      </c>
      <c r="G92">
        <v>1</v>
      </c>
      <c r="H92">
        <v>1</v>
      </c>
      <c r="I92">
        <v>166</v>
      </c>
      <c r="J92">
        <v>0</v>
      </c>
      <c r="K92">
        <v>0</v>
      </c>
      <c r="L92">
        <v>23529</v>
      </c>
      <c r="M92">
        <v>19486.3</v>
      </c>
      <c r="N92">
        <v>25739.4</v>
      </c>
      <c r="O92">
        <v>2928.3</v>
      </c>
      <c r="P92">
        <v>25641.8</v>
      </c>
      <c r="Q92">
        <v>0</v>
      </c>
      <c r="R92">
        <v>0</v>
      </c>
      <c r="S92">
        <v>0</v>
      </c>
      <c r="T92">
        <v>0</v>
      </c>
      <c r="U92">
        <v>0</v>
      </c>
      <c r="V92">
        <v>0.97</v>
      </c>
      <c r="W92">
        <v>0.87000000476837158</v>
      </c>
      <c r="X92">
        <v>0.10000000149011611</v>
      </c>
      <c r="Y92">
        <v>0</v>
      </c>
      <c r="Z92">
        <v>0</v>
      </c>
      <c r="AA92">
        <v>0</v>
      </c>
      <c r="AB92">
        <v>0.10000000149011611</v>
      </c>
      <c r="AC92">
        <v>0.30000001192092901</v>
      </c>
      <c r="AD92">
        <v>0.56999999284744263</v>
      </c>
      <c r="AE92">
        <v>0.10000000149011611</v>
      </c>
      <c r="AF92">
        <v>0.87000000476837158</v>
      </c>
      <c r="AG92">
        <v>0.10309278437619709</v>
      </c>
      <c r="AH92">
        <v>0.89690721562380293</v>
      </c>
      <c r="AI92">
        <v>150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2023</v>
      </c>
      <c r="AQ92">
        <v>3</v>
      </c>
      <c r="AR92">
        <v>0</v>
      </c>
      <c r="AS92">
        <v>0</v>
      </c>
      <c r="AT92">
        <v>0</v>
      </c>
      <c r="AU92">
        <v>0</v>
      </c>
      <c r="AV92">
        <f t="shared" si="17"/>
        <v>-1.1102230246251565E-16</v>
      </c>
      <c r="AW92">
        <f t="shared" si="18"/>
        <v>-0.10309279087892509</v>
      </c>
      <c r="AX92">
        <f t="shared" si="19"/>
        <v>97.546390528531418</v>
      </c>
      <c r="AY92">
        <f t="shared" si="20"/>
        <v>0</v>
      </c>
      <c r="AZ92">
        <f t="shared" si="21"/>
        <v>0.56999999284744263</v>
      </c>
      <c r="BA92" t="str">
        <f t="shared" si="22"/>
        <v/>
      </c>
      <c r="BB92">
        <f t="shared" si="23"/>
        <v>0.10309278437619709</v>
      </c>
      <c r="BC92">
        <f>MATCH($B92,clean_historis!$B:$B,0)</f>
        <v>92</v>
      </c>
      <c r="BD92">
        <f>IFERROR(INDEX(clean_historis!$AF:$AF,$BC92)/INDEX(clean_historis!$V:$V,$BC92),0)</f>
        <v>0.69072164948453618</v>
      </c>
      <c r="BE92">
        <f>IFERROR(INDEX(clean_historis!$AR:$AR,$BC92)/INDEX(clean_historis!$AH:$AH,$BC92),0)</f>
        <v>0.69072164948453607</v>
      </c>
      <c r="BF92">
        <f t="shared" si="24"/>
        <v>0.58762885860561098</v>
      </c>
      <c r="BG92">
        <f>MAX(IF(INDEX(clean_historis!$CL:$CL,$BC92)=1,2025,0),IF(INDEX(clean_historis!$CK:$CK,$BC92)=1,2024,0),IF(INDEX(clean_historis!$CJ:$CJ,$BC92)=1,2023,0),IF(INDEX(clean_historis!$CI:$CI,$BC92)=1,2022,0),IF(INDEX(clean_historis!$CH:$CH,$BC92)=1,2021,0))</f>
        <v>0</v>
      </c>
      <c r="BH92">
        <f t="shared" si="25"/>
        <v>0.89690721562380293</v>
      </c>
      <c r="BI92">
        <f t="shared" si="26"/>
        <v>148.88659779355129</v>
      </c>
      <c r="BJ92">
        <f t="shared" si="27"/>
        <v>0</v>
      </c>
      <c r="BK92">
        <f t="shared" si="28"/>
        <v>94.396500000000017</v>
      </c>
      <c r="BL92">
        <f t="shared" si="29"/>
        <v>0</v>
      </c>
      <c r="BM92">
        <f t="shared" si="30"/>
        <v>1</v>
      </c>
      <c r="BN92">
        <v>0</v>
      </c>
      <c r="BO92">
        <f t="shared" si="33"/>
        <v>1</v>
      </c>
      <c r="BP92">
        <f t="shared" si="31"/>
        <v>1</v>
      </c>
      <c r="BQ92">
        <f t="shared" si="32"/>
        <v>1</v>
      </c>
    </row>
    <row r="93" spans="1:69" x14ac:dyDescent="0.25">
      <c r="A93">
        <v>92</v>
      </c>
      <c r="B93" t="s">
        <v>474</v>
      </c>
      <c r="C93" t="s">
        <v>475</v>
      </c>
      <c r="D93" t="s">
        <v>476</v>
      </c>
      <c r="E93" t="s">
        <v>477</v>
      </c>
      <c r="F93" t="s">
        <v>132</v>
      </c>
      <c r="G93">
        <v>2</v>
      </c>
      <c r="H93">
        <v>1</v>
      </c>
      <c r="I93">
        <v>622</v>
      </c>
      <c r="J93">
        <v>0</v>
      </c>
      <c r="K93">
        <v>0</v>
      </c>
      <c r="L93">
        <v>20707.8</v>
      </c>
      <c r="M93">
        <v>16665</v>
      </c>
      <c r="N93">
        <v>22918.2</v>
      </c>
      <c r="O93">
        <v>1957.6</v>
      </c>
      <c r="P93">
        <v>22820.5</v>
      </c>
      <c r="Q93">
        <v>0</v>
      </c>
      <c r="R93">
        <v>0</v>
      </c>
      <c r="S93">
        <v>0</v>
      </c>
      <c r="T93">
        <v>0</v>
      </c>
      <c r="U93">
        <v>0</v>
      </c>
      <c r="V93">
        <v>4.1900000000000004</v>
      </c>
      <c r="W93">
        <v>0</v>
      </c>
      <c r="X93">
        <v>0</v>
      </c>
      <c r="Y93">
        <v>4.190000057220459</v>
      </c>
      <c r="Z93">
        <v>0</v>
      </c>
      <c r="AA93">
        <v>0.69999998807907104</v>
      </c>
      <c r="AB93">
        <v>2.4900000095367432</v>
      </c>
      <c r="AC93">
        <v>1</v>
      </c>
      <c r="AD93">
        <v>0</v>
      </c>
      <c r="AE93">
        <v>3.1899999976158142</v>
      </c>
      <c r="AF93">
        <v>1</v>
      </c>
      <c r="AG93">
        <v>0.76133651537732261</v>
      </c>
      <c r="AH93">
        <v>0.23866348462267731</v>
      </c>
      <c r="AI93">
        <v>150</v>
      </c>
      <c r="AJ93">
        <v>0.69999998807907104</v>
      </c>
      <c r="AK93">
        <v>2.4900000095367432</v>
      </c>
      <c r="AL93">
        <v>1</v>
      </c>
      <c r="AM93">
        <v>0</v>
      </c>
      <c r="AN93">
        <v>1</v>
      </c>
      <c r="AO93">
        <v>1</v>
      </c>
      <c r="AP93">
        <v>2024</v>
      </c>
      <c r="AQ93">
        <v>2</v>
      </c>
      <c r="AR93">
        <v>0</v>
      </c>
      <c r="AS93">
        <v>0</v>
      </c>
      <c r="AT93">
        <v>0</v>
      </c>
      <c r="AU93">
        <v>0</v>
      </c>
      <c r="AV93">
        <f t="shared" si="17"/>
        <v>0</v>
      </c>
      <c r="AW93">
        <f t="shared" si="18"/>
        <v>0</v>
      </c>
      <c r="AX93">
        <f t="shared" si="19"/>
        <v>0</v>
      </c>
      <c r="AY93">
        <f t="shared" si="20"/>
        <v>0</v>
      </c>
      <c r="AZ93">
        <f t="shared" si="21"/>
        <v>0</v>
      </c>
      <c r="BA93" t="str">
        <f t="shared" si="22"/>
        <v/>
      </c>
      <c r="BB93">
        <f t="shared" si="23"/>
        <v>0.76133651537732261</v>
      </c>
      <c r="BC93">
        <f>MATCH($B93,clean_historis!$B:$B,0)</f>
        <v>93</v>
      </c>
      <c r="BD93">
        <f>IFERROR(INDEX(clean_historis!$AF:$AF,$BC93)/INDEX(clean_historis!$V:$V,$BC93),0)</f>
        <v>0</v>
      </c>
      <c r="BE93">
        <f>IFERROR(INDEX(clean_historis!$AR:$AR,$BC93)/INDEX(clean_historis!$AH:$AH,$BC93),0)</f>
        <v>0</v>
      </c>
      <c r="BF93">
        <f t="shared" si="24"/>
        <v>0</v>
      </c>
      <c r="BG93">
        <f>MAX(IF(INDEX(clean_historis!$CL:$CL,$BC93)=1,2025,0),IF(INDEX(clean_historis!$CK:$CK,$BC93)=1,2024,0),IF(INDEX(clean_historis!$CJ:$CJ,$BC93)=1,2023,0),IF(INDEX(clean_historis!$CI:$CI,$BC93)=1,2022,0),IF(INDEX(clean_historis!$CH:$CH,$BC93)=1,2021,0))</f>
        <v>0</v>
      </c>
      <c r="BH93">
        <f t="shared" si="25"/>
        <v>0.23866348462267739</v>
      </c>
      <c r="BI93">
        <f t="shared" si="26"/>
        <v>148.44868743530535</v>
      </c>
      <c r="BJ93">
        <f t="shared" si="27"/>
        <v>0</v>
      </c>
      <c r="BK93">
        <f t="shared" si="28"/>
        <v>83.111500000000007</v>
      </c>
      <c r="BL93">
        <f t="shared" si="29"/>
        <v>0</v>
      </c>
      <c r="BM93">
        <f t="shared" si="30"/>
        <v>0</v>
      </c>
      <c r="BN93">
        <v>0</v>
      </c>
      <c r="BO93">
        <f t="shared" si="33"/>
        <v>0</v>
      </c>
      <c r="BP93">
        <f t="shared" si="31"/>
        <v>1</v>
      </c>
      <c r="BQ93">
        <f t="shared" si="32"/>
        <v>0</v>
      </c>
    </row>
    <row r="94" spans="1:69" x14ac:dyDescent="0.25">
      <c r="A94">
        <v>93</v>
      </c>
      <c r="B94" t="s">
        <v>238</v>
      </c>
      <c r="C94" t="s">
        <v>478</v>
      </c>
      <c r="D94" t="s">
        <v>479</v>
      </c>
      <c r="E94" t="s">
        <v>480</v>
      </c>
      <c r="F94" t="s">
        <v>132</v>
      </c>
      <c r="G94">
        <v>1</v>
      </c>
      <c r="H94">
        <v>1</v>
      </c>
      <c r="I94">
        <v>251</v>
      </c>
      <c r="J94">
        <v>0</v>
      </c>
      <c r="K94">
        <v>0</v>
      </c>
      <c r="L94">
        <v>17179.099999999999</v>
      </c>
      <c r="M94">
        <v>13136.4</v>
      </c>
      <c r="N94">
        <v>19389.5</v>
      </c>
      <c r="O94">
        <v>558.29999999999995</v>
      </c>
      <c r="P94">
        <v>19291.8</v>
      </c>
      <c r="Q94">
        <v>0</v>
      </c>
      <c r="R94">
        <v>0</v>
      </c>
      <c r="S94">
        <v>0</v>
      </c>
      <c r="T94">
        <v>0</v>
      </c>
      <c r="U94">
        <v>0</v>
      </c>
      <c r="V94">
        <v>0.3</v>
      </c>
      <c r="W94">
        <v>0.20000000298023221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0.20000000298023221</v>
      </c>
      <c r="AD94">
        <v>0</v>
      </c>
      <c r="AE94">
        <v>0</v>
      </c>
      <c r="AF94">
        <v>0.20000000298023221</v>
      </c>
      <c r="AG94">
        <v>0</v>
      </c>
      <c r="AH94">
        <v>1</v>
      </c>
      <c r="AI94">
        <v>150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R94">
        <v>0</v>
      </c>
      <c r="AS94">
        <v>0</v>
      </c>
      <c r="AT94">
        <v>0</v>
      </c>
      <c r="AU94">
        <v>0</v>
      </c>
      <c r="AV94">
        <f t="shared" si="17"/>
        <v>0</v>
      </c>
      <c r="AW94">
        <f t="shared" si="18"/>
        <v>0</v>
      </c>
      <c r="AX94">
        <f t="shared" si="19"/>
        <v>0</v>
      </c>
      <c r="AY94">
        <f t="shared" si="20"/>
        <v>0</v>
      </c>
      <c r="AZ94">
        <f t="shared" si="21"/>
        <v>0</v>
      </c>
      <c r="BA94" t="str">
        <f t="shared" si="22"/>
        <v/>
      </c>
      <c r="BB94">
        <f t="shared" si="23"/>
        <v>0</v>
      </c>
      <c r="BC94">
        <f>MATCH($B94,clean_historis!$B:$B,0)</f>
        <v>34</v>
      </c>
      <c r="BD94">
        <f>IFERROR(INDEX(clean_historis!$AF:$AF,$BC94)/INDEX(clean_historis!$V:$V,$BC94),0)</f>
        <v>0</v>
      </c>
      <c r="BE94">
        <f>IFERROR(INDEX(clean_historis!$AR:$AR,$BC94)/INDEX(clean_historis!$AH:$AH,$BC94),0)</f>
        <v>0</v>
      </c>
      <c r="BF94">
        <f t="shared" si="24"/>
        <v>0</v>
      </c>
      <c r="BG94">
        <f>MAX(IF(INDEX(clean_historis!$CL:$CL,$BC94)=1,2025,0),IF(INDEX(clean_historis!$CK:$CK,$BC94)=1,2024,0),IF(INDEX(clean_historis!$CJ:$CJ,$BC94)=1,2023,0),IF(INDEX(clean_historis!$CI:$CI,$BC94)=1,2022,0),IF(INDEX(clean_historis!$CH:$CH,$BC94)=1,2021,0))</f>
        <v>0</v>
      </c>
      <c r="BH94">
        <f t="shared" si="25"/>
        <v>1</v>
      </c>
      <c r="BI94">
        <f t="shared" si="26"/>
        <v>251</v>
      </c>
      <c r="BJ94">
        <f t="shared" si="27"/>
        <v>0</v>
      </c>
      <c r="BK94">
        <f t="shared" si="28"/>
        <v>68.996799999999993</v>
      </c>
      <c r="BL94">
        <f t="shared" si="29"/>
        <v>0</v>
      </c>
      <c r="BM94">
        <f t="shared" si="30"/>
        <v>0</v>
      </c>
      <c r="BN94">
        <v>0</v>
      </c>
      <c r="BO94">
        <f t="shared" si="33"/>
        <v>1</v>
      </c>
      <c r="BP94">
        <f t="shared" si="31"/>
        <v>0</v>
      </c>
      <c r="BQ94">
        <f t="shared" si="32"/>
        <v>1</v>
      </c>
    </row>
    <row r="95" spans="1:69" x14ac:dyDescent="0.25">
      <c r="A95">
        <v>94</v>
      </c>
      <c r="B95" t="s">
        <v>481</v>
      </c>
      <c r="C95" t="s">
        <v>482</v>
      </c>
      <c r="D95" t="s">
        <v>483</v>
      </c>
      <c r="E95" t="s">
        <v>484</v>
      </c>
      <c r="F95" t="s">
        <v>176</v>
      </c>
      <c r="G95">
        <v>2</v>
      </c>
      <c r="H95">
        <v>1</v>
      </c>
      <c r="I95">
        <v>1505</v>
      </c>
      <c r="J95">
        <v>0</v>
      </c>
      <c r="K95">
        <v>0</v>
      </c>
      <c r="L95">
        <v>2537.1999999999998</v>
      </c>
      <c r="M95">
        <v>2687.3</v>
      </c>
      <c r="N95">
        <v>910.5</v>
      </c>
      <c r="O95">
        <v>858.4</v>
      </c>
      <c r="P95">
        <v>2582.3000000000002</v>
      </c>
      <c r="Q95">
        <v>0</v>
      </c>
      <c r="R95">
        <v>0</v>
      </c>
      <c r="S95">
        <v>0</v>
      </c>
      <c r="T95">
        <v>0</v>
      </c>
      <c r="U95">
        <v>0</v>
      </c>
      <c r="V95">
        <v>0.9</v>
      </c>
      <c r="W95">
        <v>0</v>
      </c>
      <c r="X95">
        <v>0</v>
      </c>
      <c r="Y95">
        <v>0.89999997615814209</v>
      </c>
      <c r="Z95">
        <v>0</v>
      </c>
      <c r="AA95">
        <v>0</v>
      </c>
      <c r="AB95">
        <v>0.80000001192092896</v>
      </c>
      <c r="AC95">
        <v>0.10000000149011611</v>
      </c>
      <c r="AD95">
        <v>0</v>
      </c>
      <c r="AE95">
        <v>0.80000001192092896</v>
      </c>
      <c r="AF95">
        <v>0.10000000149011611</v>
      </c>
      <c r="AG95">
        <v>0.88888888888888884</v>
      </c>
      <c r="AH95">
        <v>0.1111111111111111</v>
      </c>
      <c r="AI95">
        <v>150</v>
      </c>
      <c r="AJ95">
        <v>0</v>
      </c>
      <c r="AK95">
        <v>0.80000001192092896</v>
      </c>
      <c r="AL95">
        <v>0.10000000149011611</v>
      </c>
      <c r="AM95">
        <v>0</v>
      </c>
      <c r="AN95">
        <v>1</v>
      </c>
      <c r="AO95">
        <v>3</v>
      </c>
      <c r="AP95">
        <v>2025</v>
      </c>
      <c r="AQ95">
        <v>1</v>
      </c>
      <c r="AR95">
        <v>0</v>
      </c>
      <c r="AS95">
        <v>0</v>
      </c>
      <c r="AT95">
        <v>0</v>
      </c>
      <c r="AU95">
        <v>0</v>
      </c>
      <c r="AV95">
        <f t="shared" si="17"/>
        <v>0</v>
      </c>
      <c r="AW95">
        <f t="shared" si="18"/>
        <v>0</v>
      </c>
      <c r="AX95">
        <f t="shared" si="19"/>
        <v>0</v>
      </c>
      <c r="AY95">
        <f t="shared" si="20"/>
        <v>0</v>
      </c>
      <c r="AZ95">
        <f t="shared" si="21"/>
        <v>0</v>
      </c>
      <c r="BA95" t="str">
        <f t="shared" si="22"/>
        <v/>
      </c>
      <c r="BB95">
        <f t="shared" si="23"/>
        <v>0.88888888888888884</v>
      </c>
      <c r="BC95">
        <f>MATCH($B95,clean_historis!$B:$B,0)</f>
        <v>95</v>
      </c>
      <c r="BD95">
        <f>IFERROR(INDEX(clean_historis!$AF:$AF,$BC95)/INDEX(clean_historis!$V:$V,$BC95),0)</f>
        <v>0</v>
      </c>
      <c r="BE95">
        <f>IFERROR(INDEX(clean_historis!$AR:$AR,$BC95)/INDEX(clean_historis!$AH:$AH,$BC95),0)</f>
        <v>0</v>
      </c>
      <c r="BF95">
        <f t="shared" si="24"/>
        <v>0</v>
      </c>
      <c r="BG95">
        <f>MAX(IF(INDEX(clean_historis!$CL:$CL,$BC95)=1,2025,0),IF(INDEX(clean_historis!$CK:$CK,$BC95)=1,2024,0),IF(INDEX(clean_historis!$CJ:$CJ,$BC95)=1,2023,0),IF(INDEX(clean_historis!$CI:$CI,$BC95)=1,2022,0),IF(INDEX(clean_historis!$CH:$CH,$BC95)=1,2021,0))</f>
        <v>0</v>
      </c>
      <c r="BH95">
        <f t="shared" si="25"/>
        <v>0.11111111111111116</v>
      </c>
      <c r="BI95">
        <f t="shared" si="26"/>
        <v>167.22222222222229</v>
      </c>
      <c r="BJ95">
        <f t="shared" si="27"/>
        <v>1</v>
      </c>
      <c r="BK95">
        <f t="shared" si="28"/>
        <v>8.7172999999999998</v>
      </c>
      <c r="BL95">
        <f t="shared" si="29"/>
        <v>0</v>
      </c>
      <c r="BM95">
        <f t="shared" si="30"/>
        <v>0</v>
      </c>
      <c r="BN95">
        <v>1</v>
      </c>
      <c r="BO95">
        <f t="shared" si="33"/>
        <v>1</v>
      </c>
      <c r="BP95">
        <f t="shared" si="31"/>
        <v>1</v>
      </c>
      <c r="BQ95">
        <f t="shared" si="32"/>
        <v>1</v>
      </c>
    </row>
    <row r="96" spans="1:69" x14ac:dyDescent="0.25">
      <c r="A96">
        <v>95</v>
      </c>
      <c r="B96" t="s">
        <v>485</v>
      </c>
      <c r="C96" t="s">
        <v>486</v>
      </c>
      <c r="D96" t="s">
        <v>487</v>
      </c>
      <c r="E96" t="s">
        <v>488</v>
      </c>
      <c r="F96" t="s">
        <v>489</v>
      </c>
      <c r="G96">
        <v>2</v>
      </c>
      <c r="H96">
        <v>2</v>
      </c>
      <c r="I96">
        <v>1298</v>
      </c>
      <c r="J96">
        <v>0</v>
      </c>
      <c r="K96">
        <v>0</v>
      </c>
      <c r="L96">
        <v>2325.9</v>
      </c>
      <c r="M96">
        <v>2475.9</v>
      </c>
      <c r="N96">
        <v>1443.4</v>
      </c>
      <c r="O96">
        <v>1418.4</v>
      </c>
      <c r="P96">
        <v>2371</v>
      </c>
      <c r="Q96">
        <v>0</v>
      </c>
      <c r="R96">
        <v>0</v>
      </c>
      <c r="S96">
        <v>0</v>
      </c>
      <c r="T96">
        <v>0</v>
      </c>
      <c r="U96">
        <v>0</v>
      </c>
      <c r="V96">
        <v>1.43</v>
      </c>
      <c r="W96">
        <v>0</v>
      </c>
      <c r="X96">
        <v>0</v>
      </c>
      <c r="Y96">
        <v>1.429999947547913</v>
      </c>
      <c r="Z96">
        <v>0</v>
      </c>
      <c r="AA96">
        <v>0.93000000715255737</v>
      </c>
      <c r="AB96">
        <v>0.5</v>
      </c>
      <c r="AC96">
        <v>0</v>
      </c>
      <c r="AD96">
        <v>0</v>
      </c>
      <c r="AE96">
        <v>1.4300000071525569</v>
      </c>
      <c r="AF96">
        <v>0</v>
      </c>
      <c r="AG96">
        <v>1</v>
      </c>
      <c r="AH96">
        <v>0</v>
      </c>
      <c r="AI96">
        <v>150</v>
      </c>
      <c r="AJ96">
        <v>0.93000000715255737</v>
      </c>
      <c r="AK96">
        <v>0.5</v>
      </c>
      <c r="AL96">
        <v>0</v>
      </c>
      <c r="AM96">
        <v>0</v>
      </c>
      <c r="AN96">
        <v>1</v>
      </c>
      <c r="AO96">
        <v>1</v>
      </c>
      <c r="AP96">
        <v>2025</v>
      </c>
      <c r="AQ96">
        <v>1</v>
      </c>
      <c r="AR96">
        <v>0</v>
      </c>
      <c r="AS96">
        <v>0</v>
      </c>
      <c r="AT96">
        <v>0</v>
      </c>
      <c r="AU96">
        <v>0</v>
      </c>
      <c r="AV96">
        <f t="shared" si="17"/>
        <v>0</v>
      </c>
      <c r="AW96">
        <f t="shared" si="18"/>
        <v>0</v>
      </c>
      <c r="AX96">
        <f t="shared" si="19"/>
        <v>0</v>
      </c>
      <c r="AY96">
        <f t="shared" si="20"/>
        <v>0</v>
      </c>
      <c r="AZ96">
        <f t="shared" si="21"/>
        <v>0</v>
      </c>
      <c r="BA96" t="str">
        <f t="shared" si="22"/>
        <v/>
      </c>
      <c r="BB96">
        <f t="shared" si="23"/>
        <v>1</v>
      </c>
      <c r="BC96">
        <f>MATCH($B96,clean_historis!$B:$B,0)</f>
        <v>96</v>
      </c>
      <c r="BD96">
        <f>IFERROR(INDEX(clean_historis!$AF:$AF,$BC96)/INDEX(clean_historis!$V:$V,$BC96),0)</f>
        <v>0</v>
      </c>
      <c r="BE96">
        <f>IFERROR(INDEX(clean_historis!$AR:$AR,$BC96)/INDEX(clean_historis!$AH:$AH,$BC96),0)</f>
        <v>0</v>
      </c>
      <c r="BF96">
        <f t="shared" si="24"/>
        <v>0</v>
      </c>
      <c r="BG96">
        <f>MAX(IF(INDEX(clean_historis!$CL:$CL,$BC96)=1,2025,0),IF(INDEX(clean_historis!$CK:$CK,$BC96)=1,2024,0),IF(INDEX(clean_historis!$CJ:$CJ,$BC96)=1,2023,0),IF(INDEX(clean_historis!$CI:$CI,$BC96)=1,2022,0),IF(INDEX(clean_historis!$CH:$CH,$BC96)=1,2021,0))</f>
        <v>0</v>
      </c>
      <c r="BH96">
        <f t="shared" si="25"/>
        <v>0</v>
      </c>
      <c r="BI96">
        <f t="shared" si="26"/>
        <v>0</v>
      </c>
      <c r="BJ96">
        <f t="shared" si="27"/>
        <v>1</v>
      </c>
      <c r="BK96">
        <f t="shared" si="28"/>
        <v>8.6161999999999992</v>
      </c>
      <c r="BL96">
        <f t="shared" si="29"/>
        <v>0</v>
      </c>
      <c r="BM96">
        <f t="shared" si="30"/>
        <v>0</v>
      </c>
      <c r="BN96">
        <v>0</v>
      </c>
      <c r="BO96">
        <f t="shared" si="33"/>
        <v>0</v>
      </c>
      <c r="BP96">
        <f t="shared" si="31"/>
        <v>1</v>
      </c>
      <c r="BQ96">
        <f t="shared" si="32"/>
        <v>0</v>
      </c>
    </row>
    <row r="97" spans="1:69" x14ac:dyDescent="0.25">
      <c r="A97">
        <v>96</v>
      </c>
      <c r="B97" t="s">
        <v>490</v>
      </c>
      <c r="C97" t="s">
        <v>491</v>
      </c>
      <c r="D97" t="s">
        <v>492</v>
      </c>
      <c r="E97" t="s">
        <v>493</v>
      </c>
      <c r="F97" t="s">
        <v>494</v>
      </c>
      <c r="G97">
        <v>3</v>
      </c>
      <c r="H97">
        <v>3</v>
      </c>
      <c r="I97">
        <v>2554</v>
      </c>
      <c r="J97">
        <v>0</v>
      </c>
      <c r="K97">
        <v>0</v>
      </c>
      <c r="L97">
        <v>2409.4</v>
      </c>
      <c r="M97">
        <v>2559.5</v>
      </c>
      <c r="N97">
        <v>1239.3</v>
      </c>
      <c r="O97">
        <v>370.5</v>
      </c>
      <c r="P97">
        <v>2727.8</v>
      </c>
      <c r="Q97">
        <v>0</v>
      </c>
      <c r="R97">
        <v>0</v>
      </c>
      <c r="S97">
        <v>0</v>
      </c>
      <c r="T97">
        <v>0</v>
      </c>
      <c r="U97">
        <v>0</v>
      </c>
      <c r="V97">
        <v>1.17</v>
      </c>
      <c r="W97">
        <v>0</v>
      </c>
      <c r="X97">
        <v>0</v>
      </c>
      <c r="Y97">
        <v>1.169999957084656</v>
      </c>
      <c r="Z97">
        <v>0</v>
      </c>
      <c r="AA97">
        <v>0</v>
      </c>
      <c r="AB97">
        <v>0.5</v>
      </c>
      <c r="AC97">
        <v>0.67000001668930054</v>
      </c>
      <c r="AD97">
        <v>0</v>
      </c>
      <c r="AE97">
        <v>0.5</v>
      </c>
      <c r="AF97">
        <v>0.67000001668930054</v>
      </c>
      <c r="AG97">
        <v>0.42735042125454742</v>
      </c>
      <c r="AH97">
        <v>0.57264957874545264</v>
      </c>
      <c r="AI97">
        <v>150</v>
      </c>
      <c r="AJ97">
        <v>0</v>
      </c>
      <c r="AK97">
        <v>0.5</v>
      </c>
      <c r="AL97">
        <v>0.67000001668930054</v>
      </c>
      <c r="AM97">
        <v>0</v>
      </c>
      <c r="AN97">
        <v>1</v>
      </c>
      <c r="AO97">
        <v>2</v>
      </c>
      <c r="AP97">
        <v>2024</v>
      </c>
      <c r="AQ97">
        <v>2</v>
      </c>
      <c r="AR97">
        <v>0</v>
      </c>
      <c r="AS97">
        <v>0</v>
      </c>
      <c r="AT97">
        <v>0</v>
      </c>
      <c r="AU97">
        <v>0</v>
      </c>
      <c r="AV97">
        <f t="shared" si="17"/>
        <v>0</v>
      </c>
      <c r="AW97">
        <f t="shared" si="18"/>
        <v>0</v>
      </c>
      <c r="AX97">
        <f t="shared" si="19"/>
        <v>0</v>
      </c>
      <c r="AY97">
        <f t="shared" si="20"/>
        <v>0</v>
      </c>
      <c r="AZ97">
        <f t="shared" si="21"/>
        <v>0</v>
      </c>
      <c r="BA97">
        <f t="shared" si="22"/>
        <v>1</v>
      </c>
      <c r="BB97">
        <f t="shared" si="23"/>
        <v>0.42735042125454742</v>
      </c>
      <c r="BC97">
        <f>MATCH($B97,clean_historis!$B:$B,0)</f>
        <v>97</v>
      </c>
      <c r="BD97">
        <f>IFERROR(INDEX(clean_historis!$AF:$AF,$BC97)/INDEX(clean_historis!$V:$V,$BC97),0)</f>
        <v>0</v>
      </c>
      <c r="BE97">
        <f>IFERROR(INDEX(clean_historis!$AR:$AR,$BC97)/INDEX(clean_historis!$AH:$AH,$BC97),0)</f>
        <v>0</v>
      </c>
      <c r="BF97">
        <f t="shared" si="24"/>
        <v>0</v>
      </c>
      <c r="BG97">
        <f>MAX(IF(INDEX(clean_historis!$CL:$CL,$BC97)=1,2025,0),IF(INDEX(clean_historis!$CK:$CK,$BC97)=1,2024,0),IF(INDEX(clean_historis!$CJ:$CJ,$BC97)=1,2023,0),IF(INDEX(clean_historis!$CI:$CI,$BC97)=1,2022,0),IF(INDEX(clean_historis!$CH:$CH,$BC97)=1,2021,0))</f>
        <v>2024</v>
      </c>
      <c r="BH97">
        <f t="shared" si="25"/>
        <v>0.57264957874545264</v>
      </c>
      <c r="BI97">
        <f t="shared" si="26"/>
        <v>1462.547024115886</v>
      </c>
      <c r="BJ97">
        <f t="shared" si="27"/>
        <v>1</v>
      </c>
      <c r="BK97">
        <f t="shared" si="28"/>
        <v>8.9359999999999999</v>
      </c>
      <c r="BL97">
        <f t="shared" si="29"/>
        <v>0</v>
      </c>
      <c r="BM97">
        <f t="shared" si="30"/>
        <v>0</v>
      </c>
      <c r="BN97">
        <v>1</v>
      </c>
      <c r="BO97">
        <f t="shared" si="33"/>
        <v>0</v>
      </c>
      <c r="BP97">
        <f t="shared" si="31"/>
        <v>1</v>
      </c>
      <c r="BQ97">
        <f t="shared" si="32"/>
        <v>1</v>
      </c>
    </row>
    <row r="98" spans="1:69" x14ac:dyDescent="0.25">
      <c r="A98">
        <v>97</v>
      </c>
      <c r="B98" t="s">
        <v>495</v>
      </c>
      <c r="C98" t="s">
        <v>496</v>
      </c>
      <c r="D98" t="s">
        <v>497</v>
      </c>
      <c r="E98" t="s">
        <v>498</v>
      </c>
      <c r="F98" t="s">
        <v>176</v>
      </c>
      <c r="G98">
        <v>2</v>
      </c>
      <c r="H98">
        <v>1</v>
      </c>
      <c r="I98">
        <v>1245</v>
      </c>
      <c r="J98">
        <v>0</v>
      </c>
      <c r="K98">
        <v>1</v>
      </c>
      <c r="L98">
        <v>2781.2</v>
      </c>
      <c r="M98">
        <v>2931.3</v>
      </c>
      <c r="N98">
        <v>1637.8</v>
      </c>
      <c r="O98">
        <v>705.9</v>
      </c>
      <c r="P98">
        <v>3099.5</v>
      </c>
      <c r="Q98">
        <v>0</v>
      </c>
      <c r="R98">
        <v>0</v>
      </c>
      <c r="S98">
        <v>0</v>
      </c>
      <c r="T98">
        <v>0</v>
      </c>
      <c r="U98">
        <v>0</v>
      </c>
      <c r="V98">
        <v>0.78</v>
      </c>
      <c r="W98">
        <v>0</v>
      </c>
      <c r="X98">
        <v>0</v>
      </c>
      <c r="Y98">
        <v>0.77999997138977051</v>
      </c>
      <c r="Z98">
        <v>0</v>
      </c>
      <c r="AA98">
        <v>0.77999997138977051</v>
      </c>
      <c r="AB98">
        <v>0</v>
      </c>
      <c r="AC98">
        <v>0</v>
      </c>
      <c r="AD98">
        <v>0</v>
      </c>
      <c r="AE98">
        <v>0.77999997138977051</v>
      </c>
      <c r="AF98">
        <v>0</v>
      </c>
      <c r="AG98">
        <v>1</v>
      </c>
      <c r="AH98">
        <v>0</v>
      </c>
      <c r="AI98">
        <v>150</v>
      </c>
      <c r="AJ98">
        <v>0.77999997138977051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2024</v>
      </c>
      <c r="AQ98">
        <v>2</v>
      </c>
      <c r="AR98">
        <v>0</v>
      </c>
      <c r="AS98">
        <v>0</v>
      </c>
      <c r="AT98">
        <v>0</v>
      </c>
      <c r="AU98">
        <v>0</v>
      </c>
      <c r="AV98">
        <f t="shared" si="17"/>
        <v>-1</v>
      </c>
      <c r="AW98">
        <f t="shared" si="18"/>
        <v>0</v>
      </c>
      <c r="AX98">
        <f t="shared" si="19"/>
        <v>0</v>
      </c>
      <c r="AY98">
        <f t="shared" si="20"/>
        <v>0</v>
      </c>
      <c r="AZ98">
        <f t="shared" si="21"/>
        <v>0</v>
      </c>
      <c r="BA98">
        <f t="shared" si="22"/>
        <v>1</v>
      </c>
      <c r="BB98">
        <f t="shared" si="23"/>
        <v>1</v>
      </c>
      <c r="BC98">
        <f>MATCH($B98,clean_historis!$B:$B,0)</f>
        <v>98</v>
      </c>
      <c r="BD98">
        <f>IFERROR(INDEX(clean_historis!$AF:$AF,$BC98)/INDEX(clean_historis!$V:$V,$BC98),0)</f>
        <v>1</v>
      </c>
      <c r="BE98">
        <f>IFERROR(INDEX(clean_historis!$AR:$AR,$BC98)/INDEX(clean_historis!$AH:$AH,$BC98),0)</f>
        <v>0</v>
      </c>
      <c r="BF98">
        <f t="shared" si="24"/>
        <v>0</v>
      </c>
      <c r="BG98">
        <f>MAX(IF(INDEX(clean_historis!$CL:$CL,$BC98)=1,2025,0),IF(INDEX(clean_historis!$CK:$CK,$BC98)=1,2024,0),IF(INDEX(clean_historis!$CJ:$CJ,$BC98)=1,2023,0),IF(INDEX(clean_historis!$CI:$CI,$BC98)=1,2022,0),IF(INDEX(clean_historis!$CH:$CH,$BC98)=1,2021,0))</f>
        <v>2024</v>
      </c>
      <c r="BH98">
        <f t="shared" si="25"/>
        <v>0</v>
      </c>
      <c r="BI98">
        <f t="shared" si="26"/>
        <v>0</v>
      </c>
      <c r="BJ98">
        <f t="shared" si="27"/>
        <v>1</v>
      </c>
      <c r="BK98">
        <f t="shared" si="28"/>
        <v>10.4498</v>
      </c>
      <c r="BL98">
        <f t="shared" si="29"/>
        <v>0</v>
      </c>
      <c r="BM98">
        <f t="shared" si="30"/>
        <v>0</v>
      </c>
      <c r="BN98">
        <v>0</v>
      </c>
      <c r="BO98">
        <f t="shared" si="33"/>
        <v>1</v>
      </c>
      <c r="BP98">
        <f t="shared" si="31"/>
        <v>1</v>
      </c>
      <c r="BQ98">
        <f t="shared" si="32"/>
        <v>1</v>
      </c>
    </row>
    <row r="99" spans="1:69" x14ac:dyDescent="0.25">
      <c r="A99">
        <v>98</v>
      </c>
      <c r="B99" t="s">
        <v>499</v>
      </c>
      <c r="C99" t="s">
        <v>500</v>
      </c>
      <c r="D99" t="s">
        <v>501</v>
      </c>
      <c r="E99" t="s">
        <v>502</v>
      </c>
      <c r="F99" t="s">
        <v>503</v>
      </c>
      <c r="G99">
        <v>4</v>
      </c>
      <c r="H99">
        <v>2</v>
      </c>
      <c r="I99">
        <v>2916</v>
      </c>
      <c r="J99">
        <v>0</v>
      </c>
      <c r="K99">
        <v>1</v>
      </c>
      <c r="L99">
        <v>2573.5</v>
      </c>
      <c r="M99">
        <v>2569.4</v>
      </c>
      <c r="N99">
        <v>3230</v>
      </c>
      <c r="O99">
        <v>535.6</v>
      </c>
      <c r="P99">
        <v>4628.6000000000004</v>
      </c>
      <c r="Q99">
        <v>0</v>
      </c>
      <c r="R99">
        <v>0</v>
      </c>
      <c r="S99">
        <v>0</v>
      </c>
      <c r="T99">
        <v>0</v>
      </c>
      <c r="U99">
        <v>0</v>
      </c>
      <c r="V99">
        <v>4.9400000000000004</v>
      </c>
      <c r="W99">
        <v>0</v>
      </c>
      <c r="X99">
        <v>0</v>
      </c>
      <c r="Y99">
        <v>4.940000057220459</v>
      </c>
      <c r="Z99">
        <v>0</v>
      </c>
      <c r="AA99">
        <v>0.14000000059604639</v>
      </c>
      <c r="AB99">
        <v>1.8999999761581421</v>
      </c>
      <c r="AC99">
        <v>2.5999999046325679</v>
      </c>
      <c r="AD99">
        <v>0.30000001192092901</v>
      </c>
      <c r="AE99">
        <v>2.039999976754189</v>
      </c>
      <c r="AF99">
        <v>2.8999999165534969</v>
      </c>
      <c r="AG99">
        <v>0.41295546980027598</v>
      </c>
      <c r="AH99">
        <v>0.58704453019972402</v>
      </c>
      <c r="AI99">
        <v>150</v>
      </c>
      <c r="AJ99">
        <v>0.14000000059604639</v>
      </c>
      <c r="AK99">
        <v>1.8999999761581421</v>
      </c>
      <c r="AL99">
        <v>2.5999999046325679</v>
      </c>
      <c r="AM99">
        <v>0.30000001192092901</v>
      </c>
      <c r="AN99">
        <v>1</v>
      </c>
      <c r="AO99">
        <v>1</v>
      </c>
      <c r="AP99">
        <v>2023</v>
      </c>
      <c r="AQ99">
        <v>3</v>
      </c>
      <c r="AR99">
        <v>0</v>
      </c>
      <c r="AS99">
        <v>0</v>
      </c>
      <c r="AT99">
        <v>0</v>
      </c>
      <c r="AU99">
        <v>0</v>
      </c>
      <c r="AV99">
        <f t="shared" si="17"/>
        <v>0</v>
      </c>
      <c r="AW99">
        <f t="shared" si="18"/>
        <v>6.0728747352414778E-2</v>
      </c>
      <c r="AX99">
        <f t="shared" si="19"/>
        <v>177.08502727964148</v>
      </c>
      <c r="AY99">
        <f t="shared" si="20"/>
        <v>0</v>
      </c>
      <c r="AZ99">
        <f t="shared" si="21"/>
        <v>0.30000001192092901</v>
      </c>
      <c r="BA99">
        <f t="shared" si="22"/>
        <v>2</v>
      </c>
      <c r="BB99">
        <f t="shared" si="23"/>
        <v>0.41295546980027598</v>
      </c>
      <c r="BC99">
        <f>MATCH($B99,clean_historis!$B:$B,0)</f>
        <v>99</v>
      </c>
      <c r="BD99">
        <f>IFERROR(INDEX(clean_historis!$AF:$AF,$BC99)/INDEX(clean_historis!$V:$V,$BC99),0)</f>
        <v>0</v>
      </c>
      <c r="BE99">
        <f>IFERROR(INDEX(clean_historis!$AR:$AR,$BC99)/INDEX(clean_historis!$AH:$AH,$BC99),0)</f>
        <v>0</v>
      </c>
      <c r="BF99">
        <f t="shared" si="24"/>
        <v>6.0728747352414778E-2</v>
      </c>
      <c r="BG99">
        <f>MAX(IF(INDEX(clean_historis!$CL:$CL,$BC99)=1,2025,0),IF(INDEX(clean_historis!$CK:$CK,$BC99)=1,2024,0),IF(INDEX(clean_historis!$CJ:$CJ,$BC99)=1,2023,0),IF(INDEX(clean_historis!$CI:$CI,$BC99)=1,2022,0),IF(INDEX(clean_historis!$CH:$CH,$BC99)=1,2021,0))</f>
        <v>2023</v>
      </c>
      <c r="BH99">
        <f t="shared" si="25"/>
        <v>0.58704453019972402</v>
      </c>
      <c r="BI99">
        <f t="shared" si="26"/>
        <v>1711.8218500623952</v>
      </c>
      <c r="BJ99">
        <f t="shared" si="27"/>
        <v>1</v>
      </c>
      <c r="BK99">
        <f t="shared" si="28"/>
        <v>13.0015</v>
      </c>
      <c r="BL99">
        <f t="shared" si="29"/>
        <v>0</v>
      </c>
      <c r="BM99">
        <f t="shared" si="30"/>
        <v>0</v>
      </c>
      <c r="BN99">
        <v>0</v>
      </c>
      <c r="BO99">
        <f t="shared" si="33"/>
        <v>0</v>
      </c>
      <c r="BP99">
        <f t="shared" si="31"/>
        <v>1</v>
      </c>
      <c r="BQ99">
        <f t="shared" si="32"/>
        <v>1</v>
      </c>
    </row>
    <row r="100" spans="1:69" x14ac:dyDescent="0.25">
      <c r="A100">
        <v>99</v>
      </c>
      <c r="B100" t="s">
        <v>504</v>
      </c>
      <c r="C100" t="s">
        <v>505</v>
      </c>
      <c r="D100" t="s">
        <v>506</v>
      </c>
      <c r="E100" t="s">
        <v>507</v>
      </c>
      <c r="F100" t="s">
        <v>363</v>
      </c>
      <c r="G100">
        <v>2</v>
      </c>
      <c r="H100">
        <v>1</v>
      </c>
      <c r="I100">
        <v>1435</v>
      </c>
      <c r="J100">
        <v>1</v>
      </c>
      <c r="K100">
        <v>0</v>
      </c>
      <c r="L100">
        <v>9408.7999999999993</v>
      </c>
      <c r="M100">
        <v>11892.5</v>
      </c>
      <c r="N100">
        <v>17293.2</v>
      </c>
      <c r="O100">
        <v>87.8</v>
      </c>
      <c r="P100">
        <v>43906.3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4.0999999999999996</v>
      </c>
      <c r="W100">
        <v>2.4000000953674321</v>
      </c>
      <c r="X100">
        <v>0</v>
      </c>
      <c r="Y100">
        <v>0</v>
      </c>
      <c r="Z100">
        <v>0</v>
      </c>
      <c r="AA100">
        <v>0</v>
      </c>
      <c r="AB100">
        <v>0.10000000149011611</v>
      </c>
      <c r="AC100">
        <v>1.3999999761581421</v>
      </c>
      <c r="AD100">
        <v>0.89999997615814209</v>
      </c>
      <c r="AE100">
        <v>0.10000000149011611</v>
      </c>
      <c r="AF100">
        <v>2.2999999523162842</v>
      </c>
      <c r="AG100">
        <v>4.1666668089520631E-2</v>
      </c>
      <c r="AH100">
        <v>0.95833333191047942</v>
      </c>
      <c r="AI100">
        <v>150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2</v>
      </c>
      <c r="AP100">
        <v>2023</v>
      </c>
      <c r="AQ100">
        <v>3</v>
      </c>
      <c r="AR100">
        <v>0</v>
      </c>
      <c r="AS100">
        <v>0</v>
      </c>
      <c r="AT100">
        <v>0</v>
      </c>
      <c r="AU100">
        <v>1</v>
      </c>
      <c r="AV100">
        <f t="shared" si="17"/>
        <v>0</v>
      </c>
      <c r="AW100">
        <f t="shared" si="18"/>
        <v>-0.1951219570345995</v>
      </c>
      <c r="AX100">
        <f t="shared" si="19"/>
        <v>314.99999165534979</v>
      </c>
      <c r="AY100">
        <f t="shared" si="20"/>
        <v>0</v>
      </c>
      <c r="AZ100">
        <f t="shared" si="21"/>
        <v>0.89999997615814209</v>
      </c>
      <c r="BA100">
        <f t="shared" si="22"/>
        <v>4</v>
      </c>
      <c r="BB100">
        <f t="shared" si="23"/>
        <v>4.1666668089520631E-2</v>
      </c>
      <c r="BC100">
        <f>MATCH($B100,clean_historis!$B:$B,0)</f>
        <v>100</v>
      </c>
      <c r="BD100">
        <f>IFERROR(INDEX(clean_historis!$AF:$AF,$BC100)/INDEX(clean_historis!$V:$V,$BC100),0)</f>
        <v>0.41463414634146345</v>
      </c>
      <c r="BE100">
        <f>IFERROR(INDEX(clean_historis!$AR:$AR,$BC100)/INDEX(clean_historis!$AH:$AH,$BC100),0)</f>
        <v>0.41463414634146345</v>
      </c>
      <c r="BF100">
        <f t="shared" si="24"/>
        <v>0.21951218930686395</v>
      </c>
      <c r="BG100">
        <f>MAX(IF(INDEX(clean_historis!$CL:$CL,$BC100)=1,2025,0),IF(INDEX(clean_historis!$CK:$CK,$BC100)=1,2024,0),IF(INDEX(clean_historis!$CJ:$CJ,$BC100)=1,2023,0),IF(INDEX(clean_historis!$CI:$CI,$BC100)=1,2022,0),IF(INDEX(clean_historis!$CH:$CH,$BC100)=1,2021,0))</f>
        <v>2021</v>
      </c>
      <c r="BH100">
        <f t="shared" si="25"/>
        <v>0.95833333191047942</v>
      </c>
      <c r="BI100">
        <f t="shared" si="26"/>
        <v>1375.2083312915379</v>
      </c>
      <c r="BJ100">
        <f t="shared" si="27"/>
        <v>0</v>
      </c>
      <c r="BK100">
        <f t="shared" si="28"/>
        <v>82.500799999999998</v>
      </c>
      <c r="BL100">
        <f t="shared" si="29"/>
        <v>0</v>
      </c>
      <c r="BM100">
        <f t="shared" si="30"/>
        <v>0</v>
      </c>
      <c r="BN100">
        <v>0</v>
      </c>
      <c r="BO100">
        <f t="shared" si="33"/>
        <v>0</v>
      </c>
      <c r="BP100">
        <f t="shared" si="31"/>
        <v>1</v>
      </c>
      <c r="BQ100">
        <f t="shared" si="32"/>
        <v>1</v>
      </c>
    </row>
    <row r="101" spans="1:69" x14ac:dyDescent="0.25">
      <c r="A101">
        <v>100</v>
      </c>
      <c r="B101" t="s">
        <v>508</v>
      </c>
      <c r="C101" t="s">
        <v>509</v>
      </c>
      <c r="D101" t="s">
        <v>510</v>
      </c>
      <c r="E101" t="s">
        <v>511</v>
      </c>
      <c r="F101" t="s">
        <v>315</v>
      </c>
      <c r="G101">
        <v>1</v>
      </c>
      <c r="H101">
        <v>1</v>
      </c>
      <c r="I101">
        <v>741</v>
      </c>
      <c r="J101">
        <v>0</v>
      </c>
      <c r="K101">
        <v>0</v>
      </c>
      <c r="L101">
        <v>2252</v>
      </c>
      <c r="M101">
        <v>901.6</v>
      </c>
      <c r="N101">
        <v>3290.5</v>
      </c>
      <c r="O101">
        <v>0</v>
      </c>
      <c r="P101">
        <v>29903.599999999999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0.21</v>
      </c>
      <c r="W101">
        <v>0</v>
      </c>
      <c r="X101">
        <v>0</v>
      </c>
      <c r="Y101">
        <v>0.2099999934434891</v>
      </c>
      <c r="Z101">
        <v>0</v>
      </c>
      <c r="AA101">
        <v>0</v>
      </c>
      <c r="AB101">
        <v>0</v>
      </c>
      <c r="AC101">
        <v>0.2099999934434891</v>
      </c>
      <c r="AD101">
        <v>0</v>
      </c>
      <c r="AE101">
        <v>0</v>
      </c>
      <c r="AF101">
        <v>0.2099999934434891</v>
      </c>
      <c r="AG101">
        <v>0</v>
      </c>
      <c r="AH101">
        <v>1</v>
      </c>
      <c r="AI101">
        <v>150</v>
      </c>
      <c r="AJ101">
        <v>0</v>
      </c>
      <c r="AK101">
        <v>0</v>
      </c>
      <c r="AL101">
        <v>0.2099999934434891</v>
      </c>
      <c r="AM101">
        <v>0</v>
      </c>
      <c r="AN101">
        <v>0</v>
      </c>
      <c r="AO101">
        <v>0</v>
      </c>
      <c r="AR101">
        <v>0</v>
      </c>
      <c r="AS101">
        <v>0</v>
      </c>
      <c r="AT101">
        <v>0</v>
      </c>
      <c r="AU101">
        <v>0</v>
      </c>
      <c r="AV101">
        <f t="shared" si="17"/>
        <v>0</v>
      </c>
      <c r="AW101">
        <f t="shared" si="18"/>
        <v>0</v>
      </c>
      <c r="AX101">
        <f t="shared" si="19"/>
        <v>0</v>
      </c>
      <c r="AY101">
        <f t="shared" si="20"/>
        <v>0</v>
      </c>
      <c r="AZ101">
        <f t="shared" si="21"/>
        <v>0</v>
      </c>
      <c r="BA101" t="str">
        <f t="shared" si="22"/>
        <v/>
      </c>
      <c r="BB101">
        <f t="shared" si="23"/>
        <v>0</v>
      </c>
      <c r="BC101">
        <f>MATCH($B101,clean_historis!$B:$B,0)</f>
        <v>101</v>
      </c>
      <c r="BD101">
        <f>IFERROR(INDEX(clean_historis!$AF:$AF,$BC101)/INDEX(clean_historis!$V:$V,$BC101),0)</f>
        <v>0</v>
      </c>
      <c r="BE101">
        <f>IFERROR(INDEX(clean_historis!$AR:$AR,$BC101)/INDEX(clean_historis!$AH:$AH,$BC101),0)</f>
        <v>0</v>
      </c>
      <c r="BF101">
        <f t="shared" si="24"/>
        <v>0</v>
      </c>
      <c r="BG101">
        <f>MAX(IF(INDEX(clean_historis!$CL:$CL,$BC101)=1,2025,0),IF(INDEX(clean_historis!$CK:$CK,$BC101)=1,2024,0),IF(INDEX(clean_historis!$CJ:$CJ,$BC101)=1,2023,0),IF(INDEX(clean_historis!$CI:$CI,$BC101)=1,2022,0),IF(INDEX(clean_historis!$CH:$CH,$BC101)=1,2021,0))</f>
        <v>0</v>
      </c>
      <c r="BH101">
        <f t="shared" si="25"/>
        <v>1</v>
      </c>
      <c r="BI101">
        <f t="shared" si="26"/>
        <v>741</v>
      </c>
      <c r="BJ101">
        <f t="shared" si="27"/>
        <v>0</v>
      </c>
      <c r="BK101">
        <f t="shared" si="28"/>
        <v>36.347699999999996</v>
      </c>
      <c r="BL101">
        <f t="shared" si="29"/>
        <v>0</v>
      </c>
      <c r="BM101">
        <f t="shared" si="30"/>
        <v>0</v>
      </c>
      <c r="BN101">
        <v>0</v>
      </c>
      <c r="BO101">
        <f t="shared" si="33"/>
        <v>1</v>
      </c>
      <c r="BP101">
        <f t="shared" si="31"/>
        <v>0</v>
      </c>
      <c r="BQ101">
        <f t="shared" si="32"/>
        <v>1</v>
      </c>
    </row>
    <row r="102" spans="1:69" x14ac:dyDescent="0.25">
      <c r="A102">
        <v>101</v>
      </c>
      <c r="B102" t="s">
        <v>512</v>
      </c>
      <c r="C102" t="s">
        <v>513</v>
      </c>
      <c r="D102" t="s">
        <v>514</v>
      </c>
      <c r="E102" t="s">
        <v>515</v>
      </c>
      <c r="F102" t="s">
        <v>310</v>
      </c>
      <c r="G102">
        <v>2</v>
      </c>
      <c r="H102">
        <v>1</v>
      </c>
      <c r="I102">
        <v>501</v>
      </c>
      <c r="J102">
        <v>0</v>
      </c>
      <c r="K102">
        <v>0</v>
      </c>
      <c r="L102">
        <v>38688.800000000003</v>
      </c>
      <c r="M102">
        <v>4781.2</v>
      </c>
      <c r="N102">
        <v>40899.199999999997</v>
      </c>
      <c r="O102">
        <v>918.1</v>
      </c>
      <c r="P102">
        <v>40801.599999999999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2.7</v>
      </c>
      <c r="W102">
        <v>2.5</v>
      </c>
      <c r="X102">
        <v>0</v>
      </c>
      <c r="Y102">
        <v>0</v>
      </c>
      <c r="Z102">
        <v>0</v>
      </c>
      <c r="AA102">
        <v>0</v>
      </c>
      <c r="AB102">
        <v>2.0999999046325679</v>
      </c>
      <c r="AC102">
        <v>0.20000000298023221</v>
      </c>
      <c r="AD102">
        <v>0.20000000298023221</v>
      </c>
      <c r="AE102">
        <v>2.0999999046325679</v>
      </c>
      <c r="AF102">
        <v>0.40000000596046448</v>
      </c>
      <c r="AG102">
        <v>0.83999999189376806</v>
      </c>
      <c r="AH102">
        <v>0.16000000810623199</v>
      </c>
      <c r="AI102">
        <v>150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2</v>
      </c>
      <c r="AP102">
        <v>2024</v>
      </c>
      <c r="AQ102">
        <v>2</v>
      </c>
      <c r="AR102">
        <v>0</v>
      </c>
      <c r="AS102">
        <v>0</v>
      </c>
      <c r="AT102">
        <v>0</v>
      </c>
      <c r="AU102">
        <v>0</v>
      </c>
      <c r="AV102">
        <f t="shared" si="17"/>
        <v>0</v>
      </c>
      <c r="AW102">
        <f t="shared" si="18"/>
        <v>-0.33333333222954364</v>
      </c>
      <c r="AX102">
        <f t="shared" si="19"/>
        <v>37.111111664109757</v>
      </c>
      <c r="AY102">
        <f t="shared" si="20"/>
        <v>0</v>
      </c>
      <c r="AZ102">
        <f t="shared" si="21"/>
        <v>0.20000000298023224</v>
      </c>
      <c r="BA102" t="str">
        <f t="shared" si="22"/>
        <v/>
      </c>
      <c r="BB102">
        <f t="shared" si="23"/>
        <v>0.83999999189376806</v>
      </c>
      <c r="BC102">
        <f>MATCH($B102,clean_historis!$B:$B,0)</f>
        <v>102</v>
      </c>
      <c r="BD102">
        <f>IFERROR(INDEX(clean_historis!$AF:$AF,$BC102)/INDEX(clean_historis!$V:$V,$BC102),0)</f>
        <v>0.40740740740740744</v>
      </c>
      <c r="BE102">
        <f>IFERROR(INDEX(clean_historis!$AR:$AR,$BC102)/INDEX(clean_historis!$AH:$AH,$BC102),0)</f>
        <v>0.40740740740740744</v>
      </c>
      <c r="BF102">
        <f t="shared" si="24"/>
        <v>7.4074075177863782E-2</v>
      </c>
      <c r="BG102">
        <f>MAX(IF(INDEX(clean_historis!$CL:$CL,$BC102)=1,2025,0),IF(INDEX(clean_historis!$CK:$CK,$BC102)=1,2024,0),IF(INDEX(clean_historis!$CJ:$CJ,$BC102)=1,2023,0),IF(INDEX(clean_historis!$CI:$CI,$BC102)=1,2022,0),IF(INDEX(clean_historis!$CH:$CH,$BC102)=1,2021,0))</f>
        <v>0</v>
      </c>
      <c r="BH102">
        <f t="shared" si="25"/>
        <v>0.16000000810623194</v>
      </c>
      <c r="BI102">
        <f t="shared" si="26"/>
        <v>80.160004061222196</v>
      </c>
      <c r="BJ102">
        <f t="shared" si="27"/>
        <v>0</v>
      </c>
      <c r="BK102">
        <f t="shared" si="28"/>
        <v>125.17079999999999</v>
      </c>
      <c r="BL102">
        <f t="shared" si="29"/>
        <v>0</v>
      </c>
      <c r="BM102">
        <f t="shared" si="30"/>
        <v>0</v>
      </c>
      <c r="BN102">
        <v>0</v>
      </c>
      <c r="BO102">
        <f t="shared" si="33"/>
        <v>0</v>
      </c>
      <c r="BP102">
        <f t="shared" si="31"/>
        <v>1</v>
      </c>
      <c r="BQ102">
        <f t="shared" si="32"/>
        <v>0</v>
      </c>
    </row>
    <row r="103" spans="1:69" x14ac:dyDescent="0.25">
      <c r="A103">
        <v>102</v>
      </c>
      <c r="B103" t="s">
        <v>516</v>
      </c>
      <c r="C103" t="s">
        <v>517</v>
      </c>
      <c r="D103" t="s">
        <v>518</v>
      </c>
      <c r="E103" t="s">
        <v>519</v>
      </c>
      <c r="F103" t="s">
        <v>310</v>
      </c>
      <c r="G103">
        <v>1</v>
      </c>
      <c r="H103">
        <v>1</v>
      </c>
      <c r="I103">
        <v>235</v>
      </c>
      <c r="J103">
        <v>0</v>
      </c>
      <c r="K103">
        <v>0</v>
      </c>
      <c r="L103">
        <v>41201.5</v>
      </c>
      <c r="M103">
        <v>7293.9</v>
      </c>
      <c r="N103">
        <v>43411.9</v>
      </c>
      <c r="O103">
        <v>1185.3</v>
      </c>
      <c r="P103">
        <v>43314.3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5.25</v>
      </c>
      <c r="W103">
        <v>5.25</v>
      </c>
      <c r="X103">
        <v>0</v>
      </c>
      <c r="Y103">
        <v>0</v>
      </c>
      <c r="Z103">
        <v>0</v>
      </c>
      <c r="AA103">
        <v>1.049999952316284</v>
      </c>
      <c r="AB103">
        <v>1.799999952316284</v>
      </c>
      <c r="AC103">
        <v>1.700000047683716</v>
      </c>
      <c r="AD103">
        <v>0.69999998807907104</v>
      </c>
      <c r="AE103">
        <v>2.8499999046325679</v>
      </c>
      <c r="AF103">
        <v>2.4000000357627869</v>
      </c>
      <c r="AG103">
        <v>0.542857130855119</v>
      </c>
      <c r="AH103">
        <v>0.457142869144881</v>
      </c>
      <c r="AI103">
        <v>150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3</v>
      </c>
      <c r="AP103">
        <v>2023</v>
      </c>
      <c r="AQ103">
        <v>3</v>
      </c>
      <c r="AR103">
        <v>0</v>
      </c>
      <c r="AS103">
        <v>0</v>
      </c>
      <c r="AT103">
        <v>0</v>
      </c>
      <c r="AU103">
        <v>0</v>
      </c>
      <c r="AV103">
        <f t="shared" si="17"/>
        <v>-0.48571428571428577</v>
      </c>
      <c r="AW103">
        <f t="shared" si="18"/>
        <v>-2.2706531377369998E-9</v>
      </c>
      <c r="AX103">
        <f t="shared" si="19"/>
        <v>31.333332799729845</v>
      </c>
      <c r="AY103">
        <f t="shared" si="20"/>
        <v>0</v>
      </c>
      <c r="AZ103">
        <f t="shared" si="21"/>
        <v>0.69999998807907104</v>
      </c>
      <c r="BA103" t="str">
        <f t="shared" si="22"/>
        <v/>
      </c>
      <c r="BB103">
        <f t="shared" si="23"/>
        <v>0.542857130855119</v>
      </c>
      <c r="BC103">
        <f>MATCH($B103,clean_historis!$B:$B,0)</f>
        <v>103</v>
      </c>
      <c r="BD103">
        <f>IFERROR(INDEX(clean_historis!$AF:$AF,$BC103)/INDEX(clean_historis!$V:$V,$BC103),0)</f>
        <v>0.61904761904761907</v>
      </c>
      <c r="BE103">
        <f>IFERROR(INDEX(clean_historis!$AR:$AR,$BC103)/INDEX(clean_historis!$AH:$AH,$BC103),0)</f>
        <v>0.13333333333333333</v>
      </c>
      <c r="BF103">
        <f t="shared" si="24"/>
        <v>0.13333333106268019</v>
      </c>
      <c r="BG103">
        <f>MAX(IF(INDEX(clean_historis!$CL:$CL,$BC103)=1,2025,0),IF(INDEX(clean_historis!$CK:$CK,$BC103)=1,2024,0),IF(INDEX(clean_historis!$CJ:$CJ,$BC103)=1,2023,0),IF(INDEX(clean_historis!$CI:$CI,$BC103)=1,2022,0),IF(INDEX(clean_historis!$CH:$CH,$BC103)=1,2021,0))</f>
        <v>0</v>
      </c>
      <c r="BH103">
        <f t="shared" si="25"/>
        <v>0.457142869144881</v>
      </c>
      <c r="BI103">
        <f t="shared" si="26"/>
        <v>107.42857424904703</v>
      </c>
      <c r="BJ103">
        <f t="shared" si="27"/>
        <v>0</v>
      </c>
      <c r="BK103">
        <f t="shared" si="28"/>
        <v>135.2216</v>
      </c>
      <c r="BL103">
        <f t="shared" si="29"/>
        <v>0</v>
      </c>
      <c r="BM103">
        <f t="shared" si="30"/>
        <v>0</v>
      </c>
      <c r="BN103">
        <v>0</v>
      </c>
      <c r="BO103">
        <f t="shared" si="33"/>
        <v>0</v>
      </c>
      <c r="BP103">
        <f t="shared" si="31"/>
        <v>1</v>
      </c>
      <c r="BQ103">
        <f t="shared" si="32"/>
        <v>0</v>
      </c>
    </row>
    <row r="104" spans="1:69" x14ac:dyDescent="0.25">
      <c r="A104">
        <v>103</v>
      </c>
      <c r="B104" t="s">
        <v>520</v>
      </c>
      <c r="C104" t="s">
        <v>521</v>
      </c>
      <c r="D104" t="s">
        <v>522</v>
      </c>
      <c r="E104" t="s">
        <v>523</v>
      </c>
      <c r="F104" t="s">
        <v>176</v>
      </c>
      <c r="G104">
        <v>2</v>
      </c>
      <c r="H104">
        <v>1</v>
      </c>
      <c r="I104">
        <v>424</v>
      </c>
      <c r="J104">
        <v>0</v>
      </c>
      <c r="K104">
        <v>1</v>
      </c>
      <c r="L104">
        <v>3313.7</v>
      </c>
      <c r="M104">
        <v>1973.7</v>
      </c>
      <c r="N104">
        <v>6467.9</v>
      </c>
      <c r="O104">
        <v>0</v>
      </c>
      <c r="P104">
        <v>8139.8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0.64</v>
      </c>
      <c r="W104">
        <v>0</v>
      </c>
      <c r="X104">
        <v>0</v>
      </c>
      <c r="Y104">
        <v>0.63999998569488525</v>
      </c>
      <c r="Z104">
        <v>0</v>
      </c>
      <c r="AA104">
        <v>0.20000000298023221</v>
      </c>
      <c r="AB104">
        <v>0.43999999761581421</v>
      </c>
      <c r="AC104">
        <v>0</v>
      </c>
      <c r="AD104">
        <v>0</v>
      </c>
      <c r="AE104">
        <v>0.64000000059604645</v>
      </c>
      <c r="AF104">
        <v>0</v>
      </c>
      <c r="AG104">
        <v>1</v>
      </c>
      <c r="AH104">
        <v>0</v>
      </c>
      <c r="AI104">
        <v>150</v>
      </c>
      <c r="AJ104">
        <v>0.20000000298023221</v>
      </c>
      <c r="AK104">
        <v>0.43999999761581421</v>
      </c>
      <c r="AL104">
        <v>0</v>
      </c>
      <c r="AM104">
        <v>0</v>
      </c>
      <c r="AN104">
        <v>1</v>
      </c>
      <c r="AO104">
        <v>1</v>
      </c>
      <c r="AP104">
        <v>2021</v>
      </c>
      <c r="AQ104">
        <v>5</v>
      </c>
      <c r="AR104">
        <v>0</v>
      </c>
      <c r="AS104">
        <v>0</v>
      </c>
      <c r="AT104">
        <v>0</v>
      </c>
      <c r="AU104">
        <v>0</v>
      </c>
      <c r="AV104">
        <f t="shared" si="17"/>
        <v>0</v>
      </c>
      <c r="AW104">
        <f t="shared" si="18"/>
        <v>0</v>
      </c>
      <c r="AX104">
        <f t="shared" si="19"/>
        <v>0</v>
      </c>
      <c r="AY104">
        <f t="shared" si="20"/>
        <v>0</v>
      </c>
      <c r="AZ104">
        <f t="shared" si="21"/>
        <v>0</v>
      </c>
      <c r="BA104">
        <f t="shared" si="22"/>
        <v>4</v>
      </c>
      <c r="BB104">
        <f t="shared" si="23"/>
        <v>1</v>
      </c>
      <c r="BC104">
        <f>MATCH($B104,clean_historis!$B:$B,0)</f>
        <v>104</v>
      </c>
      <c r="BD104">
        <f>IFERROR(INDEX(clean_historis!$AF:$AF,$BC104)/INDEX(clean_historis!$V:$V,$BC104),0)</f>
        <v>0</v>
      </c>
      <c r="BE104">
        <f>IFERROR(INDEX(clean_historis!$AR:$AR,$BC104)/INDEX(clean_historis!$AH:$AH,$BC104),0)</f>
        <v>0</v>
      </c>
      <c r="BF104">
        <f t="shared" si="24"/>
        <v>0</v>
      </c>
      <c r="BG104">
        <f>MAX(IF(INDEX(clean_historis!$CL:$CL,$BC104)=1,2025,0),IF(INDEX(clean_historis!$CK:$CK,$BC104)=1,2024,0),IF(INDEX(clean_historis!$CJ:$CJ,$BC104)=1,2023,0),IF(INDEX(clean_historis!$CI:$CI,$BC104)=1,2022,0),IF(INDEX(clean_historis!$CH:$CH,$BC104)=1,2021,0))</f>
        <v>2021</v>
      </c>
      <c r="BH104">
        <f t="shared" si="25"/>
        <v>0</v>
      </c>
      <c r="BI104">
        <f t="shared" si="26"/>
        <v>0</v>
      </c>
      <c r="BJ104">
        <f t="shared" si="27"/>
        <v>0</v>
      </c>
      <c r="BK104">
        <f t="shared" si="28"/>
        <v>19.895100000000003</v>
      </c>
      <c r="BL104">
        <f t="shared" si="29"/>
        <v>0</v>
      </c>
      <c r="BM104">
        <f t="shared" si="30"/>
        <v>0</v>
      </c>
      <c r="BN104">
        <v>0</v>
      </c>
      <c r="BO104">
        <f t="shared" si="33"/>
        <v>1</v>
      </c>
      <c r="BP104">
        <f t="shared" si="31"/>
        <v>1</v>
      </c>
      <c r="BQ104">
        <f t="shared" si="32"/>
        <v>1</v>
      </c>
    </row>
    <row r="105" spans="1:69" x14ac:dyDescent="0.25">
      <c r="A105">
        <v>104</v>
      </c>
      <c r="B105" t="s">
        <v>524</v>
      </c>
      <c r="C105" t="s">
        <v>525</v>
      </c>
      <c r="D105" t="s">
        <v>526</v>
      </c>
      <c r="E105" t="s">
        <v>527</v>
      </c>
      <c r="F105" t="s">
        <v>176</v>
      </c>
      <c r="G105">
        <v>3</v>
      </c>
      <c r="H105">
        <v>1</v>
      </c>
      <c r="I105">
        <v>1055</v>
      </c>
      <c r="J105">
        <v>0</v>
      </c>
      <c r="K105">
        <v>1</v>
      </c>
      <c r="L105">
        <v>3751.3</v>
      </c>
      <c r="M105">
        <v>3431.5</v>
      </c>
      <c r="N105">
        <v>7925.7</v>
      </c>
      <c r="O105">
        <v>1826.6</v>
      </c>
      <c r="P105">
        <v>9597.5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2.66</v>
      </c>
      <c r="W105">
        <v>0</v>
      </c>
      <c r="X105">
        <v>0</v>
      </c>
      <c r="Y105">
        <v>0.80000001192092896</v>
      </c>
      <c r="Z105">
        <v>0</v>
      </c>
      <c r="AA105">
        <v>0</v>
      </c>
      <c r="AB105">
        <v>0.40000000596046448</v>
      </c>
      <c r="AC105">
        <v>0.30000001192092901</v>
      </c>
      <c r="AD105">
        <v>0.10000000149011611</v>
      </c>
      <c r="AE105">
        <v>0.40000000596046448</v>
      </c>
      <c r="AF105">
        <v>0.40000001341104507</v>
      </c>
      <c r="AG105">
        <v>0.49999999534338718</v>
      </c>
      <c r="AH105">
        <v>0.50000000465661276</v>
      </c>
      <c r="AI105">
        <v>150</v>
      </c>
      <c r="AJ105">
        <v>0</v>
      </c>
      <c r="AK105">
        <v>0.40000000596046448</v>
      </c>
      <c r="AL105">
        <v>0.30000001192092901</v>
      </c>
      <c r="AM105">
        <v>0.10000000149011611</v>
      </c>
      <c r="AN105">
        <v>1</v>
      </c>
      <c r="AO105">
        <v>1</v>
      </c>
      <c r="AP105">
        <v>2024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f t="shared" si="17"/>
        <v>3.7593984962406402E-2</v>
      </c>
      <c r="AW105">
        <f t="shared" si="18"/>
        <v>-0.69924811974055823</v>
      </c>
      <c r="AX105">
        <f t="shared" si="19"/>
        <v>39.661654726343038</v>
      </c>
      <c r="AY105">
        <f t="shared" si="20"/>
        <v>0</v>
      </c>
      <c r="AZ105">
        <f t="shared" si="21"/>
        <v>0.10000000149011611</v>
      </c>
      <c r="BA105" t="str">
        <f t="shared" si="22"/>
        <v/>
      </c>
      <c r="BB105">
        <f t="shared" si="23"/>
        <v>0.49999999534338718</v>
      </c>
      <c r="BC105">
        <f>MATCH($B105,clean_historis!$B:$B,0)</f>
        <v>105</v>
      </c>
      <c r="BD105">
        <f>IFERROR(INDEX(clean_historis!$AF:$AF,$BC105)/INDEX(clean_historis!$V:$V,$BC105),0)</f>
        <v>0.6992481203007519</v>
      </c>
      <c r="BE105">
        <f>IFERROR(INDEX(clean_historis!$AR:$AR,$BC105)/INDEX(clean_historis!$AH:$AH,$BC105),0)</f>
        <v>0.7368421052631583</v>
      </c>
      <c r="BF105">
        <f t="shared" si="24"/>
        <v>3.7593985522600036E-2</v>
      </c>
      <c r="BG105">
        <f>MAX(IF(INDEX(clean_historis!$CL:$CL,$BC105)=1,2025,0),IF(INDEX(clean_historis!$CK:$CK,$BC105)=1,2024,0),IF(INDEX(clean_historis!$CJ:$CJ,$BC105)=1,2023,0),IF(INDEX(clean_historis!$CI:$CI,$BC105)=1,2022,0),IF(INDEX(clean_historis!$CH:$CH,$BC105)=1,2021,0))</f>
        <v>0</v>
      </c>
      <c r="BH105">
        <f t="shared" si="25"/>
        <v>0.50000000465661287</v>
      </c>
      <c r="BI105">
        <f t="shared" si="26"/>
        <v>527.50000491272658</v>
      </c>
      <c r="BJ105">
        <f t="shared" si="27"/>
        <v>0</v>
      </c>
      <c r="BK105">
        <f t="shared" si="28"/>
        <v>24.706</v>
      </c>
      <c r="BL105">
        <f t="shared" si="29"/>
        <v>0</v>
      </c>
      <c r="BM105">
        <f t="shared" si="30"/>
        <v>0</v>
      </c>
      <c r="BN105">
        <v>0</v>
      </c>
      <c r="BO105">
        <f t="shared" si="33"/>
        <v>0</v>
      </c>
      <c r="BP105">
        <f t="shared" si="31"/>
        <v>1</v>
      </c>
      <c r="BQ105">
        <f t="shared" si="32"/>
        <v>1</v>
      </c>
    </row>
    <row r="106" spans="1:69" x14ac:dyDescent="0.25">
      <c r="A106">
        <v>105</v>
      </c>
      <c r="B106" t="s">
        <v>528</v>
      </c>
      <c r="C106" t="s">
        <v>529</v>
      </c>
      <c r="D106" t="s">
        <v>530</v>
      </c>
      <c r="E106" t="s">
        <v>531</v>
      </c>
      <c r="F106" t="s">
        <v>310</v>
      </c>
      <c r="G106">
        <v>1</v>
      </c>
      <c r="H106">
        <v>1</v>
      </c>
      <c r="I106">
        <v>238</v>
      </c>
      <c r="J106">
        <v>0</v>
      </c>
      <c r="K106">
        <v>0</v>
      </c>
      <c r="L106">
        <v>33381.9</v>
      </c>
      <c r="M106">
        <v>3247.9</v>
      </c>
      <c r="N106">
        <v>35592.300000000003</v>
      </c>
      <c r="O106">
        <v>1965.4</v>
      </c>
      <c r="P106">
        <v>35494.699999999997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7</v>
      </c>
      <c r="W106">
        <v>7</v>
      </c>
      <c r="X106">
        <v>0</v>
      </c>
      <c r="Y106">
        <v>0</v>
      </c>
      <c r="Z106">
        <v>0</v>
      </c>
      <c r="AA106">
        <v>0</v>
      </c>
      <c r="AB106">
        <v>4.6999998092651367</v>
      </c>
      <c r="AC106">
        <v>1.8999999761581421</v>
      </c>
      <c r="AD106">
        <v>0.40000000596046448</v>
      </c>
      <c r="AE106">
        <v>4.6999998092651367</v>
      </c>
      <c r="AF106">
        <v>2.299999982118607</v>
      </c>
      <c r="AG106">
        <v>0.67142856419086439</v>
      </c>
      <c r="AH106">
        <v>0.32857143580913573</v>
      </c>
      <c r="AI106">
        <v>150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R106">
        <v>0</v>
      </c>
      <c r="AS106">
        <v>0</v>
      </c>
      <c r="AT106">
        <v>0</v>
      </c>
      <c r="AU106">
        <v>0</v>
      </c>
      <c r="AV106">
        <f t="shared" si="17"/>
        <v>-5.7142857142857148E-2</v>
      </c>
      <c r="AW106">
        <f t="shared" si="18"/>
        <v>5.7142857994352071E-2</v>
      </c>
      <c r="AX106">
        <f t="shared" si="19"/>
        <v>13.600000202655792</v>
      </c>
      <c r="AY106">
        <f t="shared" si="20"/>
        <v>0</v>
      </c>
      <c r="AZ106">
        <f t="shared" si="21"/>
        <v>0.40000000596046448</v>
      </c>
      <c r="BA106" t="str">
        <f t="shared" si="22"/>
        <v/>
      </c>
      <c r="BB106">
        <f t="shared" si="23"/>
        <v>0.67142856419086439</v>
      </c>
      <c r="BC106">
        <f>MATCH($B106,clean_historis!$B:$B,0)</f>
        <v>106</v>
      </c>
      <c r="BD106">
        <f>IFERROR(INDEX(clean_historis!$AF:$AF,$BC106)/INDEX(clean_historis!$V:$V,$BC106),0)</f>
        <v>5.7142857142857148E-2</v>
      </c>
      <c r="BE106">
        <f>IFERROR(INDEX(clean_historis!$AR:$AR,$BC106)/INDEX(clean_historis!$AH:$AH,$BC106),0)</f>
        <v>0</v>
      </c>
      <c r="BF106">
        <f t="shared" si="24"/>
        <v>5.7142857994352071E-2</v>
      </c>
      <c r="BG106">
        <f>MAX(IF(INDEX(clean_historis!$CL:$CL,$BC106)=1,2025,0),IF(INDEX(clean_historis!$CK:$CK,$BC106)=1,2024,0),IF(INDEX(clean_historis!$CJ:$CJ,$BC106)=1,2023,0),IF(INDEX(clean_historis!$CI:$CI,$BC106)=1,2022,0),IF(INDEX(clean_historis!$CH:$CH,$BC106)=1,2021,0))</f>
        <v>0</v>
      </c>
      <c r="BH106">
        <f t="shared" si="25"/>
        <v>0.32857143580913561</v>
      </c>
      <c r="BI106">
        <f t="shared" si="26"/>
        <v>78.200001722574271</v>
      </c>
      <c r="BJ106">
        <f t="shared" si="27"/>
        <v>0</v>
      </c>
      <c r="BK106">
        <f t="shared" si="28"/>
        <v>107.71680000000001</v>
      </c>
      <c r="BL106">
        <f t="shared" si="29"/>
        <v>0</v>
      </c>
      <c r="BM106">
        <f t="shared" si="30"/>
        <v>0</v>
      </c>
      <c r="BN106">
        <v>0</v>
      </c>
      <c r="BO106">
        <f t="shared" si="33"/>
        <v>0</v>
      </c>
      <c r="BP106">
        <f t="shared" si="31"/>
        <v>0</v>
      </c>
      <c r="BQ106">
        <f t="shared" si="32"/>
        <v>0</v>
      </c>
    </row>
    <row r="107" spans="1:69" x14ac:dyDescent="0.25">
      <c r="A107">
        <v>106</v>
      </c>
      <c r="B107" t="s">
        <v>532</v>
      </c>
      <c r="C107" t="s">
        <v>533</v>
      </c>
      <c r="D107" t="s">
        <v>534</v>
      </c>
      <c r="E107" t="s">
        <v>358</v>
      </c>
      <c r="F107" t="s">
        <v>310</v>
      </c>
      <c r="G107">
        <v>1</v>
      </c>
      <c r="H107">
        <v>1</v>
      </c>
      <c r="I107">
        <v>474</v>
      </c>
      <c r="J107">
        <v>1</v>
      </c>
      <c r="K107">
        <v>0</v>
      </c>
      <c r="L107">
        <v>25538.1</v>
      </c>
      <c r="M107">
        <v>10172.5</v>
      </c>
      <c r="N107">
        <v>27748.5</v>
      </c>
      <c r="O107">
        <v>827.3</v>
      </c>
      <c r="P107">
        <v>27650.9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1.79</v>
      </c>
      <c r="W107">
        <v>0</v>
      </c>
      <c r="X107">
        <v>0</v>
      </c>
      <c r="Y107">
        <v>1.7899999618530269</v>
      </c>
      <c r="Z107">
        <v>0</v>
      </c>
      <c r="AA107">
        <v>0.88999998569488525</v>
      </c>
      <c r="AB107">
        <v>0.89999997615814209</v>
      </c>
      <c r="AC107">
        <v>0</v>
      </c>
      <c r="AD107">
        <v>0</v>
      </c>
      <c r="AE107">
        <v>1.7899999618530269</v>
      </c>
      <c r="AF107">
        <v>0</v>
      </c>
      <c r="AG107">
        <v>1</v>
      </c>
      <c r="AH107">
        <v>0</v>
      </c>
      <c r="AI107">
        <v>150</v>
      </c>
      <c r="AJ107">
        <v>0.88999998569488525</v>
      </c>
      <c r="AK107">
        <v>0.89999997615814209</v>
      </c>
      <c r="AL107">
        <v>0</v>
      </c>
      <c r="AM107">
        <v>0</v>
      </c>
      <c r="AN107">
        <v>0</v>
      </c>
      <c r="AO107">
        <v>0</v>
      </c>
      <c r="AR107">
        <v>0</v>
      </c>
      <c r="AS107">
        <v>0</v>
      </c>
      <c r="AT107">
        <v>0</v>
      </c>
      <c r="AU107">
        <v>0</v>
      </c>
      <c r="AV107">
        <f t="shared" si="17"/>
        <v>0</v>
      </c>
      <c r="AW107">
        <f t="shared" si="18"/>
        <v>0</v>
      </c>
      <c r="AX107">
        <f t="shared" si="19"/>
        <v>0</v>
      </c>
      <c r="AY107">
        <f t="shared" si="20"/>
        <v>0</v>
      </c>
      <c r="AZ107">
        <f t="shared" si="21"/>
        <v>0</v>
      </c>
      <c r="BA107" t="str">
        <f t="shared" si="22"/>
        <v/>
      </c>
      <c r="BB107">
        <f t="shared" si="23"/>
        <v>1</v>
      </c>
      <c r="BC107">
        <f>MATCH($B107,clean_historis!$B:$B,0)</f>
        <v>107</v>
      </c>
      <c r="BD107">
        <f>IFERROR(INDEX(clean_historis!$AF:$AF,$BC107)/INDEX(clean_historis!$V:$V,$BC107),0)</f>
        <v>0</v>
      </c>
      <c r="BE107">
        <f>IFERROR(INDEX(clean_historis!$AR:$AR,$BC107)/INDEX(clean_historis!$AH:$AH,$BC107),0)</f>
        <v>0</v>
      </c>
      <c r="BF107">
        <f t="shared" si="24"/>
        <v>0</v>
      </c>
      <c r="BG107">
        <f>MAX(IF(INDEX(clean_historis!$CL:$CL,$BC107)=1,2025,0),IF(INDEX(clean_historis!$CK:$CK,$BC107)=1,2024,0),IF(INDEX(clean_historis!$CJ:$CJ,$BC107)=1,2023,0),IF(INDEX(clean_historis!$CI:$CI,$BC107)=1,2022,0),IF(INDEX(clean_historis!$CH:$CH,$BC107)=1,2021,0))</f>
        <v>0</v>
      </c>
      <c r="BH107">
        <f t="shared" si="25"/>
        <v>0</v>
      </c>
      <c r="BI107">
        <f t="shared" si="26"/>
        <v>0</v>
      </c>
      <c r="BJ107">
        <f t="shared" si="27"/>
        <v>0</v>
      </c>
      <c r="BK107">
        <f t="shared" si="28"/>
        <v>91.11</v>
      </c>
      <c r="BL107">
        <f t="shared" si="29"/>
        <v>0</v>
      </c>
      <c r="BM107">
        <f t="shared" si="30"/>
        <v>0</v>
      </c>
      <c r="BN107">
        <v>0</v>
      </c>
      <c r="BO107">
        <f t="shared" si="33"/>
        <v>0</v>
      </c>
      <c r="BP107">
        <f t="shared" si="31"/>
        <v>0</v>
      </c>
      <c r="BQ107">
        <f t="shared" si="32"/>
        <v>0</v>
      </c>
    </row>
    <row r="108" spans="1:69" x14ac:dyDescent="0.25">
      <c r="A108">
        <v>107</v>
      </c>
      <c r="B108" t="s">
        <v>535</v>
      </c>
      <c r="C108" t="s">
        <v>536</v>
      </c>
      <c r="D108" t="s">
        <v>537</v>
      </c>
      <c r="E108" t="s">
        <v>538</v>
      </c>
      <c r="F108" t="s">
        <v>539</v>
      </c>
      <c r="G108">
        <v>2</v>
      </c>
      <c r="H108">
        <v>2</v>
      </c>
      <c r="I108">
        <v>1048</v>
      </c>
      <c r="J108">
        <v>0</v>
      </c>
      <c r="K108">
        <v>1</v>
      </c>
      <c r="L108">
        <v>4947.1000000000004</v>
      </c>
      <c r="M108">
        <v>4916.3999999999996</v>
      </c>
      <c r="N108">
        <v>10139.1</v>
      </c>
      <c r="O108">
        <v>2876.1</v>
      </c>
      <c r="P108">
        <v>11810.9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3.69</v>
      </c>
      <c r="W108">
        <v>0</v>
      </c>
      <c r="X108">
        <v>0</v>
      </c>
      <c r="Y108">
        <v>2.7000000476837158</v>
      </c>
      <c r="Z108">
        <v>0</v>
      </c>
      <c r="AA108">
        <v>0</v>
      </c>
      <c r="AB108">
        <v>0.89999997615814209</v>
      </c>
      <c r="AC108">
        <v>1.5</v>
      </c>
      <c r="AD108">
        <v>0.30000001192092901</v>
      </c>
      <c r="AE108">
        <v>0.89999997615814209</v>
      </c>
      <c r="AF108">
        <v>1.800000011920929</v>
      </c>
      <c r="AG108">
        <v>0.3333333259747352</v>
      </c>
      <c r="AH108">
        <v>0.6666666740252648</v>
      </c>
      <c r="AI108">
        <v>150</v>
      </c>
      <c r="AJ108">
        <v>0</v>
      </c>
      <c r="AK108">
        <v>0.89999997615814209</v>
      </c>
      <c r="AL108">
        <v>1.5</v>
      </c>
      <c r="AM108">
        <v>0.30000001192092901</v>
      </c>
      <c r="AN108">
        <v>0</v>
      </c>
      <c r="AO108">
        <v>0</v>
      </c>
      <c r="AR108">
        <v>0</v>
      </c>
      <c r="AS108">
        <v>0</v>
      </c>
      <c r="AT108">
        <v>0</v>
      </c>
      <c r="AU108">
        <v>0</v>
      </c>
      <c r="AV108">
        <f t="shared" si="17"/>
        <v>0.16260162601626013</v>
      </c>
      <c r="AW108">
        <f t="shared" si="18"/>
        <v>-0.32249322170164524</v>
      </c>
      <c r="AX108">
        <f t="shared" si="19"/>
        <v>85.203255418193393</v>
      </c>
      <c r="AY108">
        <f t="shared" si="20"/>
        <v>0</v>
      </c>
      <c r="AZ108">
        <f t="shared" si="21"/>
        <v>0.30000001192092901</v>
      </c>
      <c r="BA108" t="str">
        <f t="shared" si="22"/>
        <v/>
      </c>
      <c r="BB108">
        <f t="shared" si="23"/>
        <v>0.3333333259747352</v>
      </c>
      <c r="BC108">
        <f>MATCH($B108,clean_historis!$B:$B,0)</f>
        <v>108</v>
      </c>
      <c r="BD108">
        <f>IFERROR(INDEX(clean_historis!$AF:$AF,$BC108)/INDEX(clean_historis!$V:$V,$BC108),0)</f>
        <v>0.24119241192411925</v>
      </c>
      <c r="BE108">
        <f>IFERROR(INDEX(clean_historis!$AR:$AR,$BC108)/INDEX(clean_historis!$AH:$AH,$BC108),0)</f>
        <v>0.40379403794037938</v>
      </c>
      <c r="BF108">
        <f t="shared" si="24"/>
        <v>8.1300816238734155E-2</v>
      </c>
      <c r="BG108">
        <f>MAX(IF(INDEX(clean_historis!$CL:$CL,$BC108)=1,2025,0),IF(INDEX(clean_historis!$CK:$CK,$BC108)=1,2024,0),IF(INDEX(clean_historis!$CJ:$CJ,$BC108)=1,2023,0),IF(INDEX(clean_historis!$CI:$CI,$BC108)=1,2022,0),IF(INDEX(clean_historis!$CH:$CH,$BC108)=1,2021,0))</f>
        <v>0</v>
      </c>
      <c r="BH108">
        <f t="shared" si="25"/>
        <v>0.6666666740252648</v>
      </c>
      <c r="BI108">
        <f t="shared" si="26"/>
        <v>698.66667437847752</v>
      </c>
      <c r="BJ108">
        <f t="shared" si="27"/>
        <v>0</v>
      </c>
      <c r="BK108">
        <f t="shared" si="28"/>
        <v>31.813500000000001</v>
      </c>
      <c r="BL108">
        <f t="shared" si="29"/>
        <v>0</v>
      </c>
      <c r="BM108">
        <f t="shared" si="30"/>
        <v>0</v>
      </c>
      <c r="BN108">
        <v>0</v>
      </c>
      <c r="BO108">
        <f t="shared" si="33"/>
        <v>0</v>
      </c>
      <c r="BP108">
        <f t="shared" si="31"/>
        <v>0</v>
      </c>
      <c r="BQ108">
        <f t="shared" si="32"/>
        <v>1</v>
      </c>
    </row>
    <row r="109" spans="1:69" x14ac:dyDescent="0.25">
      <c r="A109">
        <v>108</v>
      </c>
      <c r="B109" t="s">
        <v>540</v>
      </c>
      <c r="C109" t="s">
        <v>541</v>
      </c>
      <c r="D109" t="s">
        <v>542</v>
      </c>
      <c r="E109" t="s">
        <v>421</v>
      </c>
      <c r="F109" t="s">
        <v>315</v>
      </c>
      <c r="G109">
        <v>1</v>
      </c>
      <c r="H109">
        <v>1</v>
      </c>
      <c r="I109">
        <v>771</v>
      </c>
      <c r="J109">
        <v>0</v>
      </c>
      <c r="K109">
        <v>0</v>
      </c>
      <c r="L109">
        <v>1594.2</v>
      </c>
      <c r="M109">
        <v>320.5</v>
      </c>
      <c r="N109">
        <v>2709.3</v>
      </c>
      <c r="O109">
        <v>294.8</v>
      </c>
      <c r="P109">
        <v>29322.400000000001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0.26</v>
      </c>
      <c r="W109">
        <v>0</v>
      </c>
      <c r="X109">
        <v>0</v>
      </c>
      <c r="Y109">
        <v>0.25999999046325678</v>
      </c>
      <c r="Z109">
        <v>0</v>
      </c>
      <c r="AA109">
        <v>0</v>
      </c>
      <c r="AB109">
        <v>0.15999999642372131</v>
      </c>
      <c r="AC109">
        <v>0.10000000149011611</v>
      </c>
      <c r="AD109">
        <v>0</v>
      </c>
      <c r="AE109">
        <v>0.15999999642372131</v>
      </c>
      <c r="AF109">
        <v>0.10000000149011611</v>
      </c>
      <c r="AG109">
        <v>0.61538460656736016</v>
      </c>
      <c r="AH109">
        <v>0.38461539343263978</v>
      </c>
      <c r="AI109">
        <v>150</v>
      </c>
      <c r="AJ109">
        <v>0</v>
      </c>
      <c r="AK109">
        <v>0.15999999642372131</v>
      </c>
      <c r="AL109">
        <v>0.10000000149011611</v>
      </c>
      <c r="AM109">
        <v>0</v>
      </c>
      <c r="AN109">
        <v>0</v>
      </c>
      <c r="AO109">
        <v>0</v>
      </c>
      <c r="AR109">
        <v>0</v>
      </c>
      <c r="AS109">
        <v>0</v>
      </c>
      <c r="AT109">
        <v>0</v>
      </c>
      <c r="AU109">
        <v>0</v>
      </c>
      <c r="AV109">
        <f t="shared" si="17"/>
        <v>0</v>
      </c>
      <c r="AW109">
        <f t="shared" si="18"/>
        <v>0</v>
      </c>
      <c r="AX109">
        <f t="shared" si="19"/>
        <v>0</v>
      </c>
      <c r="AY109">
        <f t="shared" si="20"/>
        <v>0</v>
      </c>
      <c r="AZ109">
        <f t="shared" si="21"/>
        <v>0</v>
      </c>
      <c r="BA109" t="str">
        <f t="shared" si="22"/>
        <v/>
      </c>
      <c r="BB109">
        <f t="shared" si="23"/>
        <v>0.61538460656736016</v>
      </c>
      <c r="BC109">
        <f>MATCH($B109,clean_historis!$B:$B,0)</f>
        <v>109</v>
      </c>
      <c r="BD109">
        <f>IFERROR(INDEX(clean_historis!$AF:$AF,$BC109)/INDEX(clean_historis!$V:$V,$BC109),0)</f>
        <v>0</v>
      </c>
      <c r="BE109">
        <f>IFERROR(INDEX(clean_historis!$AR:$AR,$BC109)/INDEX(clean_historis!$AH:$AH,$BC109),0)</f>
        <v>0</v>
      </c>
      <c r="BF109">
        <f t="shared" si="24"/>
        <v>0</v>
      </c>
      <c r="BG109">
        <f>MAX(IF(INDEX(clean_historis!$CL:$CL,$BC109)=1,2025,0),IF(INDEX(clean_historis!$CK:$CK,$BC109)=1,2024,0),IF(INDEX(clean_historis!$CJ:$CJ,$BC109)=1,2023,0),IF(INDEX(clean_historis!$CI:$CI,$BC109)=1,2022,0),IF(INDEX(clean_historis!$CH:$CH,$BC109)=1,2021,0))</f>
        <v>0</v>
      </c>
      <c r="BH109">
        <f t="shared" si="25"/>
        <v>0.38461539343263984</v>
      </c>
      <c r="BI109">
        <f t="shared" si="26"/>
        <v>296.5384683365653</v>
      </c>
      <c r="BJ109">
        <f t="shared" si="27"/>
        <v>1</v>
      </c>
      <c r="BK109">
        <f t="shared" si="28"/>
        <v>33.946400000000004</v>
      </c>
      <c r="BL109">
        <f t="shared" si="29"/>
        <v>0</v>
      </c>
      <c r="BM109">
        <f t="shared" si="30"/>
        <v>0</v>
      </c>
      <c r="BN109">
        <v>0</v>
      </c>
      <c r="BO109">
        <f t="shared" si="33"/>
        <v>1</v>
      </c>
      <c r="BP109">
        <f t="shared" si="31"/>
        <v>0</v>
      </c>
      <c r="BQ109">
        <f t="shared" si="32"/>
        <v>1</v>
      </c>
    </row>
    <row r="110" spans="1:69" x14ac:dyDescent="0.25">
      <c r="A110">
        <v>109</v>
      </c>
      <c r="B110" t="s">
        <v>543</v>
      </c>
      <c r="C110" t="s">
        <v>544</v>
      </c>
      <c r="D110" t="s">
        <v>545</v>
      </c>
      <c r="E110" t="s">
        <v>546</v>
      </c>
      <c r="F110" t="s">
        <v>100</v>
      </c>
      <c r="G110">
        <v>3</v>
      </c>
      <c r="H110">
        <v>1</v>
      </c>
      <c r="I110">
        <v>1747</v>
      </c>
      <c r="J110">
        <v>0</v>
      </c>
      <c r="K110">
        <v>0</v>
      </c>
      <c r="L110">
        <v>1961.9</v>
      </c>
      <c r="M110">
        <v>2111.9</v>
      </c>
      <c r="N110">
        <v>2320.9</v>
      </c>
      <c r="O110">
        <v>690</v>
      </c>
      <c r="P110">
        <v>1816.9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1.07</v>
      </c>
      <c r="W110">
        <v>0</v>
      </c>
      <c r="X110">
        <v>0</v>
      </c>
      <c r="Y110">
        <v>1.070000052452087</v>
      </c>
      <c r="Z110">
        <v>0</v>
      </c>
      <c r="AA110">
        <v>0</v>
      </c>
      <c r="AB110">
        <v>0.67000001668930054</v>
      </c>
      <c r="AC110">
        <v>0.20000000298023221</v>
      </c>
      <c r="AD110">
        <v>0.20000000298023221</v>
      </c>
      <c r="AE110">
        <v>0.67000001668930054</v>
      </c>
      <c r="AF110">
        <v>0.40000000596046448</v>
      </c>
      <c r="AG110">
        <v>0.6261682266418106</v>
      </c>
      <c r="AH110">
        <v>0.3738317733581894</v>
      </c>
      <c r="AI110">
        <v>150</v>
      </c>
      <c r="AJ110">
        <v>0</v>
      </c>
      <c r="AK110">
        <v>0.67000001668930054</v>
      </c>
      <c r="AL110">
        <v>0.20000000298023221</v>
      </c>
      <c r="AM110">
        <v>0.20000000298023221</v>
      </c>
      <c r="AN110">
        <v>1</v>
      </c>
      <c r="AO110">
        <v>2</v>
      </c>
      <c r="AP110">
        <v>2025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f t="shared" si="17"/>
        <v>0</v>
      </c>
      <c r="AW110">
        <f t="shared" si="18"/>
        <v>0.18691589063573102</v>
      </c>
      <c r="AX110">
        <f t="shared" si="19"/>
        <v>326.54206094062209</v>
      </c>
      <c r="AY110">
        <f t="shared" si="20"/>
        <v>0</v>
      </c>
      <c r="AZ110">
        <f t="shared" si="21"/>
        <v>0.20000000298023221</v>
      </c>
      <c r="BA110" t="str">
        <f t="shared" si="22"/>
        <v/>
      </c>
      <c r="BB110">
        <f t="shared" si="23"/>
        <v>0.6261682266418106</v>
      </c>
      <c r="BC110">
        <f>MATCH($B110,clean_historis!$B:$B,0)</f>
        <v>110</v>
      </c>
      <c r="BD110">
        <f>IFERROR(INDEX(clean_historis!$AF:$AF,$BC110)/INDEX(clean_historis!$V:$V,$BC110),0)</f>
        <v>0</v>
      </c>
      <c r="BE110">
        <f>IFERROR(INDEX(clean_historis!$AR:$AR,$BC110)/INDEX(clean_historis!$AH:$AH,$BC110),0)</f>
        <v>0</v>
      </c>
      <c r="BF110">
        <f t="shared" si="24"/>
        <v>0.18691589063573102</v>
      </c>
      <c r="BG110">
        <f>MAX(IF(INDEX(clean_historis!$CL:$CL,$BC110)=1,2025,0),IF(INDEX(clean_historis!$CK:$CK,$BC110)=1,2024,0),IF(INDEX(clean_historis!$CJ:$CJ,$BC110)=1,2023,0),IF(INDEX(clean_historis!$CI:$CI,$BC110)=1,2022,0),IF(INDEX(clean_historis!$CH:$CH,$BC110)=1,2021,0))</f>
        <v>0</v>
      </c>
      <c r="BH110">
        <f t="shared" si="25"/>
        <v>0.3738317733581894</v>
      </c>
      <c r="BI110">
        <f t="shared" si="26"/>
        <v>653.08410805675692</v>
      </c>
      <c r="BJ110">
        <f t="shared" si="27"/>
        <v>1</v>
      </c>
      <c r="BK110">
        <f t="shared" si="28"/>
        <v>8.2116000000000007</v>
      </c>
      <c r="BL110">
        <f t="shared" si="29"/>
        <v>0</v>
      </c>
      <c r="BM110">
        <f t="shared" si="30"/>
        <v>0</v>
      </c>
      <c r="BN110">
        <v>0</v>
      </c>
      <c r="BO110">
        <f t="shared" si="33"/>
        <v>0</v>
      </c>
      <c r="BP110">
        <f t="shared" si="31"/>
        <v>1</v>
      </c>
      <c r="BQ110">
        <f t="shared" si="32"/>
        <v>0</v>
      </c>
    </row>
    <row r="111" spans="1:69" x14ac:dyDescent="0.25">
      <c r="A111">
        <v>110</v>
      </c>
      <c r="B111" t="s">
        <v>548</v>
      </c>
      <c r="C111" t="s">
        <v>549</v>
      </c>
      <c r="D111" t="s">
        <v>550</v>
      </c>
      <c r="E111" t="s">
        <v>551</v>
      </c>
      <c r="F111" t="s">
        <v>127</v>
      </c>
      <c r="G111">
        <v>1</v>
      </c>
      <c r="H111">
        <v>1</v>
      </c>
      <c r="I111">
        <v>551</v>
      </c>
      <c r="J111">
        <v>0</v>
      </c>
      <c r="K111">
        <v>0</v>
      </c>
      <c r="L111">
        <v>3614.8</v>
      </c>
      <c r="M111">
        <v>2775.1</v>
      </c>
      <c r="N111">
        <v>5309.1</v>
      </c>
      <c r="O111">
        <v>942.1</v>
      </c>
      <c r="P111">
        <v>5462.2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1.62</v>
      </c>
      <c r="W111">
        <v>0</v>
      </c>
      <c r="X111">
        <v>0</v>
      </c>
      <c r="Y111">
        <v>1.620000004768372</v>
      </c>
      <c r="Z111">
        <v>0</v>
      </c>
      <c r="AA111">
        <v>0</v>
      </c>
      <c r="AB111">
        <v>1.5</v>
      </c>
      <c r="AC111">
        <v>0.119999997317791</v>
      </c>
      <c r="AD111">
        <v>0</v>
      </c>
      <c r="AE111">
        <v>1.5</v>
      </c>
      <c r="AF111">
        <v>0.119999997317791</v>
      </c>
      <c r="AG111">
        <v>0.92592592745896718</v>
      </c>
      <c r="AH111">
        <v>7.4074072541032793E-2</v>
      </c>
      <c r="AI111">
        <v>150</v>
      </c>
      <c r="AJ111">
        <v>0</v>
      </c>
      <c r="AK111">
        <v>1.5</v>
      </c>
      <c r="AL111">
        <v>0.119999997317791</v>
      </c>
      <c r="AM111">
        <v>0</v>
      </c>
      <c r="AN111">
        <v>0</v>
      </c>
      <c r="AO111">
        <v>0</v>
      </c>
      <c r="AR111">
        <v>0</v>
      </c>
      <c r="AS111">
        <v>0</v>
      </c>
      <c r="AT111">
        <v>0</v>
      </c>
      <c r="AU111">
        <v>0</v>
      </c>
      <c r="AV111">
        <f t="shared" si="17"/>
        <v>0</v>
      </c>
      <c r="AW111">
        <f t="shared" si="18"/>
        <v>0</v>
      </c>
      <c r="AX111">
        <f t="shared" si="19"/>
        <v>0</v>
      </c>
      <c r="AY111">
        <f t="shared" si="20"/>
        <v>0</v>
      </c>
      <c r="AZ111">
        <f t="shared" si="21"/>
        <v>0</v>
      </c>
      <c r="BA111" t="str">
        <f t="shared" si="22"/>
        <v/>
      </c>
      <c r="BB111">
        <f t="shared" si="23"/>
        <v>0.92592592745896718</v>
      </c>
      <c r="BC111">
        <f>MATCH($B111,clean_historis!$B:$B,0)</f>
        <v>111</v>
      </c>
      <c r="BD111">
        <f>IFERROR(INDEX(clean_historis!$AF:$AF,$BC111)/INDEX(clean_historis!$V:$V,$BC111),0)</f>
        <v>0</v>
      </c>
      <c r="BE111">
        <f>IFERROR(INDEX(clean_historis!$AR:$AR,$BC111)/INDEX(clean_historis!$AH:$AH,$BC111),0)</f>
        <v>0</v>
      </c>
      <c r="BF111">
        <f t="shared" si="24"/>
        <v>0</v>
      </c>
      <c r="BG111">
        <f>MAX(IF(INDEX(clean_historis!$CL:$CL,$BC111)=1,2025,0),IF(INDEX(clean_historis!$CK:$CK,$BC111)=1,2024,0),IF(INDEX(clean_historis!$CJ:$CJ,$BC111)=1,2023,0),IF(INDEX(clean_historis!$CI:$CI,$BC111)=1,2022,0),IF(INDEX(clean_historis!$CH:$CH,$BC111)=1,2021,0))</f>
        <v>0</v>
      </c>
      <c r="BH111">
        <f t="shared" si="25"/>
        <v>7.407407254103282E-2</v>
      </c>
      <c r="BI111">
        <f t="shared" si="26"/>
        <v>40.814813970109086</v>
      </c>
      <c r="BJ111">
        <f t="shared" si="27"/>
        <v>0</v>
      </c>
      <c r="BK111">
        <f t="shared" si="28"/>
        <v>17.161200000000001</v>
      </c>
      <c r="BL111">
        <f t="shared" si="29"/>
        <v>0</v>
      </c>
      <c r="BM111">
        <f t="shared" si="30"/>
        <v>0</v>
      </c>
      <c r="BN111">
        <v>0</v>
      </c>
      <c r="BO111">
        <f t="shared" si="33"/>
        <v>0</v>
      </c>
      <c r="BP111">
        <f t="shared" si="31"/>
        <v>0</v>
      </c>
      <c r="BQ111">
        <f t="shared" si="32"/>
        <v>0</v>
      </c>
    </row>
    <row r="112" spans="1:69" x14ac:dyDescent="0.25">
      <c r="A112">
        <v>111</v>
      </c>
      <c r="B112" t="s">
        <v>552</v>
      </c>
      <c r="C112" t="s">
        <v>553</v>
      </c>
      <c r="D112" t="s">
        <v>554</v>
      </c>
      <c r="E112" t="s">
        <v>555</v>
      </c>
      <c r="F112" t="s">
        <v>105</v>
      </c>
      <c r="G112">
        <v>1</v>
      </c>
      <c r="H112">
        <v>1</v>
      </c>
      <c r="I112">
        <v>729</v>
      </c>
      <c r="J112">
        <v>0</v>
      </c>
      <c r="K112">
        <v>1</v>
      </c>
      <c r="L112">
        <v>373.9</v>
      </c>
      <c r="M112">
        <v>1215.8</v>
      </c>
      <c r="N112">
        <v>6177.5</v>
      </c>
      <c r="O112">
        <v>446.5</v>
      </c>
      <c r="P112">
        <v>7557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0.34</v>
      </c>
      <c r="W112">
        <v>0</v>
      </c>
      <c r="X112">
        <v>0</v>
      </c>
      <c r="Y112">
        <v>0.34000000357627869</v>
      </c>
      <c r="Z112">
        <v>0</v>
      </c>
      <c r="AA112">
        <v>0.34000000357627869</v>
      </c>
      <c r="AB112">
        <v>0</v>
      </c>
      <c r="AC112">
        <v>0</v>
      </c>
      <c r="AD112">
        <v>0</v>
      </c>
      <c r="AE112">
        <v>0.34000000357627869</v>
      </c>
      <c r="AF112">
        <v>0</v>
      </c>
      <c r="AG112">
        <v>1</v>
      </c>
      <c r="AH112">
        <v>0</v>
      </c>
      <c r="AI112">
        <v>150</v>
      </c>
      <c r="AJ112">
        <v>0.34000000357627869</v>
      </c>
      <c r="AK112">
        <v>0</v>
      </c>
      <c r="AL112">
        <v>0</v>
      </c>
      <c r="AM112">
        <v>0</v>
      </c>
      <c r="AN112">
        <v>0</v>
      </c>
      <c r="AO112">
        <v>0</v>
      </c>
      <c r="AR112">
        <v>0</v>
      </c>
      <c r="AS112">
        <v>0</v>
      </c>
      <c r="AT112">
        <v>0</v>
      </c>
      <c r="AU112">
        <v>0</v>
      </c>
      <c r="AV112">
        <f t="shared" si="17"/>
        <v>0</v>
      </c>
      <c r="AW112">
        <f t="shared" si="18"/>
        <v>0</v>
      </c>
      <c r="AX112">
        <f t="shared" si="19"/>
        <v>0</v>
      </c>
      <c r="AY112">
        <f t="shared" si="20"/>
        <v>0</v>
      </c>
      <c r="AZ112">
        <f t="shared" si="21"/>
        <v>0</v>
      </c>
      <c r="BA112" t="str">
        <f t="shared" si="22"/>
        <v/>
      </c>
      <c r="BB112">
        <f t="shared" si="23"/>
        <v>1</v>
      </c>
      <c r="BC112">
        <f>MATCH($B112,clean_historis!$B:$B,0)</f>
        <v>112</v>
      </c>
      <c r="BD112">
        <f>IFERROR(INDEX(clean_historis!$AF:$AF,$BC112)/INDEX(clean_historis!$V:$V,$BC112),0)</f>
        <v>0</v>
      </c>
      <c r="BE112">
        <f>IFERROR(INDEX(clean_historis!$AR:$AR,$BC112)/INDEX(clean_historis!$AH:$AH,$BC112),0)</f>
        <v>0</v>
      </c>
      <c r="BF112">
        <f t="shared" si="24"/>
        <v>0</v>
      </c>
      <c r="BG112">
        <f>MAX(IF(INDEX(clean_historis!$CL:$CL,$BC112)=1,2025,0),IF(INDEX(clean_historis!$CK:$CK,$BC112)=1,2024,0),IF(INDEX(clean_historis!$CJ:$CJ,$BC112)=1,2023,0),IF(INDEX(clean_historis!$CI:$CI,$BC112)=1,2022,0),IF(INDEX(clean_historis!$CH:$CH,$BC112)=1,2021,0))</f>
        <v>0</v>
      </c>
      <c r="BH112">
        <f t="shared" si="25"/>
        <v>0</v>
      </c>
      <c r="BI112">
        <f t="shared" si="26"/>
        <v>0</v>
      </c>
      <c r="BJ112">
        <f t="shared" si="27"/>
        <v>1</v>
      </c>
      <c r="BK112">
        <f t="shared" si="28"/>
        <v>15.324199999999999</v>
      </c>
      <c r="BL112">
        <f t="shared" si="29"/>
        <v>0</v>
      </c>
      <c r="BM112">
        <f t="shared" si="30"/>
        <v>0</v>
      </c>
      <c r="BN112">
        <v>0</v>
      </c>
      <c r="BO112">
        <f t="shared" si="33"/>
        <v>1</v>
      </c>
      <c r="BP112">
        <f t="shared" si="31"/>
        <v>0</v>
      </c>
      <c r="BQ112">
        <f t="shared" si="32"/>
        <v>1</v>
      </c>
    </row>
    <row r="113" spans="1:69" x14ac:dyDescent="0.25">
      <c r="A113">
        <v>112</v>
      </c>
      <c r="B113" t="s">
        <v>556</v>
      </c>
      <c r="C113" t="s">
        <v>557</v>
      </c>
      <c r="D113" t="s">
        <v>558</v>
      </c>
      <c r="E113" t="s">
        <v>559</v>
      </c>
      <c r="F113" t="s">
        <v>118</v>
      </c>
      <c r="G113">
        <v>3</v>
      </c>
      <c r="H113">
        <v>2</v>
      </c>
      <c r="I113">
        <v>2070</v>
      </c>
      <c r="J113">
        <v>0</v>
      </c>
      <c r="K113">
        <v>0</v>
      </c>
      <c r="L113">
        <v>5873</v>
      </c>
      <c r="M113">
        <v>4693.3999999999996</v>
      </c>
      <c r="N113">
        <v>6888.2</v>
      </c>
      <c r="O113">
        <v>966.9</v>
      </c>
      <c r="P113">
        <v>5554.7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1.69</v>
      </c>
      <c r="W113">
        <v>0</v>
      </c>
      <c r="X113">
        <v>0</v>
      </c>
      <c r="Y113">
        <v>1.1000000238418579</v>
      </c>
      <c r="Z113">
        <v>0</v>
      </c>
      <c r="AA113">
        <v>1</v>
      </c>
      <c r="AB113">
        <v>0</v>
      </c>
      <c r="AC113">
        <v>0.10000000149011611</v>
      </c>
      <c r="AD113">
        <v>0</v>
      </c>
      <c r="AE113">
        <v>1</v>
      </c>
      <c r="AF113">
        <v>0.10000000149011611</v>
      </c>
      <c r="AG113">
        <v>0.90909090785940816</v>
      </c>
      <c r="AH113">
        <v>9.0909092140591827E-2</v>
      </c>
      <c r="AI113">
        <v>150</v>
      </c>
      <c r="AJ113">
        <v>1</v>
      </c>
      <c r="AK113">
        <v>0</v>
      </c>
      <c r="AL113">
        <v>0.10000000149011611</v>
      </c>
      <c r="AM113">
        <v>0</v>
      </c>
      <c r="AN113">
        <v>1</v>
      </c>
      <c r="AO113">
        <v>2</v>
      </c>
      <c r="AP113">
        <v>2023</v>
      </c>
      <c r="AQ113">
        <v>3</v>
      </c>
      <c r="AR113">
        <v>0</v>
      </c>
      <c r="AS113">
        <v>0</v>
      </c>
      <c r="AT113">
        <v>0</v>
      </c>
      <c r="AU113">
        <v>0</v>
      </c>
      <c r="AV113">
        <f t="shared" si="17"/>
        <v>0.17159763313609469</v>
      </c>
      <c r="AW113">
        <f t="shared" si="18"/>
        <v>-0.34911242603550297</v>
      </c>
      <c r="AX113">
        <f t="shared" si="19"/>
        <v>0</v>
      </c>
      <c r="AY113">
        <f t="shared" si="20"/>
        <v>0</v>
      </c>
      <c r="AZ113">
        <f t="shared" si="21"/>
        <v>0</v>
      </c>
      <c r="BA113">
        <f t="shared" si="22"/>
        <v>2</v>
      </c>
      <c r="BB113">
        <f t="shared" si="23"/>
        <v>0.90909090785940816</v>
      </c>
      <c r="BC113">
        <f>MATCH($B113,clean_historis!$B:$B,0)</f>
        <v>113</v>
      </c>
      <c r="BD113">
        <f>IFERROR(INDEX(clean_historis!$AF:$AF,$BC113)/INDEX(clean_historis!$V:$V,$BC113),0)</f>
        <v>0.17751479289940827</v>
      </c>
      <c r="BE113">
        <f>IFERROR(INDEX(clean_historis!$AR:$AR,$BC113)/INDEX(clean_historis!$AH:$AH,$BC113),0)</f>
        <v>0.34911242603550297</v>
      </c>
      <c r="BF113">
        <f t="shared" si="24"/>
        <v>0</v>
      </c>
      <c r="BG113">
        <f>MAX(IF(INDEX(clean_historis!$CL:$CL,$BC113)=1,2025,0),IF(INDEX(clean_historis!$CK:$CK,$BC113)=1,2024,0),IF(INDEX(clean_historis!$CJ:$CJ,$BC113)=1,2023,0),IF(INDEX(clean_historis!$CI:$CI,$BC113)=1,2022,0),IF(INDEX(clean_historis!$CH:$CH,$BC113)=1,2021,0))</f>
        <v>2023</v>
      </c>
      <c r="BH113">
        <f t="shared" si="25"/>
        <v>9.0909092140591841E-2</v>
      </c>
      <c r="BI113">
        <f t="shared" si="26"/>
        <v>188.18182073102511</v>
      </c>
      <c r="BJ113">
        <f t="shared" si="27"/>
        <v>0</v>
      </c>
      <c r="BK113">
        <f t="shared" si="28"/>
        <v>23.009300000000003</v>
      </c>
      <c r="BL113">
        <f t="shared" si="29"/>
        <v>0</v>
      </c>
      <c r="BM113">
        <f t="shared" si="30"/>
        <v>0</v>
      </c>
      <c r="BN113">
        <v>0</v>
      </c>
      <c r="BO113">
        <f t="shared" si="33"/>
        <v>0</v>
      </c>
      <c r="BP113">
        <f t="shared" si="31"/>
        <v>1</v>
      </c>
      <c r="BQ113">
        <f t="shared" si="32"/>
        <v>0</v>
      </c>
    </row>
    <row r="114" spans="1:69" x14ac:dyDescent="0.25">
      <c r="A114">
        <v>113</v>
      </c>
      <c r="B114" t="s">
        <v>560</v>
      </c>
      <c r="C114" t="s">
        <v>561</v>
      </c>
      <c r="D114" t="s">
        <v>562</v>
      </c>
      <c r="E114" t="s">
        <v>563</v>
      </c>
      <c r="F114" t="s">
        <v>176</v>
      </c>
      <c r="G114">
        <v>1</v>
      </c>
      <c r="H114">
        <v>1</v>
      </c>
      <c r="I114">
        <v>483</v>
      </c>
      <c r="J114">
        <v>0</v>
      </c>
      <c r="K114">
        <v>0</v>
      </c>
      <c r="L114">
        <v>3231.6</v>
      </c>
      <c r="M114">
        <v>3262.3</v>
      </c>
      <c r="N114">
        <v>9659.2000000000007</v>
      </c>
      <c r="O114">
        <v>724.1</v>
      </c>
      <c r="P114">
        <v>11331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</v>
      </c>
      <c r="W114">
        <v>0</v>
      </c>
      <c r="X114">
        <v>0</v>
      </c>
      <c r="Y114">
        <v>0.69999998807907104</v>
      </c>
      <c r="Z114">
        <v>0</v>
      </c>
      <c r="AA114">
        <v>0</v>
      </c>
      <c r="AB114">
        <v>0</v>
      </c>
      <c r="AC114">
        <v>0.20000000298023221</v>
      </c>
      <c r="AD114">
        <v>0.5</v>
      </c>
      <c r="AE114">
        <v>0</v>
      </c>
      <c r="AF114">
        <v>0.70000000298023224</v>
      </c>
      <c r="AG114">
        <v>0</v>
      </c>
      <c r="AH114">
        <v>1</v>
      </c>
      <c r="AI114">
        <v>150</v>
      </c>
      <c r="AJ114">
        <v>0</v>
      </c>
      <c r="AK114">
        <v>0</v>
      </c>
      <c r="AL114">
        <v>0.20000000298023221</v>
      </c>
      <c r="AM114">
        <v>0.5</v>
      </c>
      <c r="AN114">
        <v>1</v>
      </c>
      <c r="AO114">
        <v>1</v>
      </c>
      <c r="AP114">
        <v>2024</v>
      </c>
      <c r="AQ114">
        <v>2</v>
      </c>
      <c r="AR114">
        <v>0</v>
      </c>
      <c r="AS114">
        <v>0</v>
      </c>
      <c r="AT114">
        <v>0</v>
      </c>
      <c r="AU114">
        <v>1</v>
      </c>
      <c r="AV114">
        <f t="shared" si="17"/>
        <v>0</v>
      </c>
      <c r="AW114">
        <f t="shared" si="18"/>
        <v>0</v>
      </c>
      <c r="AX114">
        <f t="shared" si="19"/>
        <v>345</v>
      </c>
      <c r="AY114">
        <f t="shared" si="20"/>
        <v>0</v>
      </c>
      <c r="AZ114">
        <f t="shared" si="21"/>
        <v>0.5</v>
      </c>
      <c r="BA114" t="str">
        <f t="shared" si="22"/>
        <v/>
      </c>
      <c r="BB114">
        <f t="shared" si="23"/>
        <v>0</v>
      </c>
      <c r="BC114">
        <f>MATCH($B114,clean_historis!$B:$B,0)</f>
        <v>114</v>
      </c>
      <c r="BD114">
        <f>IFERROR(INDEX(clean_historis!$AF:$AF,$BC114)/INDEX(clean_historis!$V:$V,$BC114),0)</f>
        <v>0.7142857142857143</v>
      </c>
      <c r="BE114">
        <f>IFERROR(INDEX(clean_historis!$AR:$AR,$BC114)/INDEX(clean_historis!$AH:$AH,$BC114),0)</f>
        <v>0.7142857142857143</v>
      </c>
      <c r="BF114">
        <f t="shared" si="24"/>
        <v>0.7142857142857143</v>
      </c>
      <c r="BG114">
        <f>MAX(IF(INDEX(clean_historis!$CL:$CL,$BC114)=1,2025,0),IF(INDEX(clean_historis!$CK:$CK,$BC114)=1,2024,0),IF(INDEX(clean_historis!$CJ:$CJ,$BC114)=1,2023,0),IF(INDEX(clean_historis!$CI:$CI,$BC114)=1,2022,0),IF(INDEX(clean_historis!$CH:$CH,$BC114)=1,2021,0))</f>
        <v>0</v>
      </c>
      <c r="BH114">
        <f t="shared" si="25"/>
        <v>1</v>
      </c>
      <c r="BI114">
        <f t="shared" si="26"/>
        <v>483</v>
      </c>
      <c r="BJ114">
        <f t="shared" si="27"/>
        <v>0</v>
      </c>
      <c r="BK114">
        <f t="shared" si="28"/>
        <v>27.484100000000002</v>
      </c>
      <c r="BL114">
        <f t="shared" si="29"/>
        <v>0</v>
      </c>
      <c r="BM114">
        <f t="shared" si="30"/>
        <v>1</v>
      </c>
      <c r="BN114">
        <v>0</v>
      </c>
      <c r="BO114">
        <f t="shared" si="33"/>
        <v>1</v>
      </c>
      <c r="BP114">
        <f t="shared" si="31"/>
        <v>1</v>
      </c>
      <c r="BQ114">
        <f t="shared" si="32"/>
        <v>1</v>
      </c>
    </row>
    <row r="115" spans="1:69" x14ac:dyDescent="0.25">
      <c r="A115">
        <v>114</v>
      </c>
      <c r="B115" t="s">
        <v>564</v>
      </c>
      <c r="C115" t="s">
        <v>565</v>
      </c>
      <c r="D115" t="s">
        <v>566</v>
      </c>
      <c r="E115" t="s">
        <v>567</v>
      </c>
      <c r="F115" t="s">
        <v>489</v>
      </c>
      <c r="G115">
        <v>2</v>
      </c>
      <c r="H115">
        <v>2</v>
      </c>
      <c r="I115">
        <v>1775</v>
      </c>
      <c r="J115">
        <v>0</v>
      </c>
      <c r="K115">
        <v>1</v>
      </c>
      <c r="L115">
        <v>1696.8</v>
      </c>
      <c r="M115">
        <v>1846.9</v>
      </c>
      <c r="N115">
        <v>121</v>
      </c>
      <c r="O115">
        <v>789.3</v>
      </c>
      <c r="P115">
        <v>1741.9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2.44</v>
      </c>
      <c r="W115">
        <v>0</v>
      </c>
      <c r="X115">
        <v>0</v>
      </c>
      <c r="Y115">
        <v>2.440000057220459</v>
      </c>
      <c r="Z115">
        <v>0</v>
      </c>
      <c r="AA115">
        <v>0</v>
      </c>
      <c r="AB115">
        <v>2.440000057220459</v>
      </c>
      <c r="AC115">
        <v>0</v>
      </c>
      <c r="AD115">
        <v>0</v>
      </c>
      <c r="AE115">
        <v>2.440000057220459</v>
      </c>
      <c r="AF115">
        <v>0</v>
      </c>
      <c r="AG115">
        <v>1</v>
      </c>
      <c r="AH115">
        <v>0</v>
      </c>
      <c r="AI115">
        <v>150</v>
      </c>
      <c r="AJ115">
        <v>0</v>
      </c>
      <c r="AK115">
        <v>2.440000057220459</v>
      </c>
      <c r="AL115">
        <v>0</v>
      </c>
      <c r="AM115">
        <v>0</v>
      </c>
      <c r="AN115">
        <v>0</v>
      </c>
      <c r="AO115">
        <v>0</v>
      </c>
      <c r="AR115">
        <v>0</v>
      </c>
      <c r="AS115">
        <v>0</v>
      </c>
      <c r="AT115">
        <v>0</v>
      </c>
      <c r="AU115">
        <v>0</v>
      </c>
      <c r="AV115">
        <f t="shared" si="17"/>
        <v>0</v>
      </c>
      <c r="AW115">
        <f t="shared" si="18"/>
        <v>0</v>
      </c>
      <c r="AX115">
        <f t="shared" si="19"/>
        <v>0</v>
      </c>
      <c r="AY115">
        <f t="shared" si="20"/>
        <v>0</v>
      </c>
      <c r="AZ115">
        <f t="shared" si="21"/>
        <v>0</v>
      </c>
      <c r="BA115" t="str">
        <f t="shared" si="22"/>
        <v/>
      </c>
      <c r="BB115">
        <f t="shared" si="23"/>
        <v>1</v>
      </c>
      <c r="BC115">
        <f>MATCH($B115,clean_historis!$B:$B,0)</f>
        <v>115</v>
      </c>
      <c r="BD115">
        <f>IFERROR(INDEX(clean_historis!$AF:$AF,$BC115)/INDEX(clean_historis!$V:$V,$BC115),0)</f>
        <v>0</v>
      </c>
      <c r="BE115">
        <f>IFERROR(INDEX(clean_historis!$AR:$AR,$BC115)/INDEX(clean_historis!$AH:$AH,$BC115),0)</f>
        <v>0</v>
      </c>
      <c r="BF115">
        <f t="shared" si="24"/>
        <v>0</v>
      </c>
      <c r="BG115">
        <f>MAX(IF(INDEX(clean_historis!$CL:$CL,$BC115)=1,2025,0),IF(INDEX(clean_historis!$CK:$CK,$BC115)=1,2024,0),IF(INDEX(clean_historis!$CJ:$CJ,$BC115)=1,2023,0),IF(INDEX(clean_historis!$CI:$CI,$BC115)=1,2022,0),IF(INDEX(clean_historis!$CH:$CH,$BC115)=1,2021,0))</f>
        <v>0</v>
      </c>
      <c r="BH115">
        <f t="shared" si="25"/>
        <v>0</v>
      </c>
      <c r="BI115">
        <f t="shared" si="26"/>
        <v>0</v>
      </c>
      <c r="BJ115">
        <f t="shared" si="27"/>
        <v>1</v>
      </c>
      <c r="BK115">
        <f t="shared" si="28"/>
        <v>5.4066000000000001</v>
      </c>
      <c r="BL115">
        <f t="shared" si="29"/>
        <v>0</v>
      </c>
      <c r="BM115">
        <f t="shared" si="30"/>
        <v>0</v>
      </c>
      <c r="BN115">
        <v>0</v>
      </c>
      <c r="BO115">
        <f t="shared" si="33"/>
        <v>0</v>
      </c>
      <c r="BP115">
        <f t="shared" si="31"/>
        <v>0</v>
      </c>
      <c r="BQ115">
        <f t="shared" si="32"/>
        <v>0</v>
      </c>
    </row>
    <row r="116" spans="1:69" x14ac:dyDescent="0.25">
      <c r="A116">
        <v>115</v>
      </c>
      <c r="B116" t="s">
        <v>568</v>
      </c>
      <c r="C116" t="s">
        <v>569</v>
      </c>
      <c r="D116" t="s">
        <v>570</v>
      </c>
      <c r="E116" t="s">
        <v>571</v>
      </c>
      <c r="F116" t="s">
        <v>203</v>
      </c>
      <c r="G116">
        <v>2</v>
      </c>
      <c r="H116">
        <v>2</v>
      </c>
      <c r="I116">
        <v>2100</v>
      </c>
      <c r="J116">
        <v>0</v>
      </c>
      <c r="K116">
        <v>0</v>
      </c>
      <c r="L116">
        <v>37625</v>
      </c>
      <c r="M116">
        <v>16570.900000000001</v>
      </c>
      <c r="N116">
        <v>39835.4</v>
      </c>
      <c r="O116">
        <v>3384.4</v>
      </c>
      <c r="P116">
        <v>39737.800000000003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2.08</v>
      </c>
      <c r="W116">
        <v>2.0799999237060551</v>
      </c>
      <c r="X116">
        <v>0</v>
      </c>
      <c r="Y116">
        <v>0</v>
      </c>
      <c r="Z116">
        <v>0</v>
      </c>
      <c r="AA116">
        <v>0</v>
      </c>
      <c r="AB116">
        <v>1.179999947547913</v>
      </c>
      <c r="AC116">
        <v>0.80000001192092896</v>
      </c>
      <c r="AD116">
        <v>0.10000000149011611</v>
      </c>
      <c r="AE116">
        <v>1.179999947547913</v>
      </c>
      <c r="AF116">
        <v>0.90000001341104507</v>
      </c>
      <c r="AG116">
        <v>0.56730767773855562</v>
      </c>
      <c r="AH116">
        <v>0.43269232226144438</v>
      </c>
      <c r="AI116">
        <v>150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R116">
        <v>0</v>
      </c>
      <c r="AS116">
        <v>0</v>
      </c>
      <c r="AT116">
        <v>0</v>
      </c>
      <c r="AU116">
        <v>0</v>
      </c>
      <c r="AV116">
        <f t="shared" si="17"/>
        <v>0</v>
      </c>
      <c r="AW116">
        <f t="shared" si="18"/>
        <v>-8.6538460822059585E-2</v>
      </c>
      <c r="AX116">
        <f t="shared" si="19"/>
        <v>100.96153996598261</v>
      </c>
      <c r="AY116">
        <f t="shared" si="20"/>
        <v>0</v>
      </c>
      <c r="AZ116">
        <f t="shared" si="21"/>
        <v>0.10000000149011611</v>
      </c>
      <c r="BA116" t="str">
        <f t="shared" si="22"/>
        <v/>
      </c>
      <c r="BB116">
        <f t="shared" si="23"/>
        <v>0.56730767773855562</v>
      </c>
      <c r="BC116">
        <f>MATCH($B116,clean_historis!$B:$B,0)</f>
        <v>116</v>
      </c>
      <c r="BD116">
        <f>IFERROR(INDEX(clean_historis!$AF:$AF,$BC116)/INDEX(clean_historis!$V:$V,$BC116),0)</f>
        <v>0.13461538461538464</v>
      </c>
      <c r="BE116">
        <f>IFERROR(INDEX(clean_historis!$AR:$AR,$BC116)/INDEX(clean_historis!$AH:$AH,$BC116),0)</f>
        <v>0.13461538461538464</v>
      </c>
      <c r="BF116">
        <f t="shared" si="24"/>
        <v>4.8076923793325052E-2</v>
      </c>
      <c r="BG116">
        <f>MAX(IF(INDEX(clean_historis!$CL:$CL,$BC116)=1,2025,0),IF(INDEX(clean_historis!$CK:$CK,$BC116)=1,2024,0),IF(INDEX(clean_historis!$CJ:$CJ,$BC116)=1,2023,0),IF(INDEX(clean_historis!$CI:$CI,$BC116)=1,2022,0),IF(INDEX(clean_historis!$CH:$CH,$BC116)=1,2021,0))</f>
        <v>0</v>
      </c>
      <c r="BH116">
        <f t="shared" si="25"/>
        <v>0.43269232226144438</v>
      </c>
      <c r="BI116">
        <f t="shared" si="26"/>
        <v>908.6538767490332</v>
      </c>
      <c r="BJ116">
        <f t="shared" si="27"/>
        <v>0</v>
      </c>
      <c r="BK116">
        <f t="shared" si="28"/>
        <v>133.76910000000001</v>
      </c>
      <c r="BL116">
        <f t="shared" si="29"/>
        <v>0</v>
      </c>
      <c r="BM116">
        <f t="shared" si="30"/>
        <v>0</v>
      </c>
      <c r="BN116">
        <v>0</v>
      </c>
      <c r="BO116">
        <f t="shared" si="33"/>
        <v>0</v>
      </c>
      <c r="BP116">
        <f t="shared" si="31"/>
        <v>0</v>
      </c>
      <c r="BQ116">
        <f t="shared" si="32"/>
        <v>0</v>
      </c>
    </row>
    <row r="117" spans="1:69" x14ac:dyDescent="0.25">
      <c r="A117">
        <v>116</v>
      </c>
      <c r="B117" t="s">
        <v>572</v>
      </c>
      <c r="C117" t="s">
        <v>573</v>
      </c>
      <c r="D117" t="s">
        <v>574</v>
      </c>
      <c r="E117" t="s">
        <v>575</v>
      </c>
      <c r="F117" t="s">
        <v>310</v>
      </c>
      <c r="G117">
        <v>1</v>
      </c>
      <c r="H117">
        <v>1</v>
      </c>
      <c r="I117">
        <v>266</v>
      </c>
      <c r="J117">
        <v>0</v>
      </c>
      <c r="K117">
        <v>0</v>
      </c>
      <c r="L117">
        <v>35944</v>
      </c>
      <c r="M117">
        <v>14889.9</v>
      </c>
      <c r="N117">
        <v>38154.400000000001</v>
      </c>
      <c r="O117">
        <v>1703.4</v>
      </c>
      <c r="P117">
        <v>38056.699999999997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0.83</v>
      </c>
      <c r="W117">
        <v>0.82999998331069946</v>
      </c>
      <c r="X117">
        <v>0</v>
      </c>
      <c r="Y117">
        <v>0</v>
      </c>
      <c r="Z117">
        <v>0</v>
      </c>
      <c r="AA117">
        <v>0</v>
      </c>
      <c r="AB117">
        <v>0.82999998331069946</v>
      </c>
      <c r="AC117">
        <v>0</v>
      </c>
      <c r="AD117">
        <v>0</v>
      </c>
      <c r="AE117">
        <v>0.82999998331069946</v>
      </c>
      <c r="AF117">
        <v>0</v>
      </c>
      <c r="AG117">
        <v>1</v>
      </c>
      <c r="AH117">
        <v>0</v>
      </c>
      <c r="AI117">
        <v>150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R117">
        <v>0</v>
      </c>
      <c r="AS117">
        <v>0</v>
      </c>
      <c r="AT117">
        <v>0</v>
      </c>
      <c r="AU117">
        <v>0</v>
      </c>
      <c r="AV117">
        <f t="shared" si="17"/>
        <v>0</v>
      </c>
      <c r="AW117">
        <f t="shared" si="18"/>
        <v>0</v>
      </c>
      <c r="AX117">
        <f t="shared" si="19"/>
        <v>0</v>
      </c>
      <c r="AY117">
        <f t="shared" si="20"/>
        <v>0</v>
      </c>
      <c r="AZ117">
        <f t="shared" si="21"/>
        <v>0</v>
      </c>
      <c r="BA117" t="str">
        <f t="shared" si="22"/>
        <v/>
      </c>
      <c r="BB117">
        <f t="shared" si="23"/>
        <v>1</v>
      </c>
      <c r="BC117">
        <f>MATCH($B117,clean_historis!$B:$B,0)</f>
        <v>117</v>
      </c>
      <c r="BD117">
        <f>IFERROR(INDEX(clean_historis!$AF:$AF,$BC117)/INDEX(clean_historis!$V:$V,$BC117),0)</f>
        <v>0</v>
      </c>
      <c r="BE117">
        <f>IFERROR(INDEX(clean_historis!$AR:$AR,$BC117)/INDEX(clean_historis!$AH:$AH,$BC117),0)</f>
        <v>0</v>
      </c>
      <c r="BF117">
        <f t="shared" si="24"/>
        <v>0</v>
      </c>
      <c r="BG117">
        <f>MAX(IF(INDEX(clean_historis!$CL:$CL,$BC117)=1,2025,0),IF(INDEX(clean_historis!$CK:$CK,$BC117)=1,2024,0),IF(INDEX(clean_historis!$CJ:$CJ,$BC117)=1,2023,0),IF(INDEX(clean_historis!$CI:$CI,$BC117)=1,2022,0),IF(INDEX(clean_historis!$CH:$CH,$BC117)=1,2021,0))</f>
        <v>0</v>
      </c>
      <c r="BH117">
        <f t="shared" si="25"/>
        <v>0</v>
      </c>
      <c r="BI117">
        <f t="shared" si="26"/>
        <v>0</v>
      </c>
      <c r="BJ117">
        <f t="shared" si="27"/>
        <v>0</v>
      </c>
      <c r="BK117">
        <f t="shared" si="28"/>
        <v>127.045</v>
      </c>
      <c r="BL117">
        <f t="shared" si="29"/>
        <v>0</v>
      </c>
      <c r="BM117">
        <f t="shared" si="30"/>
        <v>0</v>
      </c>
      <c r="BN117">
        <v>0</v>
      </c>
      <c r="BO117">
        <f t="shared" si="33"/>
        <v>1</v>
      </c>
      <c r="BP117">
        <f t="shared" si="31"/>
        <v>0</v>
      </c>
      <c r="BQ117">
        <f t="shared" si="32"/>
        <v>1</v>
      </c>
    </row>
    <row r="118" spans="1:69" x14ac:dyDescent="0.25">
      <c r="A118">
        <v>117</v>
      </c>
      <c r="B118" t="s">
        <v>576</v>
      </c>
      <c r="C118" t="s">
        <v>577</v>
      </c>
      <c r="D118" t="s">
        <v>578</v>
      </c>
      <c r="E118" t="s">
        <v>575</v>
      </c>
      <c r="F118" t="s">
        <v>310</v>
      </c>
      <c r="G118">
        <v>1</v>
      </c>
      <c r="H118">
        <v>1</v>
      </c>
      <c r="I118">
        <v>266</v>
      </c>
      <c r="J118">
        <v>0</v>
      </c>
      <c r="K118">
        <v>0</v>
      </c>
      <c r="L118">
        <v>4245.8</v>
      </c>
      <c r="M118">
        <v>1365.4</v>
      </c>
      <c r="N118">
        <v>3635.4</v>
      </c>
      <c r="O118">
        <v>287.10000000000002</v>
      </c>
      <c r="P118">
        <v>5307.2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0.43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150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2</v>
      </c>
      <c r="AP118">
        <v>2024</v>
      </c>
      <c r="AQ118">
        <v>2</v>
      </c>
      <c r="AR118">
        <v>0</v>
      </c>
      <c r="AS118">
        <v>0</v>
      </c>
      <c r="AT118">
        <v>0</v>
      </c>
      <c r="AU118">
        <v>0</v>
      </c>
      <c r="AV118">
        <f t="shared" si="17"/>
        <v>0</v>
      </c>
      <c r="AW118">
        <f t="shared" si="18"/>
        <v>-1</v>
      </c>
      <c r="AX118">
        <f t="shared" si="19"/>
        <v>0</v>
      </c>
      <c r="AY118">
        <f t="shared" si="20"/>
        <v>0</v>
      </c>
      <c r="AZ118">
        <f t="shared" si="21"/>
        <v>0</v>
      </c>
      <c r="BA118" t="str">
        <f t="shared" si="22"/>
        <v/>
      </c>
      <c r="BB118">
        <f t="shared" si="23"/>
        <v>0</v>
      </c>
      <c r="BC118">
        <f>MATCH($B118,clean_historis!$B:$B,0)</f>
        <v>118</v>
      </c>
      <c r="BD118">
        <f>IFERROR(INDEX(clean_historis!$AF:$AF,$BC118)/INDEX(clean_historis!$V:$V,$BC118),0)</f>
        <v>1</v>
      </c>
      <c r="BE118">
        <f>IFERROR(INDEX(clean_historis!$AR:$AR,$BC118)/INDEX(clean_historis!$AH:$AH,$BC118),0)</f>
        <v>1</v>
      </c>
      <c r="BF118">
        <f t="shared" si="24"/>
        <v>0</v>
      </c>
      <c r="BG118">
        <f>MAX(IF(INDEX(clean_historis!$CL:$CL,$BC118)=1,2025,0),IF(INDEX(clean_historis!$CK:$CK,$BC118)=1,2024,0),IF(INDEX(clean_historis!$CJ:$CJ,$BC118)=1,2023,0),IF(INDEX(clean_historis!$CI:$CI,$BC118)=1,2022,0),IF(INDEX(clean_historis!$CH:$CH,$BC118)=1,2021,0))</f>
        <v>0</v>
      </c>
      <c r="BH118">
        <f t="shared" si="25"/>
        <v>1</v>
      </c>
      <c r="BI118">
        <f t="shared" si="26"/>
        <v>266</v>
      </c>
      <c r="BJ118">
        <f t="shared" si="27"/>
        <v>0</v>
      </c>
      <c r="BK118">
        <f t="shared" si="28"/>
        <v>14.553799999999999</v>
      </c>
      <c r="BL118">
        <f t="shared" si="29"/>
        <v>0</v>
      </c>
      <c r="BM118">
        <f t="shared" si="30"/>
        <v>0</v>
      </c>
      <c r="BN118">
        <v>0</v>
      </c>
      <c r="BO118">
        <f t="shared" si="33"/>
        <v>1</v>
      </c>
      <c r="BP118">
        <f t="shared" si="31"/>
        <v>1</v>
      </c>
      <c r="BQ118">
        <f t="shared" si="32"/>
        <v>1</v>
      </c>
    </row>
    <row r="119" spans="1:69" x14ac:dyDescent="0.25">
      <c r="A119">
        <v>118</v>
      </c>
      <c r="B119" t="s">
        <v>579</v>
      </c>
      <c r="C119" t="s">
        <v>580</v>
      </c>
      <c r="D119" t="s">
        <v>581</v>
      </c>
      <c r="E119" t="s">
        <v>582</v>
      </c>
      <c r="F119" t="s">
        <v>176</v>
      </c>
      <c r="G119">
        <v>1</v>
      </c>
      <c r="H119">
        <v>1</v>
      </c>
      <c r="I119">
        <v>393</v>
      </c>
      <c r="J119">
        <v>0</v>
      </c>
      <c r="K119">
        <v>0</v>
      </c>
      <c r="L119">
        <v>1902.6</v>
      </c>
      <c r="M119">
        <v>2052.6999999999998</v>
      </c>
      <c r="N119">
        <v>1348.7</v>
      </c>
      <c r="O119">
        <v>1070.9000000000001</v>
      </c>
      <c r="P119">
        <v>2220.9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0.41</v>
      </c>
      <c r="W119">
        <v>0</v>
      </c>
      <c r="X119">
        <v>0</v>
      </c>
      <c r="Y119">
        <v>0.40999999642372131</v>
      </c>
      <c r="Z119">
        <v>0</v>
      </c>
      <c r="AA119">
        <v>0</v>
      </c>
      <c r="AB119">
        <v>0.40999999642372131</v>
      </c>
      <c r="AC119">
        <v>0</v>
      </c>
      <c r="AD119">
        <v>0</v>
      </c>
      <c r="AE119">
        <v>0.40999999642372131</v>
      </c>
      <c r="AF119">
        <v>0</v>
      </c>
      <c r="AG119">
        <v>1</v>
      </c>
      <c r="AH119">
        <v>0</v>
      </c>
      <c r="AI119">
        <v>150</v>
      </c>
      <c r="AJ119">
        <v>0</v>
      </c>
      <c r="AK119">
        <v>0.40999999642372131</v>
      </c>
      <c r="AL119">
        <v>0</v>
      </c>
      <c r="AM119">
        <v>0</v>
      </c>
      <c r="AN119">
        <v>0</v>
      </c>
      <c r="AO119">
        <v>0</v>
      </c>
      <c r="AR119">
        <v>0</v>
      </c>
      <c r="AS119">
        <v>0</v>
      </c>
      <c r="AT119">
        <v>0</v>
      </c>
      <c r="AU119">
        <v>0</v>
      </c>
      <c r="AV119">
        <f t="shared" si="17"/>
        <v>0</v>
      </c>
      <c r="AW119">
        <f t="shared" si="18"/>
        <v>0</v>
      </c>
      <c r="AX119">
        <f t="shared" si="19"/>
        <v>0</v>
      </c>
      <c r="AY119">
        <f t="shared" si="20"/>
        <v>0</v>
      </c>
      <c r="AZ119">
        <f t="shared" si="21"/>
        <v>0</v>
      </c>
      <c r="BA119" t="str">
        <f t="shared" si="22"/>
        <v/>
      </c>
      <c r="BB119">
        <f t="shared" si="23"/>
        <v>1</v>
      </c>
      <c r="BC119">
        <f>MATCH($B119,clean_historis!$B:$B,0)</f>
        <v>119</v>
      </c>
      <c r="BD119">
        <f>IFERROR(INDEX(clean_historis!$AF:$AF,$BC119)/INDEX(clean_historis!$V:$V,$BC119),0)</f>
        <v>0</v>
      </c>
      <c r="BE119">
        <f>IFERROR(INDEX(clean_historis!$AR:$AR,$BC119)/INDEX(clean_historis!$AH:$AH,$BC119),0)</f>
        <v>0</v>
      </c>
      <c r="BF119">
        <f t="shared" si="24"/>
        <v>0</v>
      </c>
      <c r="BG119">
        <f>MAX(IF(INDEX(clean_historis!$CL:$CL,$BC119)=1,2025,0),IF(INDEX(clean_historis!$CK:$CK,$BC119)=1,2024,0),IF(INDEX(clean_historis!$CJ:$CJ,$BC119)=1,2023,0),IF(INDEX(clean_historis!$CI:$CI,$BC119)=1,2022,0),IF(INDEX(clean_historis!$CH:$CH,$BC119)=1,2021,0))</f>
        <v>0</v>
      </c>
      <c r="BH119">
        <f t="shared" si="25"/>
        <v>0</v>
      </c>
      <c r="BI119">
        <f t="shared" si="26"/>
        <v>0</v>
      </c>
      <c r="BJ119">
        <f t="shared" si="27"/>
        <v>1</v>
      </c>
      <c r="BK119">
        <f t="shared" si="28"/>
        <v>7.5248999999999997</v>
      </c>
      <c r="BL119">
        <f t="shared" si="29"/>
        <v>0</v>
      </c>
      <c r="BM119">
        <f t="shared" si="30"/>
        <v>0</v>
      </c>
      <c r="BN119">
        <v>0</v>
      </c>
      <c r="BO119">
        <f t="shared" si="33"/>
        <v>1</v>
      </c>
      <c r="BP119">
        <f t="shared" si="31"/>
        <v>0</v>
      </c>
      <c r="BQ119">
        <f t="shared" si="32"/>
        <v>1</v>
      </c>
    </row>
    <row r="120" spans="1:69" x14ac:dyDescent="0.25">
      <c r="A120">
        <v>119</v>
      </c>
      <c r="B120" t="s">
        <v>583</v>
      </c>
      <c r="C120" t="s">
        <v>584</v>
      </c>
      <c r="D120" t="s">
        <v>585</v>
      </c>
      <c r="E120" t="s">
        <v>586</v>
      </c>
      <c r="F120" t="s">
        <v>176</v>
      </c>
      <c r="G120">
        <v>1</v>
      </c>
      <c r="H120">
        <v>1</v>
      </c>
      <c r="I120">
        <v>837</v>
      </c>
      <c r="J120">
        <v>0</v>
      </c>
      <c r="K120">
        <v>0</v>
      </c>
      <c r="L120">
        <v>742.3</v>
      </c>
      <c r="M120">
        <v>2005.6</v>
      </c>
      <c r="N120">
        <v>6498.7</v>
      </c>
      <c r="O120">
        <v>37.5</v>
      </c>
      <c r="P120">
        <v>7878.2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</v>
      </c>
      <c r="W120">
        <v>0</v>
      </c>
      <c r="X120">
        <v>0</v>
      </c>
      <c r="Y120">
        <v>0.89999997615814209</v>
      </c>
      <c r="Z120">
        <v>0</v>
      </c>
      <c r="AA120">
        <v>0</v>
      </c>
      <c r="AB120">
        <v>0.40000000596046448</v>
      </c>
      <c r="AC120">
        <v>0.5</v>
      </c>
      <c r="AD120">
        <v>0</v>
      </c>
      <c r="AE120">
        <v>0.40000000596046448</v>
      </c>
      <c r="AF120">
        <v>0.5</v>
      </c>
      <c r="AG120">
        <v>0.44444444812374351</v>
      </c>
      <c r="AH120">
        <v>0.55555555187625649</v>
      </c>
      <c r="AI120">
        <v>150</v>
      </c>
      <c r="AJ120">
        <v>0</v>
      </c>
      <c r="AK120">
        <v>0.40000000596046448</v>
      </c>
      <c r="AL120">
        <v>0.5</v>
      </c>
      <c r="AM120">
        <v>0</v>
      </c>
      <c r="AN120">
        <v>0</v>
      </c>
      <c r="AO120">
        <v>0</v>
      </c>
      <c r="AR120">
        <v>0</v>
      </c>
      <c r="AS120">
        <v>0</v>
      </c>
      <c r="AT120">
        <v>0</v>
      </c>
      <c r="AU120">
        <v>0</v>
      </c>
      <c r="AV120">
        <f t="shared" si="17"/>
        <v>0</v>
      </c>
      <c r="AW120">
        <f t="shared" si="18"/>
        <v>0</v>
      </c>
      <c r="AX120">
        <f t="shared" si="19"/>
        <v>0</v>
      </c>
      <c r="AY120">
        <f t="shared" si="20"/>
        <v>0</v>
      </c>
      <c r="AZ120">
        <f t="shared" si="21"/>
        <v>0</v>
      </c>
      <c r="BA120" t="str">
        <f t="shared" si="22"/>
        <v/>
      </c>
      <c r="BB120">
        <f t="shared" si="23"/>
        <v>0.44444444812374351</v>
      </c>
      <c r="BC120">
        <f>MATCH($B120,clean_historis!$B:$B,0)</f>
        <v>120</v>
      </c>
      <c r="BD120">
        <f>IFERROR(INDEX(clean_historis!$AF:$AF,$BC120)/INDEX(clean_historis!$V:$V,$BC120),0)</f>
        <v>0</v>
      </c>
      <c r="BE120">
        <f>IFERROR(INDEX(clean_historis!$AR:$AR,$BC120)/INDEX(clean_historis!$AH:$AH,$BC120),0)</f>
        <v>0</v>
      </c>
      <c r="BF120">
        <f t="shared" si="24"/>
        <v>0</v>
      </c>
      <c r="BG120">
        <f>MAX(IF(INDEX(clean_historis!$CL:$CL,$BC120)=1,2025,0),IF(INDEX(clean_historis!$CK:$CK,$BC120)=1,2024,0),IF(INDEX(clean_historis!$CJ:$CJ,$BC120)=1,2023,0),IF(INDEX(clean_historis!$CI:$CI,$BC120)=1,2022,0),IF(INDEX(clean_historis!$CH:$CH,$BC120)=1,2021,0))</f>
        <v>0</v>
      </c>
      <c r="BH120">
        <f t="shared" si="25"/>
        <v>0.55555555187625649</v>
      </c>
      <c r="BI120">
        <f t="shared" si="26"/>
        <v>464.99999692042667</v>
      </c>
      <c r="BJ120">
        <f t="shared" si="27"/>
        <v>1</v>
      </c>
      <c r="BK120">
        <f t="shared" si="28"/>
        <v>17.1248</v>
      </c>
      <c r="BL120">
        <f t="shared" si="29"/>
        <v>0</v>
      </c>
      <c r="BM120">
        <f t="shared" si="30"/>
        <v>0</v>
      </c>
      <c r="BN120">
        <v>0</v>
      </c>
      <c r="BO120">
        <f t="shared" si="33"/>
        <v>1</v>
      </c>
      <c r="BP120">
        <f t="shared" si="31"/>
        <v>0</v>
      </c>
      <c r="BQ120">
        <f t="shared" si="32"/>
        <v>1</v>
      </c>
    </row>
    <row r="121" spans="1:69" x14ac:dyDescent="0.25">
      <c r="A121">
        <v>120</v>
      </c>
      <c r="B121" t="s">
        <v>587</v>
      </c>
      <c r="C121" t="s">
        <v>588</v>
      </c>
      <c r="D121" t="s">
        <v>589</v>
      </c>
      <c r="E121" t="s">
        <v>590</v>
      </c>
      <c r="F121" t="s">
        <v>105</v>
      </c>
      <c r="G121">
        <v>2</v>
      </c>
      <c r="H121">
        <v>1</v>
      </c>
      <c r="I121">
        <v>1042</v>
      </c>
      <c r="J121">
        <v>0</v>
      </c>
      <c r="K121">
        <v>1</v>
      </c>
      <c r="L121">
        <v>2835.6</v>
      </c>
      <c r="M121">
        <v>2319.8000000000002</v>
      </c>
      <c r="N121">
        <v>7322.6</v>
      </c>
      <c r="O121">
        <v>1408</v>
      </c>
      <c r="P121">
        <v>5721.3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4.5</v>
      </c>
      <c r="W121">
        <v>0</v>
      </c>
      <c r="X121">
        <v>0</v>
      </c>
      <c r="Y121">
        <v>4.5</v>
      </c>
      <c r="Z121">
        <v>0</v>
      </c>
      <c r="AA121">
        <v>0</v>
      </c>
      <c r="AB121">
        <v>2.4000000953674321</v>
      </c>
      <c r="AC121">
        <v>1.3999999761581421</v>
      </c>
      <c r="AD121">
        <v>0.69999998807907104</v>
      </c>
      <c r="AE121">
        <v>2.4000000953674321</v>
      </c>
      <c r="AF121">
        <v>2.0999999642372131</v>
      </c>
      <c r="AG121">
        <v>0.53333334746184158</v>
      </c>
      <c r="AH121">
        <v>0.46666665253815848</v>
      </c>
      <c r="AI121">
        <v>150</v>
      </c>
      <c r="AJ121">
        <v>0</v>
      </c>
      <c r="AK121">
        <v>2.4000000953674321</v>
      </c>
      <c r="AL121">
        <v>1.3999999761581421</v>
      </c>
      <c r="AM121">
        <v>0.69999998807907104</v>
      </c>
      <c r="AN121">
        <v>0</v>
      </c>
      <c r="AO121">
        <v>0</v>
      </c>
      <c r="AR121">
        <v>0</v>
      </c>
      <c r="AS121">
        <v>0</v>
      </c>
      <c r="AT121">
        <v>0</v>
      </c>
      <c r="AU121">
        <v>0</v>
      </c>
      <c r="AV121">
        <f t="shared" si="17"/>
        <v>0.13333333333333333</v>
      </c>
      <c r="AW121">
        <f t="shared" si="18"/>
        <v>2.2222219573126895E-2</v>
      </c>
      <c r="AX121">
        <f t="shared" si="19"/>
        <v>162.08888612853156</v>
      </c>
      <c r="AY121">
        <f t="shared" si="20"/>
        <v>0</v>
      </c>
      <c r="AZ121">
        <f t="shared" si="21"/>
        <v>0.69999998807907104</v>
      </c>
      <c r="BA121" t="str">
        <f t="shared" si="22"/>
        <v/>
      </c>
      <c r="BB121">
        <f t="shared" si="23"/>
        <v>0.53333334746184158</v>
      </c>
      <c r="BC121">
        <f>MATCH($B121,clean_historis!$B:$B,0)</f>
        <v>121</v>
      </c>
      <c r="BD121">
        <f>IFERROR(INDEX(clean_historis!$AF:$AF,$BC121)/INDEX(clean_historis!$V:$V,$BC121),0)</f>
        <v>0</v>
      </c>
      <c r="BE121">
        <f>IFERROR(INDEX(clean_historis!$AR:$AR,$BC121)/INDEX(clean_historis!$AH:$AH,$BC121),0)</f>
        <v>0.13333333333333333</v>
      </c>
      <c r="BF121">
        <f t="shared" si="24"/>
        <v>0.15555555290646023</v>
      </c>
      <c r="BG121">
        <f>MAX(IF(INDEX(clean_historis!$CL:$CL,$BC121)=1,2025,0),IF(INDEX(clean_historis!$CK:$CK,$BC121)=1,2024,0),IF(INDEX(clean_historis!$CJ:$CJ,$BC121)=1,2023,0),IF(INDEX(clean_historis!$CI:$CI,$BC121)=1,2022,0),IF(INDEX(clean_historis!$CH:$CH,$BC121)=1,2021,0))</f>
        <v>0</v>
      </c>
      <c r="BH121">
        <f t="shared" si="25"/>
        <v>0.46666665253815842</v>
      </c>
      <c r="BI121">
        <f t="shared" si="26"/>
        <v>486.26665194476107</v>
      </c>
      <c r="BJ121">
        <f t="shared" si="27"/>
        <v>0</v>
      </c>
      <c r="BK121">
        <f t="shared" si="28"/>
        <v>18.199300000000001</v>
      </c>
      <c r="BL121">
        <f t="shared" si="29"/>
        <v>0</v>
      </c>
      <c r="BM121">
        <f t="shared" si="30"/>
        <v>0</v>
      </c>
      <c r="BN121">
        <v>1</v>
      </c>
      <c r="BO121">
        <f t="shared" si="33"/>
        <v>0</v>
      </c>
      <c r="BP121">
        <f t="shared" si="31"/>
        <v>0</v>
      </c>
      <c r="BQ121">
        <f t="shared" si="32"/>
        <v>0</v>
      </c>
    </row>
    <row r="122" spans="1:69" x14ac:dyDescent="0.25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127</v>
      </c>
      <c r="G122">
        <v>2</v>
      </c>
      <c r="H122">
        <v>1</v>
      </c>
      <c r="I122">
        <v>952</v>
      </c>
      <c r="J122">
        <v>0</v>
      </c>
      <c r="K122">
        <v>1</v>
      </c>
      <c r="L122">
        <v>5176.3</v>
      </c>
      <c r="M122">
        <v>2782.4</v>
      </c>
      <c r="N122">
        <v>15690</v>
      </c>
      <c r="O122">
        <v>1306.5999999999999</v>
      </c>
      <c r="P122">
        <v>17069.5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5.21</v>
      </c>
      <c r="W122">
        <v>0</v>
      </c>
      <c r="X122">
        <v>0</v>
      </c>
      <c r="Y122">
        <v>5.2100000381469727</v>
      </c>
      <c r="Z122">
        <v>0</v>
      </c>
      <c r="AA122">
        <v>1.309999942779541</v>
      </c>
      <c r="AB122">
        <v>3.5999999046325679</v>
      </c>
      <c r="AC122">
        <v>0.30000001192092901</v>
      </c>
      <c r="AD122">
        <v>0</v>
      </c>
      <c r="AE122">
        <v>4.9099998474121094</v>
      </c>
      <c r="AF122">
        <v>0.30000001192092901</v>
      </c>
      <c r="AG122">
        <v>0.94241842226089168</v>
      </c>
      <c r="AH122">
        <v>5.758157773910836E-2</v>
      </c>
      <c r="AI122">
        <v>150</v>
      </c>
      <c r="AJ122">
        <v>1.309999942779541</v>
      </c>
      <c r="AK122">
        <v>3.5999999046325679</v>
      </c>
      <c r="AL122">
        <v>0.30000001192092901</v>
      </c>
      <c r="AM122">
        <v>0</v>
      </c>
      <c r="AN122">
        <v>1</v>
      </c>
      <c r="AO122">
        <v>3</v>
      </c>
      <c r="AP122">
        <v>2025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f t="shared" si="17"/>
        <v>0</v>
      </c>
      <c r="AW122">
        <f t="shared" si="18"/>
        <v>0</v>
      </c>
      <c r="AX122">
        <f t="shared" si="19"/>
        <v>0</v>
      </c>
      <c r="AY122">
        <f t="shared" si="20"/>
        <v>0</v>
      </c>
      <c r="AZ122">
        <f t="shared" si="21"/>
        <v>0</v>
      </c>
      <c r="BA122">
        <f t="shared" si="22"/>
        <v>0</v>
      </c>
      <c r="BB122">
        <f t="shared" si="23"/>
        <v>0.94241842226089168</v>
      </c>
      <c r="BC122">
        <f>MATCH($B122,clean_historis!$B:$B,0)</f>
        <v>122</v>
      </c>
      <c r="BD122">
        <f>IFERROR(INDEX(clean_historis!$AF:$AF,$BC122)/INDEX(clean_historis!$V:$V,$BC122),0)</f>
        <v>0</v>
      </c>
      <c r="BE122">
        <f>IFERROR(INDEX(clean_historis!$AR:$AR,$BC122)/INDEX(clean_historis!$AH:$AH,$BC122),0)</f>
        <v>0</v>
      </c>
      <c r="BF122">
        <f t="shared" si="24"/>
        <v>0</v>
      </c>
      <c r="BG122">
        <f>MAX(IF(INDEX(clean_historis!$CL:$CL,$BC122)=1,2025,0),IF(INDEX(clean_historis!$CK:$CK,$BC122)=1,2024,0),IF(INDEX(clean_historis!$CJ:$CJ,$BC122)=1,2023,0),IF(INDEX(clean_historis!$CI:$CI,$BC122)=1,2022,0),IF(INDEX(clean_historis!$CH:$CH,$BC122)=1,2021,0))</f>
        <v>2025</v>
      </c>
      <c r="BH122">
        <f t="shared" si="25"/>
        <v>5.7581577739108325E-2</v>
      </c>
      <c r="BI122">
        <f t="shared" si="26"/>
        <v>54.817662007631128</v>
      </c>
      <c r="BJ122">
        <f t="shared" si="27"/>
        <v>0</v>
      </c>
      <c r="BK122">
        <f t="shared" si="28"/>
        <v>40.718200000000003</v>
      </c>
      <c r="BL122">
        <f t="shared" si="29"/>
        <v>0</v>
      </c>
      <c r="BM122">
        <f t="shared" si="30"/>
        <v>0</v>
      </c>
      <c r="BN122">
        <v>0</v>
      </c>
      <c r="BO122">
        <f t="shared" si="33"/>
        <v>0</v>
      </c>
      <c r="BP122">
        <f t="shared" si="31"/>
        <v>1</v>
      </c>
      <c r="BQ122">
        <f t="shared" si="32"/>
        <v>0</v>
      </c>
    </row>
    <row r="123" spans="1:69" x14ac:dyDescent="0.25">
      <c r="A123">
        <v>122</v>
      </c>
      <c r="B123" t="s">
        <v>595</v>
      </c>
      <c r="C123" t="s">
        <v>596</v>
      </c>
      <c r="D123" t="s">
        <v>597</v>
      </c>
      <c r="E123" t="s">
        <v>598</v>
      </c>
      <c r="F123" t="s">
        <v>190</v>
      </c>
      <c r="G123">
        <v>5</v>
      </c>
      <c r="H123">
        <v>1</v>
      </c>
      <c r="I123">
        <v>1270</v>
      </c>
      <c r="J123">
        <v>0</v>
      </c>
      <c r="K123">
        <v>1</v>
      </c>
      <c r="L123">
        <v>3242.8</v>
      </c>
      <c r="M123">
        <v>1603.3</v>
      </c>
      <c r="N123">
        <v>13554.9</v>
      </c>
      <c r="O123">
        <v>1216.0999999999999</v>
      </c>
      <c r="P123">
        <v>14934.4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2.72</v>
      </c>
      <c r="W123">
        <v>0</v>
      </c>
      <c r="X123">
        <v>0</v>
      </c>
      <c r="Y123">
        <v>2.720000028610229</v>
      </c>
      <c r="Z123">
        <v>0</v>
      </c>
      <c r="AA123">
        <v>0.69999998807907104</v>
      </c>
      <c r="AB123">
        <v>2.0199999809265141</v>
      </c>
      <c r="AC123">
        <v>0</v>
      </c>
      <c r="AD123">
        <v>0</v>
      </c>
      <c r="AE123">
        <v>2.7199999690055852</v>
      </c>
      <c r="AF123">
        <v>0</v>
      </c>
      <c r="AG123">
        <v>1</v>
      </c>
      <c r="AH123">
        <v>0</v>
      </c>
      <c r="AI123">
        <v>150</v>
      </c>
      <c r="AJ123">
        <v>0.69999998807907104</v>
      </c>
      <c r="AK123">
        <v>2.0199999809265141</v>
      </c>
      <c r="AL123">
        <v>0</v>
      </c>
      <c r="AM123">
        <v>0</v>
      </c>
      <c r="AN123">
        <v>1</v>
      </c>
      <c r="AO123">
        <v>1</v>
      </c>
      <c r="AP123">
        <v>2021</v>
      </c>
      <c r="AQ123">
        <v>5</v>
      </c>
      <c r="AR123">
        <v>0</v>
      </c>
      <c r="AS123">
        <v>0</v>
      </c>
      <c r="AT123">
        <v>0</v>
      </c>
      <c r="AU123">
        <v>0</v>
      </c>
      <c r="AV123">
        <f t="shared" si="17"/>
        <v>0</v>
      </c>
      <c r="AW123">
        <f t="shared" si="18"/>
        <v>0</v>
      </c>
      <c r="AX123">
        <f t="shared" si="19"/>
        <v>0</v>
      </c>
      <c r="AY123">
        <f t="shared" si="20"/>
        <v>0</v>
      </c>
      <c r="AZ123">
        <f t="shared" si="21"/>
        <v>0</v>
      </c>
      <c r="BA123" t="str">
        <f t="shared" si="22"/>
        <v/>
      </c>
      <c r="BB123">
        <f t="shared" si="23"/>
        <v>1</v>
      </c>
      <c r="BC123">
        <f>MATCH($B123,clean_historis!$B:$B,0)</f>
        <v>123</v>
      </c>
      <c r="BD123">
        <f>IFERROR(INDEX(clean_historis!$AF:$AF,$BC123)/INDEX(clean_historis!$V:$V,$BC123),0)</f>
        <v>0</v>
      </c>
      <c r="BE123">
        <f>IFERROR(INDEX(clean_historis!$AR:$AR,$BC123)/INDEX(clean_historis!$AH:$AH,$BC123),0)</f>
        <v>0</v>
      </c>
      <c r="BF123">
        <f t="shared" si="24"/>
        <v>0</v>
      </c>
      <c r="BG123">
        <f>MAX(IF(INDEX(clean_historis!$CL:$CL,$BC123)=1,2025,0),IF(INDEX(clean_historis!$CK:$CK,$BC123)=1,2024,0),IF(INDEX(clean_historis!$CJ:$CJ,$BC123)=1,2023,0),IF(INDEX(clean_historis!$CI:$CI,$BC123)=1,2022,0),IF(INDEX(clean_historis!$CH:$CH,$BC123)=1,2021,0))</f>
        <v>0</v>
      </c>
      <c r="BH123">
        <f t="shared" si="25"/>
        <v>0</v>
      </c>
      <c r="BI123">
        <f t="shared" si="26"/>
        <v>0</v>
      </c>
      <c r="BJ123">
        <f t="shared" si="27"/>
        <v>0</v>
      </c>
      <c r="BK123">
        <f t="shared" si="28"/>
        <v>33.3354</v>
      </c>
      <c r="BL123">
        <f t="shared" si="29"/>
        <v>0</v>
      </c>
      <c r="BM123">
        <f t="shared" si="30"/>
        <v>0</v>
      </c>
      <c r="BN123">
        <v>0</v>
      </c>
      <c r="BO123">
        <f t="shared" si="33"/>
        <v>0</v>
      </c>
      <c r="BP123">
        <f t="shared" si="31"/>
        <v>1</v>
      </c>
      <c r="BQ123">
        <f t="shared" si="32"/>
        <v>0</v>
      </c>
    </row>
    <row r="124" spans="1:69" x14ac:dyDescent="0.25">
      <c r="A124">
        <v>123</v>
      </c>
      <c r="B124" t="s">
        <v>599</v>
      </c>
      <c r="C124" t="s">
        <v>600</v>
      </c>
      <c r="D124" t="s">
        <v>601</v>
      </c>
      <c r="E124" t="s">
        <v>602</v>
      </c>
      <c r="F124" t="s">
        <v>190</v>
      </c>
      <c r="G124">
        <v>2</v>
      </c>
      <c r="H124">
        <v>1</v>
      </c>
      <c r="I124">
        <v>716</v>
      </c>
      <c r="J124">
        <v>0</v>
      </c>
      <c r="K124">
        <v>0</v>
      </c>
      <c r="L124">
        <v>5758</v>
      </c>
      <c r="M124">
        <v>3364.1</v>
      </c>
      <c r="N124">
        <v>16271.6</v>
      </c>
      <c r="O124">
        <v>3221.9</v>
      </c>
      <c r="P124">
        <v>17651.2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5.69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150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2023</v>
      </c>
      <c r="AQ124">
        <v>3</v>
      </c>
      <c r="AR124">
        <v>0</v>
      </c>
      <c r="AS124">
        <v>0</v>
      </c>
      <c r="AT124">
        <v>0</v>
      </c>
      <c r="AU124">
        <v>1</v>
      </c>
      <c r="AV124">
        <f t="shared" si="17"/>
        <v>-7.7715611723760958E-16</v>
      </c>
      <c r="AW124">
        <f t="shared" si="18"/>
        <v>-0.99999999999999922</v>
      </c>
      <c r="AX124">
        <f t="shared" si="19"/>
        <v>0</v>
      </c>
      <c r="AY124">
        <f t="shared" si="20"/>
        <v>0</v>
      </c>
      <c r="AZ124">
        <f t="shared" si="21"/>
        <v>0</v>
      </c>
      <c r="BA124" t="str">
        <f t="shared" si="22"/>
        <v/>
      </c>
      <c r="BB124">
        <f t="shared" si="23"/>
        <v>0</v>
      </c>
      <c r="BC124">
        <f>MATCH($B124,clean_historis!$B:$B,0)</f>
        <v>124</v>
      </c>
      <c r="BD124">
        <f>IFERROR(INDEX(clean_historis!$AF:$AF,$BC124)/INDEX(clean_historis!$V:$V,$BC124),0)</f>
        <v>1</v>
      </c>
      <c r="BE124">
        <f>IFERROR(INDEX(clean_historis!$AR:$AR,$BC124)/INDEX(clean_historis!$AH:$AH,$BC124),0)</f>
        <v>0.99999999999999922</v>
      </c>
      <c r="BF124">
        <f t="shared" si="24"/>
        <v>0</v>
      </c>
      <c r="BG124">
        <f>MAX(IF(INDEX(clean_historis!$CL:$CL,$BC124)=1,2025,0),IF(INDEX(clean_historis!$CK:$CK,$BC124)=1,2024,0),IF(INDEX(clean_historis!$CJ:$CJ,$BC124)=1,2023,0),IF(INDEX(clean_historis!$CI:$CI,$BC124)=1,2022,0),IF(INDEX(clean_historis!$CH:$CH,$BC124)=1,2021,0))</f>
        <v>0</v>
      </c>
      <c r="BH124">
        <f t="shared" si="25"/>
        <v>1</v>
      </c>
      <c r="BI124">
        <f t="shared" si="26"/>
        <v>716</v>
      </c>
      <c r="BJ124">
        <f t="shared" si="27"/>
        <v>0</v>
      </c>
      <c r="BK124">
        <f t="shared" si="28"/>
        <v>43.044899999999998</v>
      </c>
      <c r="BL124">
        <f t="shared" si="29"/>
        <v>0</v>
      </c>
      <c r="BM124">
        <f t="shared" si="30"/>
        <v>0</v>
      </c>
      <c r="BN124">
        <v>1</v>
      </c>
      <c r="BO124">
        <f t="shared" si="33"/>
        <v>0</v>
      </c>
      <c r="BP124">
        <f t="shared" si="31"/>
        <v>1</v>
      </c>
      <c r="BQ124">
        <f t="shared" si="32"/>
        <v>1</v>
      </c>
    </row>
    <row r="125" spans="1:69" x14ac:dyDescent="0.25">
      <c r="A125">
        <v>124</v>
      </c>
      <c r="B125" t="s">
        <v>603</v>
      </c>
      <c r="C125" t="s">
        <v>604</v>
      </c>
      <c r="D125" t="s">
        <v>605</v>
      </c>
      <c r="E125" t="s">
        <v>606</v>
      </c>
      <c r="F125" t="s">
        <v>190</v>
      </c>
      <c r="G125">
        <v>2</v>
      </c>
      <c r="H125">
        <v>1</v>
      </c>
      <c r="I125">
        <v>570</v>
      </c>
      <c r="J125">
        <v>0</v>
      </c>
      <c r="K125">
        <v>0</v>
      </c>
      <c r="L125">
        <v>6068.8</v>
      </c>
      <c r="M125">
        <v>5264.4</v>
      </c>
      <c r="N125">
        <v>12201.7</v>
      </c>
      <c r="O125">
        <v>1096</v>
      </c>
      <c r="P125">
        <v>13600.3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0.82</v>
      </c>
      <c r="W125">
        <v>0.81999999284744263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0.81999999284744263</v>
      </c>
      <c r="AE125">
        <v>0</v>
      </c>
      <c r="AF125">
        <v>0.81999999284744263</v>
      </c>
      <c r="AG125">
        <v>0</v>
      </c>
      <c r="AH125">
        <v>1</v>
      </c>
      <c r="AI125">
        <v>150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R125">
        <v>0</v>
      </c>
      <c r="AS125">
        <v>0</v>
      </c>
      <c r="AT125">
        <v>0</v>
      </c>
      <c r="AU125">
        <v>0</v>
      </c>
      <c r="AV125">
        <f t="shared" si="17"/>
        <v>0.75609756097560976</v>
      </c>
      <c r="AW125">
        <f t="shared" si="18"/>
        <v>-8.7226308398413721E-9</v>
      </c>
      <c r="AX125">
        <f t="shared" si="19"/>
        <v>569.99999502810044</v>
      </c>
      <c r="AY125">
        <f t="shared" si="20"/>
        <v>0</v>
      </c>
      <c r="AZ125">
        <f t="shared" si="21"/>
        <v>0.81999999284744263</v>
      </c>
      <c r="BA125" t="str">
        <f t="shared" si="22"/>
        <v/>
      </c>
      <c r="BB125">
        <f t="shared" si="23"/>
        <v>0</v>
      </c>
      <c r="BC125">
        <f>MATCH($B125,clean_historis!$B:$B,0)</f>
        <v>125</v>
      </c>
      <c r="BD125">
        <f>IFERROR(INDEX(clean_historis!$AF:$AF,$BC125)/INDEX(clean_historis!$V:$V,$BC125),0)</f>
        <v>0.24390243902439027</v>
      </c>
      <c r="BE125">
        <f>IFERROR(INDEX(clean_historis!$AR:$AR,$BC125)/INDEX(clean_historis!$AH:$AH,$BC125),0)</f>
        <v>1</v>
      </c>
      <c r="BF125">
        <f t="shared" si="24"/>
        <v>0.99999999127736916</v>
      </c>
      <c r="BG125">
        <f>MAX(IF(INDEX(clean_historis!$CL:$CL,$BC125)=1,2025,0),IF(INDEX(clean_historis!$CK:$CK,$BC125)=1,2024,0),IF(INDEX(clean_historis!$CJ:$CJ,$BC125)=1,2023,0),IF(INDEX(clean_historis!$CI:$CI,$BC125)=1,2022,0),IF(INDEX(clean_historis!$CH:$CH,$BC125)=1,2021,0))</f>
        <v>0</v>
      </c>
      <c r="BH125">
        <f t="shared" si="25"/>
        <v>1</v>
      </c>
      <c r="BI125">
        <f t="shared" si="26"/>
        <v>570</v>
      </c>
      <c r="BJ125">
        <f t="shared" si="27"/>
        <v>0</v>
      </c>
      <c r="BK125">
        <f t="shared" si="28"/>
        <v>37.135199999999998</v>
      </c>
      <c r="BL125">
        <f t="shared" si="29"/>
        <v>0</v>
      </c>
      <c r="BM125">
        <f t="shared" si="30"/>
        <v>1</v>
      </c>
      <c r="BN125">
        <v>0</v>
      </c>
      <c r="BO125">
        <f t="shared" si="33"/>
        <v>1</v>
      </c>
      <c r="BP125">
        <f t="shared" si="31"/>
        <v>0</v>
      </c>
      <c r="BQ125">
        <f t="shared" si="32"/>
        <v>1</v>
      </c>
    </row>
    <row r="126" spans="1:69" x14ac:dyDescent="0.25">
      <c r="A126">
        <v>125</v>
      </c>
      <c r="B126" t="s">
        <v>607</v>
      </c>
      <c r="C126" t="s">
        <v>608</v>
      </c>
      <c r="D126" t="s">
        <v>609</v>
      </c>
      <c r="E126" t="s">
        <v>175</v>
      </c>
      <c r="F126" t="s">
        <v>176</v>
      </c>
      <c r="G126">
        <v>2</v>
      </c>
      <c r="H126">
        <v>1</v>
      </c>
      <c r="I126">
        <v>797</v>
      </c>
      <c r="J126">
        <v>0</v>
      </c>
      <c r="K126">
        <v>0</v>
      </c>
      <c r="L126">
        <v>1683.8</v>
      </c>
      <c r="M126">
        <v>112.4</v>
      </c>
      <c r="N126">
        <v>3382.1</v>
      </c>
      <c r="O126">
        <v>85</v>
      </c>
      <c r="P126">
        <v>1519.2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0.21</v>
      </c>
      <c r="W126">
        <v>0</v>
      </c>
      <c r="X126">
        <v>0</v>
      </c>
      <c r="Y126">
        <v>0.2099999934434891</v>
      </c>
      <c r="Z126">
        <v>0</v>
      </c>
      <c r="AA126">
        <v>0</v>
      </c>
      <c r="AB126">
        <v>0.2099999934434891</v>
      </c>
      <c r="AC126">
        <v>0</v>
      </c>
      <c r="AD126">
        <v>0</v>
      </c>
      <c r="AE126">
        <v>0.2099999934434891</v>
      </c>
      <c r="AF126">
        <v>0</v>
      </c>
      <c r="AG126">
        <v>1</v>
      </c>
      <c r="AH126">
        <v>0</v>
      </c>
      <c r="AI126">
        <v>150</v>
      </c>
      <c r="AJ126">
        <v>0</v>
      </c>
      <c r="AK126">
        <v>0.2099999934434891</v>
      </c>
      <c r="AL126">
        <v>0</v>
      </c>
      <c r="AM126">
        <v>0</v>
      </c>
      <c r="AN126">
        <v>1</v>
      </c>
      <c r="AO126">
        <v>1</v>
      </c>
      <c r="AP126">
        <v>2023</v>
      </c>
      <c r="AQ126">
        <v>3</v>
      </c>
      <c r="AR126">
        <v>0</v>
      </c>
      <c r="AS126">
        <v>0</v>
      </c>
      <c r="AT126">
        <v>0</v>
      </c>
      <c r="AU126">
        <v>0</v>
      </c>
      <c r="AV126">
        <f t="shared" si="17"/>
        <v>0</v>
      </c>
      <c r="AW126">
        <f t="shared" si="18"/>
        <v>0</v>
      </c>
      <c r="AX126">
        <f t="shared" si="19"/>
        <v>0</v>
      </c>
      <c r="AY126">
        <f t="shared" si="20"/>
        <v>0</v>
      </c>
      <c r="AZ126">
        <f t="shared" si="21"/>
        <v>0</v>
      </c>
      <c r="BA126">
        <f t="shared" si="22"/>
        <v>2</v>
      </c>
      <c r="BB126">
        <f t="shared" si="23"/>
        <v>1</v>
      </c>
      <c r="BC126">
        <f>MATCH($B126,clean_historis!$B:$B,0)</f>
        <v>126</v>
      </c>
      <c r="BD126">
        <f>IFERROR(INDEX(clean_historis!$AF:$AF,$BC126)/INDEX(clean_historis!$V:$V,$BC126),0)</f>
        <v>0</v>
      </c>
      <c r="BE126">
        <f>IFERROR(INDEX(clean_historis!$AR:$AR,$BC126)/INDEX(clean_historis!$AH:$AH,$BC126),0)</f>
        <v>0</v>
      </c>
      <c r="BF126">
        <f t="shared" si="24"/>
        <v>0</v>
      </c>
      <c r="BG126">
        <f>MAX(IF(INDEX(clean_historis!$CL:$CL,$BC126)=1,2025,0),IF(INDEX(clean_historis!$CK:$CK,$BC126)=1,2024,0),IF(INDEX(clean_historis!$CJ:$CJ,$BC126)=1,2023,0),IF(INDEX(clean_historis!$CI:$CI,$BC126)=1,2022,0),IF(INDEX(clean_historis!$CH:$CH,$BC126)=1,2021,0))</f>
        <v>2023</v>
      </c>
      <c r="BH126">
        <f t="shared" si="25"/>
        <v>0</v>
      </c>
      <c r="BI126">
        <f t="shared" si="26"/>
        <v>0</v>
      </c>
      <c r="BJ126">
        <f t="shared" si="27"/>
        <v>1</v>
      </c>
      <c r="BK126">
        <f t="shared" si="28"/>
        <v>6.6974999999999998</v>
      </c>
      <c r="BL126">
        <f t="shared" si="29"/>
        <v>0</v>
      </c>
      <c r="BM126">
        <f t="shared" si="30"/>
        <v>0</v>
      </c>
      <c r="BN126">
        <v>0</v>
      </c>
      <c r="BO126">
        <f t="shared" si="33"/>
        <v>1</v>
      </c>
      <c r="BP126">
        <f t="shared" si="31"/>
        <v>1</v>
      </c>
      <c r="BQ126">
        <f t="shared" si="32"/>
        <v>1</v>
      </c>
    </row>
    <row r="127" spans="1:69" x14ac:dyDescent="0.25">
      <c r="A127">
        <v>126</v>
      </c>
      <c r="B127" t="s">
        <v>610</v>
      </c>
      <c r="C127" t="s">
        <v>611</v>
      </c>
      <c r="D127" t="s">
        <v>612</v>
      </c>
      <c r="E127" t="s">
        <v>367</v>
      </c>
      <c r="F127" t="s">
        <v>100</v>
      </c>
      <c r="G127">
        <v>1</v>
      </c>
      <c r="H127">
        <v>1</v>
      </c>
      <c r="I127">
        <v>1142</v>
      </c>
      <c r="J127">
        <v>0</v>
      </c>
      <c r="K127">
        <v>0</v>
      </c>
      <c r="L127">
        <v>2008.7</v>
      </c>
      <c r="M127">
        <v>1250.2</v>
      </c>
      <c r="N127">
        <v>3227.5</v>
      </c>
      <c r="O127">
        <v>0</v>
      </c>
      <c r="P127">
        <v>29840.7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0.35</v>
      </c>
      <c r="W127">
        <v>0</v>
      </c>
      <c r="X127">
        <v>0</v>
      </c>
      <c r="Y127">
        <v>0.34999999403953552</v>
      </c>
      <c r="Z127">
        <v>0</v>
      </c>
      <c r="AA127">
        <v>0</v>
      </c>
      <c r="AB127">
        <v>0</v>
      </c>
      <c r="AC127">
        <v>0</v>
      </c>
      <c r="AD127">
        <v>0.34999999403953552</v>
      </c>
      <c r="AE127">
        <v>0</v>
      </c>
      <c r="AF127">
        <v>0.34999999403953552</v>
      </c>
      <c r="AG127">
        <v>0</v>
      </c>
      <c r="AH127">
        <v>1</v>
      </c>
      <c r="AI127">
        <v>150</v>
      </c>
      <c r="AJ127">
        <v>0</v>
      </c>
      <c r="AK127">
        <v>0</v>
      </c>
      <c r="AL127">
        <v>0</v>
      </c>
      <c r="AM127">
        <v>0.34999999403953552</v>
      </c>
      <c r="AN127">
        <v>1</v>
      </c>
      <c r="AO127">
        <v>1</v>
      </c>
      <c r="AP127">
        <v>2021</v>
      </c>
      <c r="AQ127">
        <v>5</v>
      </c>
      <c r="AR127">
        <v>0</v>
      </c>
      <c r="AS127">
        <v>0</v>
      </c>
      <c r="AT127">
        <v>0</v>
      </c>
      <c r="AU127">
        <v>0</v>
      </c>
      <c r="AV127">
        <f t="shared" si="17"/>
        <v>0.57142857142857151</v>
      </c>
      <c r="AW127">
        <f t="shared" si="18"/>
        <v>0.42857141154153</v>
      </c>
      <c r="AX127">
        <f t="shared" si="19"/>
        <v>1141.999980551856</v>
      </c>
      <c r="AY127">
        <f t="shared" si="20"/>
        <v>0</v>
      </c>
      <c r="AZ127">
        <f t="shared" si="21"/>
        <v>0.34999999403953552</v>
      </c>
      <c r="BA127">
        <f t="shared" si="22"/>
        <v>4</v>
      </c>
      <c r="BB127">
        <f t="shared" si="23"/>
        <v>0</v>
      </c>
      <c r="BC127">
        <f>MATCH($B127,clean_historis!$B:$B,0)</f>
        <v>127</v>
      </c>
      <c r="BD127">
        <f>IFERROR(INDEX(clean_historis!$AF:$AF,$BC127)/INDEX(clean_historis!$V:$V,$BC127),0)</f>
        <v>0</v>
      </c>
      <c r="BE127">
        <f>IFERROR(INDEX(clean_historis!$AR:$AR,$BC127)/INDEX(clean_historis!$AH:$AH,$BC127),0)</f>
        <v>0.57142857142857151</v>
      </c>
      <c r="BF127">
        <f t="shared" si="24"/>
        <v>0.99999998297010151</v>
      </c>
      <c r="BG127">
        <f>MAX(IF(INDEX(clean_historis!$CL:$CL,$BC127)=1,2025,0),IF(INDEX(clean_historis!$CK:$CK,$BC127)=1,2024,0),IF(INDEX(clean_historis!$CJ:$CJ,$BC127)=1,2023,0),IF(INDEX(clean_historis!$CI:$CI,$BC127)=1,2022,0),IF(INDEX(clean_historis!$CH:$CH,$BC127)=1,2021,0))</f>
        <v>2021</v>
      </c>
      <c r="BH127">
        <f t="shared" si="25"/>
        <v>1</v>
      </c>
      <c r="BI127">
        <f t="shared" si="26"/>
        <v>1142</v>
      </c>
      <c r="BJ127">
        <f t="shared" si="27"/>
        <v>0</v>
      </c>
      <c r="BK127">
        <f t="shared" si="28"/>
        <v>36.327100000000002</v>
      </c>
      <c r="BL127">
        <f t="shared" si="29"/>
        <v>0</v>
      </c>
      <c r="BM127">
        <f t="shared" si="30"/>
        <v>1</v>
      </c>
      <c r="BN127">
        <v>1</v>
      </c>
      <c r="BO127">
        <f t="shared" si="33"/>
        <v>1</v>
      </c>
      <c r="BP127">
        <f t="shared" si="31"/>
        <v>1</v>
      </c>
      <c r="BQ127">
        <f t="shared" si="32"/>
        <v>1</v>
      </c>
    </row>
    <row r="128" spans="1:69" x14ac:dyDescent="0.25">
      <c r="A128">
        <v>127</v>
      </c>
      <c r="B128" t="s">
        <v>613</v>
      </c>
      <c r="C128" t="s">
        <v>614</v>
      </c>
      <c r="D128" t="s">
        <v>615</v>
      </c>
      <c r="E128" t="s">
        <v>616</v>
      </c>
      <c r="F128" t="s">
        <v>363</v>
      </c>
      <c r="G128">
        <v>1</v>
      </c>
      <c r="H128">
        <v>1</v>
      </c>
      <c r="I128">
        <v>925</v>
      </c>
      <c r="J128">
        <v>0</v>
      </c>
      <c r="K128">
        <v>0</v>
      </c>
      <c r="L128">
        <v>1881.5</v>
      </c>
      <c r="M128">
        <v>1417.9</v>
      </c>
      <c r="N128">
        <v>3100.4</v>
      </c>
      <c r="O128">
        <v>215</v>
      </c>
      <c r="P128">
        <v>29713.5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0.33</v>
      </c>
      <c r="W128">
        <v>0</v>
      </c>
      <c r="X128">
        <v>0</v>
      </c>
      <c r="Y128">
        <v>0.33000001311302191</v>
      </c>
      <c r="Z128">
        <v>0</v>
      </c>
      <c r="AA128">
        <v>0</v>
      </c>
      <c r="AB128">
        <v>0</v>
      </c>
      <c r="AC128">
        <v>0</v>
      </c>
      <c r="AD128">
        <v>0.33000001311302191</v>
      </c>
      <c r="AE128">
        <v>0</v>
      </c>
      <c r="AF128">
        <v>0.33000001311302191</v>
      </c>
      <c r="AG128">
        <v>0</v>
      </c>
      <c r="AH128">
        <v>1</v>
      </c>
      <c r="AI128">
        <v>150</v>
      </c>
      <c r="AJ128">
        <v>0</v>
      </c>
      <c r="AK128">
        <v>0</v>
      </c>
      <c r="AL128">
        <v>0</v>
      </c>
      <c r="AM128">
        <v>0.33000001311302191</v>
      </c>
      <c r="AN128">
        <v>0</v>
      </c>
      <c r="AO128">
        <v>0</v>
      </c>
      <c r="AR128">
        <v>0</v>
      </c>
      <c r="AS128">
        <v>0</v>
      </c>
      <c r="AT128">
        <v>0</v>
      </c>
      <c r="AU128">
        <v>0</v>
      </c>
      <c r="AV128">
        <f t="shared" si="17"/>
        <v>4.4408920985006262E-16</v>
      </c>
      <c r="AW128">
        <f t="shared" si="18"/>
        <v>3.9736429480186075E-8</v>
      </c>
      <c r="AX128">
        <f t="shared" si="19"/>
        <v>925.00003675619769</v>
      </c>
      <c r="AY128">
        <f t="shared" si="20"/>
        <v>0</v>
      </c>
      <c r="AZ128">
        <f t="shared" si="21"/>
        <v>0.33000001311302191</v>
      </c>
      <c r="BA128" t="str">
        <f t="shared" si="22"/>
        <v/>
      </c>
      <c r="BB128">
        <f t="shared" si="23"/>
        <v>0</v>
      </c>
      <c r="BC128">
        <f>MATCH($B128,clean_historis!$B:$B,0)</f>
        <v>128</v>
      </c>
      <c r="BD128">
        <f>IFERROR(INDEX(clean_historis!$AF:$AF,$BC128)/INDEX(clean_historis!$V:$V,$BC128),0)</f>
        <v>1</v>
      </c>
      <c r="BE128">
        <f>IFERROR(INDEX(clean_historis!$AR:$AR,$BC128)/INDEX(clean_historis!$AH:$AH,$BC128),0)</f>
        <v>1.0000000000000004</v>
      </c>
      <c r="BF128">
        <f t="shared" si="24"/>
        <v>1.0000000397364299</v>
      </c>
      <c r="BG128">
        <f>MAX(IF(INDEX(clean_historis!$CL:$CL,$BC128)=1,2025,0),IF(INDEX(clean_historis!$CK:$CK,$BC128)=1,2024,0),IF(INDEX(clean_historis!$CJ:$CJ,$BC128)=1,2023,0),IF(INDEX(clean_historis!$CI:$CI,$BC128)=1,2022,0),IF(INDEX(clean_historis!$CH:$CH,$BC128)=1,2021,0))</f>
        <v>0</v>
      </c>
      <c r="BH128">
        <f t="shared" si="25"/>
        <v>1</v>
      </c>
      <c r="BI128">
        <f t="shared" si="26"/>
        <v>925</v>
      </c>
      <c r="BJ128">
        <f t="shared" si="27"/>
        <v>1</v>
      </c>
      <c r="BK128">
        <f t="shared" si="28"/>
        <v>36.113300000000002</v>
      </c>
      <c r="BL128">
        <f t="shared" si="29"/>
        <v>0</v>
      </c>
      <c r="BM128">
        <f t="shared" si="30"/>
        <v>1</v>
      </c>
      <c r="BN128">
        <v>1</v>
      </c>
      <c r="BO128">
        <f t="shared" si="33"/>
        <v>1</v>
      </c>
      <c r="BP128">
        <f t="shared" si="31"/>
        <v>0</v>
      </c>
      <c r="BQ128">
        <f t="shared" si="32"/>
        <v>1</v>
      </c>
    </row>
    <row r="129" spans="1:69" x14ac:dyDescent="0.25">
      <c r="A129">
        <v>128</v>
      </c>
      <c r="B129" t="s">
        <v>617</v>
      </c>
      <c r="C129" t="s">
        <v>618</v>
      </c>
      <c r="D129" t="s">
        <v>619</v>
      </c>
      <c r="E129" t="s">
        <v>620</v>
      </c>
      <c r="F129" t="s">
        <v>213</v>
      </c>
      <c r="G129">
        <v>3</v>
      </c>
      <c r="H129">
        <v>2</v>
      </c>
      <c r="I129">
        <v>4379</v>
      </c>
      <c r="J129">
        <v>0</v>
      </c>
      <c r="K129">
        <v>1</v>
      </c>
      <c r="L129">
        <v>1075.3</v>
      </c>
      <c r="M129">
        <v>1905.9</v>
      </c>
      <c r="N129">
        <v>3266.5</v>
      </c>
      <c r="O129">
        <v>952</v>
      </c>
      <c r="P129">
        <v>1533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1.25</v>
      </c>
      <c r="W129">
        <v>0</v>
      </c>
      <c r="X129">
        <v>0</v>
      </c>
      <c r="Y129">
        <v>1.25</v>
      </c>
      <c r="Z129">
        <v>0</v>
      </c>
      <c r="AA129">
        <v>0.34999999403953552</v>
      </c>
      <c r="AB129">
        <v>0.89999997615814209</v>
      </c>
      <c r="AC129">
        <v>0</v>
      </c>
      <c r="AD129">
        <v>0</v>
      </c>
      <c r="AE129">
        <v>1.2499999701976781</v>
      </c>
      <c r="AF129">
        <v>0</v>
      </c>
      <c r="AG129">
        <v>1</v>
      </c>
      <c r="AH129">
        <v>0</v>
      </c>
      <c r="AI129">
        <v>150</v>
      </c>
      <c r="AJ129">
        <v>0.34999999403953552</v>
      </c>
      <c r="AK129">
        <v>0.89999997615814209</v>
      </c>
      <c r="AL129">
        <v>0</v>
      </c>
      <c r="AM129">
        <v>0</v>
      </c>
      <c r="AN129">
        <v>1</v>
      </c>
      <c r="AO129">
        <v>3</v>
      </c>
      <c r="AP129">
        <v>2024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f t="shared" si="17"/>
        <v>0</v>
      </c>
      <c r="AW129">
        <f t="shared" si="18"/>
        <v>0</v>
      </c>
      <c r="AX129">
        <f t="shared" si="19"/>
        <v>0</v>
      </c>
      <c r="AY129">
        <f t="shared" si="20"/>
        <v>0</v>
      </c>
      <c r="AZ129">
        <f t="shared" si="21"/>
        <v>0</v>
      </c>
      <c r="BA129">
        <f t="shared" si="22"/>
        <v>1</v>
      </c>
      <c r="BB129">
        <f t="shared" si="23"/>
        <v>1</v>
      </c>
      <c r="BC129">
        <f>MATCH($B129,clean_historis!$B:$B,0)</f>
        <v>129</v>
      </c>
      <c r="BD129">
        <f>IFERROR(INDEX(clean_historis!$AF:$AF,$BC129)/INDEX(clean_historis!$V:$V,$BC129),0)</f>
        <v>0</v>
      </c>
      <c r="BE129">
        <f>IFERROR(INDEX(clean_historis!$AR:$AR,$BC129)/INDEX(clean_historis!$AH:$AH,$BC129),0)</f>
        <v>0</v>
      </c>
      <c r="BF129">
        <f t="shared" si="24"/>
        <v>0</v>
      </c>
      <c r="BG129">
        <f>MAX(IF(INDEX(clean_historis!$CL:$CL,$BC129)=1,2025,0),IF(INDEX(clean_historis!$CK:$CK,$BC129)=1,2024,0),IF(INDEX(clean_historis!$CJ:$CJ,$BC129)=1,2023,0),IF(INDEX(clean_historis!$CI:$CI,$BC129)=1,2022,0),IF(INDEX(clean_historis!$CH:$CH,$BC129)=1,2021,0))</f>
        <v>2024</v>
      </c>
      <c r="BH129">
        <f t="shared" si="25"/>
        <v>0</v>
      </c>
      <c r="BI129">
        <f t="shared" si="26"/>
        <v>0</v>
      </c>
      <c r="BJ129">
        <f t="shared" si="27"/>
        <v>1</v>
      </c>
      <c r="BK129">
        <f t="shared" si="28"/>
        <v>7.7807000000000004</v>
      </c>
      <c r="BL129">
        <f t="shared" si="29"/>
        <v>0</v>
      </c>
      <c r="BM129">
        <f t="shared" si="30"/>
        <v>0</v>
      </c>
      <c r="BN129">
        <v>0</v>
      </c>
      <c r="BO129">
        <f t="shared" si="33"/>
        <v>0</v>
      </c>
      <c r="BP129">
        <f t="shared" si="31"/>
        <v>1</v>
      </c>
      <c r="BQ129">
        <f t="shared" si="32"/>
        <v>0</v>
      </c>
    </row>
    <row r="130" spans="1:69" x14ac:dyDescent="0.25">
      <c r="A130">
        <v>129</v>
      </c>
      <c r="B130" t="s">
        <v>621</v>
      </c>
      <c r="C130" t="s">
        <v>622</v>
      </c>
      <c r="D130" t="s">
        <v>623</v>
      </c>
      <c r="E130" t="s">
        <v>624</v>
      </c>
      <c r="F130" t="s">
        <v>315</v>
      </c>
      <c r="G130">
        <v>1</v>
      </c>
      <c r="H130">
        <v>1</v>
      </c>
      <c r="I130">
        <v>923</v>
      </c>
      <c r="J130">
        <v>1</v>
      </c>
      <c r="K130">
        <v>0</v>
      </c>
      <c r="L130">
        <v>988.6</v>
      </c>
      <c r="M130">
        <v>1168.8</v>
      </c>
      <c r="N130">
        <v>1546.7</v>
      </c>
      <c r="O130">
        <v>496.2</v>
      </c>
      <c r="P130">
        <v>28159.8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0.32</v>
      </c>
      <c r="W130">
        <v>0</v>
      </c>
      <c r="X130">
        <v>0</v>
      </c>
      <c r="Y130">
        <v>0.31999999284744263</v>
      </c>
      <c r="Z130">
        <v>0</v>
      </c>
      <c r="AA130">
        <v>0</v>
      </c>
      <c r="AB130">
        <v>0.31999999284744263</v>
      </c>
      <c r="AC130">
        <v>0</v>
      </c>
      <c r="AD130">
        <v>0</v>
      </c>
      <c r="AE130">
        <v>0.31999999284744263</v>
      </c>
      <c r="AF130">
        <v>0</v>
      </c>
      <c r="AG130">
        <v>1</v>
      </c>
      <c r="AH130">
        <v>0</v>
      </c>
      <c r="AI130">
        <v>150</v>
      </c>
      <c r="AJ130">
        <v>0</v>
      </c>
      <c r="AK130">
        <v>0.31999999284744263</v>
      </c>
      <c r="AL130">
        <v>0</v>
      </c>
      <c r="AM130">
        <v>0</v>
      </c>
      <c r="AN130">
        <v>0</v>
      </c>
      <c r="AO130">
        <v>0</v>
      </c>
      <c r="AR130">
        <v>0</v>
      </c>
      <c r="AS130">
        <v>0</v>
      </c>
      <c r="AT130">
        <v>0</v>
      </c>
      <c r="AU130">
        <v>0</v>
      </c>
      <c r="AV130">
        <f t="shared" ref="AV130:AV193" si="34">IFERROR($BE130-$BD130,0)</f>
        <v>0</v>
      </c>
      <c r="AW130">
        <f t="shared" ref="AW130:AW193" si="35">IFERROR($BF130-$BE130,0)</f>
        <v>0</v>
      </c>
      <c r="AX130">
        <f t="shared" ref="AX130:AX193" si="36">IFERROR($BF130*$I130,0)</f>
        <v>0</v>
      </c>
      <c r="AY130">
        <f t="shared" ref="AY130:AY193" si="37">SUM($Q130:$U130)</f>
        <v>0</v>
      </c>
      <c r="AZ130">
        <f t="shared" ref="AZ130:AZ193" si="38">IFERROR($V130*$BF130,0)</f>
        <v>0</v>
      </c>
      <c r="BA130" t="str">
        <f t="shared" ref="BA130:BA193" si="39">IFERROR(IF($BG130=0,"",2025-$BG130),"")</f>
        <v/>
      </c>
      <c r="BB130">
        <f t="shared" ref="BB130:BB193" si="40">$AG130</f>
        <v>1</v>
      </c>
      <c r="BC130">
        <f>MATCH($B130,clean_historis!$B:$B,0)</f>
        <v>130</v>
      </c>
      <c r="BD130">
        <f>IFERROR(INDEX(clean_historis!$AF:$AF,$BC130)/INDEX(clean_historis!$V:$V,$BC130),0)</f>
        <v>0</v>
      </c>
      <c r="BE130">
        <f>IFERROR(INDEX(clean_historis!$AR:$AR,$BC130)/INDEX(clean_historis!$AH:$AH,$BC130),0)</f>
        <v>0</v>
      </c>
      <c r="BF130">
        <f t="shared" ref="BF130:BF193" si="41">IFERROR($AD130/$V130,0)</f>
        <v>0</v>
      </c>
      <c r="BG130">
        <f>MAX(IF(INDEX(clean_historis!$CL:$CL,$BC130)=1,2025,0),IF(INDEX(clean_historis!$CK:$CK,$BC130)=1,2024,0),IF(INDEX(clean_historis!$CJ:$CJ,$BC130)=1,2023,0),IF(INDEX(clean_historis!$CI:$CI,$BC130)=1,2022,0),IF(INDEX(clean_historis!$CH:$CH,$BC130)=1,2021,0))</f>
        <v>0</v>
      </c>
      <c r="BH130">
        <f t="shared" ref="BH130:BH193" si="42">IF($AG130&lt;&gt;"",1-$AG130,IF($BB130&lt;&gt;"",1-$BB130,IFERROR($AF130/$V130,0)))</f>
        <v>0</v>
      </c>
      <c r="BI130">
        <f t="shared" ref="BI130:BI193" si="43">IFERROR($BH130*$I130,0)</f>
        <v>0</v>
      </c>
      <c r="BJ130">
        <f t="shared" ref="BJ130:BJ193" si="44">IF(OR(AND($P130&lt;&gt;"",$P130&lt;=5000),AND($L130&lt;&gt;"",$L130&lt;=2000)),1,0)</f>
        <v>1</v>
      </c>
      <c r="BK130">
        <f t="shared" ref="BK130:BK193" si="45">IFERROR(($P130+$L130+$N130+$M130)/1000,0)</f>
        <v>31.863899999999997</v>
      </c>
      <c r="BL130">
        <f t="shared" ref="BL130:BL193" si="46">IF(OR(ISNUMBER(SEARCH("stadion",$C130)),ISNUMBER(SEARCH("pasar",$C130)),ISNUMBER(SEARCH("pustu",$C130)),ISNUMBER(SEARCH("puskesmas",$C130)),ISNUMBER(SEARCH("sekolah",$C130)),ISNUMBER(SEARCH("kantor",$C130)),ISNUMBER(SEARCH("terminal",$C130))),1,0)</f>
        <v>1</v>
      </c>
      <c r="BM130">
        <f t="shared" ref="BM130:BM193" si="47">IF(IF($BF130&lt;&gt;"",$BF130,IFERROR($AD130/$V130,0))&gt;=0.3,1,0)</f>
        <v>0</v>
      </c>
      <c r="BN130">
        <v>0</v>
      </c>
      <c r="BO130">
        <f t="shared" si="33"/>
        <v>1</v>
      </c>
      <c r="BP130">
        <f t="shared" ref="BP130:BP193" si="48">IF(AO130&gt;=1,1,0)</f>
        <v>0</v>
      </c>
      <c r="BQ130">
        <f t="shared" ref="BQ130:BQ193" si="49">IF(OR(BO130=1,BL130=1,BH130&gt;0.5),1,0)</f>
        <v>1</v>
      </c>
    </row>
    <row r="131" spans="1:69" x14ac:dyDescent="0.25">
      <c r="A131">
        <v>130</v>
      </c>
      <c r="B131" t="s">
        <v>625</v>
      </c>
      <c r="C131" t="s">
        <v>626</v>
      </c>
      <c r="D131" t="s">
        <v>627</v>
      </c>
      <c r="E131" t="s">
        <v>310</v>
      </c>
      <c r="F131" t="s">
        <v>310</v>
      </c>
      <c r="G131">
        <v>1</v>
      </c>
      <c r="H131">
        <v>1</v>
      </c>
      <c r="I131">
        <v>346</v>
      </c>
      <c r="J131">
        <v>0</v>
      </c>
      <c r="K131">
        <v>0</v>
      </c>
      <c r="L131">
        <v>33609.800000000003</v>
      </c>
      <c r="M131">
        <v>408.9</v>
      </c>
      <c r="N131">
        <v>35820.199999999997</v>
      </c>
      <c r="O131">
        <v>333.5</v>
      </c>
      <c r="P131">
        <v>35722.5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0.12</v>
      </c>
      <c r="W131">
        <v>0</v>
      </c>
      <c r="X131">
        <v>0</v>
      </c>
      <c r="Y131">
        <v>0.119999997317791</v>
      </c>
      <c r="Z131">
        <v>0</v>
      </c>
      <c r="AA131">
        <v>0.119999997317791</v>
      </c>
      <c r="AB131">
        <v>0</v>
      </c>
      <c r="AC131">
        <v>0</v>
      </c>
      <c r="AD131">
        <v>0</v>
      </c>
      <c r="AE131">
        <v>0.119999997317791</v>
      </c>
      <c r="AF131">
        <v>0</v>
      </c>
      <c r="AG131">
        <v>1</v>
      </c>
      <c r="AH131">
        <v>0</v>
      </c>
      <c r="AI131">
        <v>150</v>
      </c>
      <c r="AJ131">
        <v>0.119999997317791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2025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f t="shared" si="34"/>
        <v>1</v>
      </c>
      <c r="AW131">
        <f t="shared" si="35"/>
        <v>-1</v>
      </c>
      <c r="AX131">
        <f t="shared" si="36"/>
        <v>0</v>
      </c>
      <c r="AY131">
        <f t="shared" si="37"/>
        <v>0</v>
      </c>
      <c r="AZ131">
        <f t="shared" si="38"/>
        <v>0</v>
      </c>
      <c r="BA131" t="str">
        <f t="shared" si="39"/>
        <v/>
      </c>
      <c r="BB131">
        <f t="shared" si="40"/>
        <v>1</v>
      </c>
      <c r="BC131">
        <f>MATCH($B131,clean_historis!$B:$B,0)</f>
        <v>131</v>
      </c>
      <c r="BD131">
        <f>IFERROR(INDEX(clean_historis!$AF:$AF,$BC131)/INDEX(clean_historis!$V:$V,$BC131),0)</f>
        <v>0</v>
      </c>
      <c r="BE131">
        <f>IFERROR(INDEX(clean_historis!$AR:$AR,$BC131)/INDEX(clean_historis!$AH:$AH,$BC131),0)</f>
        <v>1</v>
      </c>
      <c r="BF131">
        <f t="shared" si="41"/>
        <v>0</v>
      </c>
      <c r="BG131">
        <f>MAX(IF(INDEX(clean_historis!$CL:$CL,$BC131)=1,2025,0),IF(INDEX(clean_historis!$CK:$CK,$BC131)=1,2024,0),IF(INDEX(clean_historis!$CJ:$CJ,$BC131)=1,2023,0),IF(INDEX(clean_historis!$CI:$CI,$BC131)=1,2022,0),IF(INDEX(clean_historis!$CH:$CH,$BC131)=1,2021,0))</f>
        <v>0</v>
      </c>
      <c r="BH131">
        <f t="shared" si="42"/>
        <v>0</v>
      </c>
      <c r="BI131">
        <f t="shared" si="43"/>
        <v>0</v>
      </c>
      <c r="BJ131">
        <f t="shared" si="44"/>
        <v>0</v>
      </c>
      <c r="BK131">
        <f t="shared" si="45"/>
        <v>105.56139999999999</v>
      </c>
      <c r="BL131">
        <f t="shared" si="46"/>
        <v>1</v>
      </c>
      <c r="BM131">
        <f t="shared" si="47"/>
        <v>0</v>
      </c>
      <c r="BN131">
        <v>0</v>
      </c>
      <c r="BO131">
        <f t="shared" ref="BO131:BO194" si="50">IF($V131&lt;1,1,0)</f>
        <v>1</v>
      </c>
      <c r="BP131">
        <f t="shared" si="48"/>
        <v>1</v>
      </c>
      <c r="BQ131">
        <f t="shared" si="49"/>
        <v>1</v>
      </c>
    </row>
    <row r="132" spans="1:69" x14ac:dyDescent="0.25">
      <c r="A132">
        <v>131</v>
      </c>
      <c r="B132" t="s">
        <v>628</v>
      </c>
      <c r="C132" t="s">
        <v>629</v>
      </c>
      <c r="D132" t="s">
        <v>630</v>
      </c>
      <c r="E132" t="s">
        <v>378</v>
      </c>
      <c r="F132" t="s">
        <v>105</v>
      </c>
      <c r="G132">
        <v>2</v>
      </c>
      <c r="H132">
        <v>1</v>
      </c>
      <c r="I132">
        <v>1247</v>
      </c>
      <c r="J132">
        <v>0</v>
      </c>
      <c r="K132">
        <v>0</v>
      </c>
      <c r="L132">
        <v>2374.3000000000002</v>
      </c>
      <c r="M132">
        <v>2616.4</v>
      </c>
      <c r="N132">
        <v>3485.1</v>
      </c>
      <c r="O132">
        <v>485.4</v>
      </c>
      <c r="P132">
        <v>4883.7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</v>
      </c>
      <c r="W132">
        <v>0</v>
      </c>
      <c r="X132">
        <v>0</v>
      </c>
      <c r="Y132">
        <v>0.51999998092651367</v>
      </c>
      <c r="Z132">
        <v>0</v>
      </c>
      <c r="AA132">
        <v>0.41999998688697809</v>
      </c>
      <c r="AB132">
        <v>0.10000000149011611</v>
      </c>
      <c r="AC132">
        <v>0</v>
      </c>
      <c r="AD132">
        <v>0</v>
      </c>
      <c r="AE132">
        <v>0.51999998837709427</v>
      </c>
      <c r="AF132">
        <v>0</v>
      </c>
      <c r="AG132">
        <v>1</v>
      </c>
      <c r="AH132">
        <v>0</v>
      </c>
      <c r="AI132">
        <v>150</v>
      </c>
      <c r="AJ132">
        <v>0.41999998688697809</v>
      </c>
      <c r="AK132">
        <v>0.10000000149011611</v>
      </c>
      <c r="AL132">
        <v>0</v>
      </c>
      <c r="AM132">
        <v>0</v>
      </c>
      <c r="AN132">
        <v>0</v>
      </c>
      <c r="AO132">
        <v>0</v>
      </c>
      <c r="AR132">
        <v>0</v>
      </c>
      <c r="AS132">
        <v>0</v>
      </c>
      <c r="AT132">
        <v>0</v>
      </c>
      <c r="AU132">
        <v>0</v>
      </c>
      <c r="AV132">
        <f t="shared" si="34"/>
        <v>0</v>
      </c>
      <c r="AW132">
        <f t="shared" si="35"/>
        <v>0</v>
      </c>
      <c r="AX132">
        <f t="shared" si="36"/>
        <v>0</v>
      </c>
      <c r="AY132">
        <f t="shared" si="37"/>
        <v>0</v>
      </c>
      <c r="AZ132">
        <f t="shared" si="38"/>
        <v>0</v>
      </c>
      <c r="BA132" t="str">
        <f t="shared" si="39"/>
        <v/>
      </c>
      <c r="BB132">
        <f t="shared" si="40"/>
        <v>1</v>
      </c>
      <c r="BC132">
        <f>MATCH($B132,clean_historis!$B:$B,0)</f>
        <v>132</v>
      </c>
      <c r="BD132">
        <f>IFERROR(INDEX(clean_historis!$AF:$AF,$BC132)/INDEX(clean_historis!$V:$V,$BC132),0)</f>
        <v>0</v>
      </c>
      <c r="BE132">
        <f>IFERROR(INDEX(clean_historis!$AR:$AR,$BC132)/INDEX(clean_historis!$AH:$AH,$BC132),0)</f>
        <v>0</v>
      </c>
      <c r="BF132">
        <f t="shared" si="41"/>
        <v>0</v>
      </c>
      <c r="BG132">
        <f>MAX(IF(INDEX(clean_historis!$CL:$CL,$BC132)=1,2025,0),IF(INDEX(clean_historis!$CK:$CK,$BC132)=1,2024,0),IF(INDEX(clean_historis!$CJ:$CJ,$BC132)=1,2023,0),IF(INDEX(clean_historis!$CI:$CI,$BC132)=1,2022,0),IF(INDEX(clean_historis!$CH:$CH,$BC132)=1,2021,0))</f>
        <v>0</v>
      </c>
      <c r="BH132">
        <f t="shared" si="42"/>
        <v>0</v>
      </c>
      <c r="BI132">
        <f t="shared" si="43"/>
        <v>0</v>
      </c>
      <c r="BJ132">
        <f t="shared" si="44"/>
        <v>1</v>
      </c>
      <c r="BK132">
        <f t="shared" si="45"/>
        <v>13.359500000000001</v>
      </c>
      <c r="BL132">
        <f t="shared" si="46"/>
        <v>0</v>
      </c>
      <c r="BM132">
        <f t="shared" si="47"/>
        <v>0</v>
      </c>
      <c r="BN132">
        <v>0</v>
      </c>
      <c r="BO132">
        <f t="shared" si="50"/>
        <v>1</v>
      </c>
      <c r="BP132">
        <f t="shared" si="48"/>
        <v>0</v>
      </c>
      <c r="BQ132">
        <f t="shared" si="49"/>
        <v>1</v>
      </c>
    </row>
    <row r="133" spans="1:69" x14ac:dyDescent="0.25">
      <c r="A133">
        <v>132</v>
      </c>
      <c r="B133" t="s">
        <v>524</v>
      </c>
      <c r="C133" t="s">
        <v>631</v>
      </c>
      <c r="D133" t="s">
        <v>632</v>
      </c>
      <c r="E133" t="s">
        <v>633</v>
      </c>
      <c r="F133" t="s">
        <v>176</v>
      </c>
      <c r="G133">
        <v>2</v>
      </c>
      <c r="H133">
        <v>1</v>
      </c>
      <c r="I133">
        <v>1083</v>
      </c>
      <c r="J133">
        <v>0</v>
      </c>
      <c r="K133">
        <v>1</v>
      </c>
      <c r="L133">
        <v>3995.5</v>
      </c>
      <c r="M133">
        <v>586.70000000000005</v>
      </c>
      <c r="N133">
        <v>4976.3999999999996</v>
      </c>
      <c r="O133">
        <v>1315.3</v>
      </c>
      <c r="P133">
        <v>6648.2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1.1100000000000001</v>
      </c>
      <c r="W133">
        <v>0</v>
      </c>
      <c r="X133">
        <v>0</v>
      </c>
      <c r="Y133">
        <v>1.110000014305115</v>
      </c>
      <c r="Z133">
        <v>0</v>
      </c>
      <c r="AA133">
        <v>0</v>
      </c>
      <c r="AB133">
        <v>1.110000014305115</v>
      </c>
      <c r="AC133">
        <v>0</v>
      </c>
      <c r="AD133">
        <v>0</v>
      </c>
      <c r="AE133">
        <v>1.110000014305115</v>
      </c>
      <c r="AF133">
        <v>0</v>
      </c>
      <c r="AG133">
        <v>1</v>
      </c>
      <c r="AH133">
        <v>0</v>
      </c>
      <c r="AI133">
        <v>150</v>
      </c>
      <c r="AJ133">
        <v>0</v>
      </c>
      <c r="AK133">
        <v>1.110000014305115</v>
      </c>
      <c r="AL133">
        <v>0</v>
      </c>
      <c r="AM133">
        <v>0</v>
      </c>
      <c r="AN133">
        <v>0</v>
      </c>
      <c r="AO133">
        <v>0</v>
      </c>
      <c r="AR133">
        <v>0</v>
      </c>
      <c r="AS133">
        <v>0</v>
      </c>
      <c r="AT133">
        <v>0</v>
      </c>
      <c r="AU133">
        <v>0</v>
      </c>
      <c r="AV133">
        <f t="shared" si="34"/>
        <v>3.7593984962406402E-2</v>
      </c>
      <c r="AW133">
        <f t="shared" si="35"/>
        <v>-0.7368421052631583</v>
      </c>
      <c r="AX133">
        <f t="shared" si="36"/>
        <v>0</v>
      </c>
      <c r="AY133">
        <f t="shared" si="37"/>
        <v>0</v>
      </c>
      <c r="AZ133">
        <f t="shared" si="38"/>
        <v>0</v>
      </c>
      <c r="BA133" t="str">
        <f t="shared" si="39"/>
        <v/>
      </c>
      <c r="BB133">
        <f t="shared" si="40"/>
        <v>1</v>
      </c>
      <c r="BC133">
        <f>MATCH($B133,clean_historis!$B:$B,0)</f>
        <v>105</v>
      </c>
      <c r="BD133">
        <f>IFERROR(INDEX(clean_historis!$AF:$AF,$BC133)/INDEX(clean_historis!$V:$V,$BC133),0)</f>
        <v>0.6992481203007519</v>
      </c>
      <c r="BE133">
        <f>IFERROR(INDEX(clean_historis!$AR:$AR,$BC133)/INDEX(clean_historis!$AH:$AH,$BC133),0)</f>
        <v>0.7368421052631583</v>
      </c>
      <c r="BF133">
        <f t="shared" si="41"/>
        <v>0</v>
      </c>
      <c r="BG133">
        <f>MAX(IF(INDEX(clean_historis!$CL:$CL,$BC133)=1,2025,0),IF(INDEX(clean_historis!$CK:$CK,$BC133)=1,2024,0),IF(INDEX(clean_historis!$CJ:$CJ,$BC133)=1,2023,0),IF(INDEX(clean_historis!$CI:$CI,$BC133)=1,2022,0),IF(INDEX(clean_historis!$CH:$CH,$BC133)=1,2021,0))</f>
        <v>0</v>
      </c>
      <c r="BH133">
        <f t="shared" si="42"/>
        <v>0</v>
      </c>
      <c r="BI133">
        <f t="shared" si="43"/>
        <v>0</v>
      </c>
      <c r="BJ133">
        <f t="shared" si="44"/>
        <v>0</v>
      </c>
      <c r="BK133">
        <f t="shared" si="45"/>
        <v>16.206800000000001</v>
      </c>
      <c r="BL133">
        <f t="shared" si="46"/>
        <v>0</v>
      </c>
      <c r="BM133">
        <f t="shared" si="47"/>
        <v>0</v>
      </c>
      <c r="BN133">
        <v>0</v>
      </c>
      <c r="BO133">
        <f t="shared" si="50"/>
        <v>0</v>
      </c>
      <c r="BP133">
        <f t="shared" si="48"/>
        <v>0</v>
      </c>
      <c r="BQ133">
        <f t="shared" si="49"/>
        <v>0</v>
      </c>
    </row>
    <row r="134" spans="1:69" x14ac:dyDescent="0.25">
      <c r="A134">
        <v>133</v>
      </c>
      <c r="B134" t="s">
        <v>634</v>
      </c>
      <c r="C134" t="s">
        <v>635</v>
      </c>
      <c r="D134" t="s">
        <v>636</v>
      </c>
      <c r="E134" t="s">
        <v>637</v>
      </c>
      <c r="F134" t="s">
        <v>127</v>
      </c>
      <c r="G134">
        <v>4</v>
      </c>
      <c r="H134">
        <v>1</v>
      </c>
      <c r="I134">
        <v>2294</v>
      </c>
      <c r="J134">
        <v>0</v>
      </c>
      <c r="K134">
        <v>0</v>
      </c>
      <c r="L134">
        <v>1919.7</v>
      </c>
      <c r="M134">
        <v>2759.4</v>
      </c>
      <c r="N134">
        <v>6664.3</v>
      </c>
      <c r="O134">
        <v>812.9</v>
      </c>
      <c r="P134">
        <v>5063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4.04</v>
      </c>
      <c r="W134">
        <v>0</v>
      </c>
      <c r="X134">
        <v>0</v>
      </c>
      <c r="Y134">
        <v>4.0399999618530273</v>
      </c>
      <c r="Z134">
        <v>0</v>
      </c>
      <c r="AA134">
        <v>0</v>
      </c>
      <c r="AB134">
        <v>1.8400000333786011</v>
      </c>
      <c r="AC134">
        <v>1.3999999761581421</v>
      </c>
      <c r="AD134">
        <v>0.80000001192092896</v>
      </c>
      <c r="AE134">
        <v>1.8400000333786011</v>
      </c>
      <c r="AF134">
        <v>2.199999988079071</v>
      </c>
      <c r="AG134">
        <v>0.4554455503974752</v>
      </c>
      <c r="AH134">
        <v>0.54455444960252486</v>
      </c>
      <c r="AI134">
        <v>150</v>
      </c>
      <c r="AJ134">
        <v>0</v>
      </c>
      <c r="AK134">
        <v>1.8400000333786011</v>
      </c>
      <c r="AL134">
        <v>1.3999999761581421</v>
      </c>
      <c r="AM134">
        <v>0.80000001192092896</v>
      </c>
      <c r="AN134">
        <v>1</v>
      </c>
      <c r="AO134">
        <v>4</v>
      </c>
      <c r="AP134">
        <v>2024</v>
      </c>
      <c r="AQ134">
        <v>2</v>
      </c>
      <c r="AR134">
        <v>0</v>
      </c>
      <c r="AS134">
        <v>0</v>
      </c>
      <c r="AT134">
        <v>0</v>
      </c>
      <c r="AU134">
        <v>0</v>
      </c>
      <c r="AV134">
        <f t="shared" si="34"/>
        <v>0</v>
      </c>
      <c r="AW134">
        <f t="shared" si="35"/>
        <v>0.198019804930923</v>
      </c>
      <c r="AX134">
        <f t="shared" si="36"/>
        <v>454.25743251153739</v>
      </c>
      <c r="AY134">
        <f t="shared" si="37"/>
        <v>0</v>
      </c>
      <c r="AZ134">
        <f t="shared" si="38"/>
        <v>0.80000001192092896</v>
      </c>
      <c r="BA134" t="str">
        <f t="shared" si="39"/>
        <v/>
      </c>
      <c r="BB134">
        <f t="shared" si="40"/>
        <v>0.4554455503974752</v>
      </c>
      <c r="BC134">
        <f>MATCH($B134,clean_historis!$B:$B,0)</f>
        <v>134</v>
      </c>
      <c r="BD134">
        <f>IFERROR(INDEX(clean_historis!$AF:$AF,$BC134)/INDEX(clean_historis!$V:$V,$BC134),0)</f>
        <v>0</v>
      </c>
      <c r="BE134">
        <f>IFERROR(INDEX(clean_historis!$AR:$AR,$BC134)/INDEX(clean_historis!$AH:$AH,$BC134),0)</f>
        <v>0</v>
      </c>
      <c r="BF134">
        <f t="shared" si="41"/>
        <v>0.198019804930923</v>
      </c>
      <c r="BG134">
        <f>MAX(IF(INDEX(clean_historis!$CL:$CL,$BC134)=1,2025,0),IF(INDEX(clean_historis!$CK:$CK,$BC134)=1,2024,0),IF(INDEX(clean_historis!$CJ:$CJ,$BC134)=1,2023,0),IF(INDEX(clean_historis!$CI:$CI,$BC134)=1,2022,0),IF(INDEX(clean_historis!$CH:$CH,$BC134)=1,2021,0))</f>
        <v>0</v>
      </c>
      <c r="BH134">
        <f t="shared" si="42"/>
        <v>0.54455444960252475</v>
      </c>
      <c r="BI134">
        <f t="shared" si="43"/>
        <v>1249.2079073881919</v>
      </c>
      <c r="BJ134">
        <f t="shared" si="44"/>
        <v>1</v>
      </c>
      <c r="BK134">
        <f t="shared" si="45"/>
        <v>16.406400000000001</v>
      </c>
      <c r="BL134">
        <f t="shared" si="46"/>
        <v>0</v>
      </c>
      <c r="BM134">
        <f t="shared" si="47"/>
        <v>0</v>
      </c>
      <c r="BN134">
        <v>0</v>
      </c>
      <c r="BO134">
        <f t="shared" si="50"/>
        <v>0</v>
      </c>
      <c r="BP134">
        <f t="shared" si="48"/>
        <v>1</v>
      </c>
      <c r="BQ134">
        <f t="shared" si="49"/>
        <v>1</v>
      </c>
    </row>
    <row r="135" spans="1:69" x14ac:dyDescent="0.25">
      <c r="A135">
        <v>134</v>
      </c>
      <c r="B135" t="s">
        <v>638</v>
      </c>
      <c r="C135" t="s">
        <v>639</v>
      </c>
      <c r="D135" t="s">
        <v>640</v>
      </c>
      <c r="E135" t="s">
        <v>641</v>
      </c>
      <c r="F135" t="s">
        <v>176</v>
      </c>
      <c r="G135">
        <v>3</v>
      </c>
      <c r="H135">
        <v>1</v>
      </c>
      <c r="I135">
        <v>1457</v>
      </c>
      <c r="J135">
        <v>0</v>
      </c>
      <c r="K135">
        <v>1</v>
      </c>
      <c r="L135">
        <v>4210.3</v>
      </c>
      <c r="M135">
        <v>3585.8</v>
      </c>
      <c r="N135">
        <v>2583.6</v>
      </c>
      <c r="O135">
        <v>961.6</v>
      </c>
      <c r="P135">
        <v>4255.3999999999996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1.9</v>
      </c>
      <c r="W135">
        <v>0</v>
      </c>
      <c r="X135">
        <v>0</v>
      </c>
      <c r="Y135">
        <v>1.8999999761581421</v>
      </c>
      <c r="Z135">
        <v>0</v>
      </c>
      <c r="AA135">
        <v>0</v>
      </c>
      <c r="AB135">
        <v>0.89999997615814209</v>
      </c>
      <c r="AC135">
        <v>0.30000001192092901</v>
      </c>
      <c r="AD135">
        <v>0.69999998807907104</v>
      </c>
      <c r="AE135">
        <v>0.89999997615814209</v>
      </c>
      <c r="AF135">
        <v>1</v>
      </c>
      <c r="AG135">
        <v>0.47368420392192301</v>
      </c>
      <c r="AH135">
        <v>0.5263157960780771</v>
      </c>
      <c r="AI135">
        <v>150</v>
      </c>
      <c r="AJ135">
        <v>0</v>
      </c>
      <c r="AK135">
        <v>0.89999997615814209</v>
      </c>
      <c r="AL135">
        <v>0.30000001192092901</v>
      </c>
      <c r="AM135">
        <v>0.69999998807907104</v>
      </c>
      <c r="AN135">
        <v>1</v>
      </c>
      <c r="AO135">
        <v>2</v>
      </c>
      <c r="AP135">
        <v>2023</v>
      </c>
      <c r="AQ135">
        <v>3</v>
      </c>
      <c r="AR135">
        <v>0</v>
      </c>
      <c r="AS135">
        <v>0</v>
      </c>
      <c r="AT135">
        <v>0</v>
      </c>
      <c r="AU135">
        <v>0</v>
      </c>
      <c r="AV135">
        <f t="shared" si="34"/>
        <v>0.31578947368421051</v>
      </c>
      <c r="AW135">
        <f t="shared" si="35"/>
        <v>5.2631572673195348E-2</v>
      </c>
      <c r="AX135">
        <f t="shared" si="36"/>
        <v>536.78946454274035</v>
      </c>
      <c r="AY135">
        <f t="shared" si="37"/>
        <v>0</v>
      </c>
      <c r="AZ135">
        <f t="shared" si="38"/>
        <v>0.69999998807907104</v>
      </c>
      <c r="BA135" t="str">
        <f t="shared" si="39"/>
        <v/>
      </c>
      <c r="BB135">
        <f t="shared" si="40"/>
        <v>0.47368420392192301</v>
      </c>
      <c r="BC135">
        <f>MATCH($B135,clean_historis!$B:$B,0)</f>
        <v>135</v>
      </c>
      <c r="BD135">
        <f>IFERROR(INDEX(clean_historis!$AF:$AF,$BC135)/INDEX(clean_historis!$V:$V,$BC135),0)</f>
        <v>0</v>
      </c>
      <c r="BE135">
        <f>IFERROR(INDEX(clean_historis!$AR:$AR,$BC135)/INDEX(clean_historis!$AH:$AH,$BC135),0)</f>
        <v>0.31578947368421051</v>
      </c>
      <c r="BF135">
        <f t="shared" si="41"/>
        <v>0.36842104635740586</v>
      </c>
      <c r="BG135">
        <f>MAX(IF(INDEX(clean_historis!$CL:$CL,$BC135)=1,2025,0),IF(INDEX(clean_historis!$CK:$CK,$BC135)=1,2024,0),IF(INDEX(clean_historis!$CJ:$CJ,$BC135)=1,2023,0),IF(INDEX(clean_historis!$CI:$CI,$BC135)=1,2022,0),IF(INDEX(clean_historis!$CH:$CH,$BC135)=1,2021,0))</f>
        <v>0</v>
      </c>
      <c r="BH135">
        <f t="shared" si="42"/>
        <v>0.52631579607807699</v>
      </c>
      <c r="BI135">
        <f t="shared" si="43"/>
        <v>766.84211488575818</v>
      </c>
      <c r="BJ135">
        <f t="shared" si="44"/>
        <v>1</v>
      </c>
      <c r="BK135">
        <f t="shared" si="45"/>
        <v>14.635100000000001</v>
      </c>
      <c r="BL135">
        <f t="shared" si="46"/>
        <v>0</v>
      </c>
      <c r="BM135">
        <f t="shared" si="47"/>
        <v>1</v>
      </c>
      <c r="BN135">
        <v>1</v>
      </c>
      <c r="BO135">
        <f t="shared" si="50"/>
        <v>0</v>
      </c>
      <c r="BP135">
        <f t="shared" si="48"/>
        <v>1</v>
      </c>
      <c r="BQ135">
        <f t="shared" si="49"/>
        <v>1</v>
      </c>
    </row>
    <row r="136" spans="1:69" x14ac:dyDescent="0.25">
      <c r="A136">
        <v>135</v>
      </c>
      <c r="B136" t="s">
        <v>642</v>
      </c>
      <c r="C136" t="s">
        <v>643</v>
      </c>
      <c r="D136" t="s">
        <v>644</v>
      </c>
      <c r="E136" t="s">
        <v>225</v>
      </c>
      <c r="F136" t="s">
        <v>190</v>
      </c>
      <c r="G136">
        <v>1</v>
      </c>
      <c r="H136">
        <v>1</v>
      </c>
      <c r="I136">
        <v>310</v>
      </c>
      <c r="J136">
        <v>0</v>
      </c>
      <c r="K136">
        <v>0</v>
      </c>
      <c r="L136">
        <v>7572.6</v>
      </c>
      <c r="M136">
        <v>5178.7</v>
      </c>
      <c r="N136">
        <v>18086.2</v>
      </c>
      <c r="O136">
        <v>716.1</v>
      </c>
      <c r="P136">
        <v>19465.7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</v>
      </c>
      <c r="W136">
        <v>0.30000001192092901</v>
      </c>
      <c r="X136">
        <v>0</v>
      </c>
      <c r="Y136">
        <v>0.5</v>
      </c>
      <c r="Z136">
        <v>0</v>
      </c>
      <c r="AA136">
        <v>0.5</v>
      </c>
      <c r="AB136">
        <v>0.10000000149011611</v>
      </c>
      <c r="AC136">
        <v>0</v>
      </c>
      <c r="AD136">
        <v>0.20000000298023221</v>
      </c>
      <c r="AE136">
        <v>0.60000000149011612</v>
      </c>
      <c r="AF136">
        <v>0.20000000298023221</v>
      </c>
      <c r="AG136">
        <v>0.74999999767169356</v>
      </c>
      <c r="AH136">
        <v>0.25000000232830638</v>
      </c>
      <c r="AI136">
        <v>150</v>
      </c>
      <c r="AJ136">
        <v>0.5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2025</v>
      </c>
      <c r="AQ136">
        <v>1</v>
      </c>
      <c r="AR136">
        <v>0</v>
      </c>
      <c r="AS136">
        <v>0</v>
      </c>
      <c r="AT136">
        <v>0</v>
      </c>
      <c r="AU136">
        <v>1</v>
      </c>
      <c r="AV136">
        <f t="shared" si="34"/>
        <v>-1.1102230246251565E-16</v>
      </c>
      <c r="AW136">
        <f t="shared" si="35"/>
        <v>-0.76744185699972989</v>
      </c>
      <c r="AX136">
        <f t="shared" si="36"/>
        <v>72.093024330083708</v>
      </c>
      <c r="AY136">
        <f t="shared" si="37"/>
        <v>0</v>
      </c>
      <c r="AZ136">
        <f t="shared" si="38"/>
        <v>0.20000000298023221</v>
      </c>
      <c r="BA136">
        <f t="shared" si="39"/>
        <v>0</v>
      </c>
      <c r="BB136">
        <f t="shared" si="40"/>
        <v>0.74999999767169356</v>
      </c>
      <c r="BC136">
        <f>MATCH($B136,clean_historis!$B:$B,0)</f>
        <v>136</v>
      </c>
      <c r="BD136">
        <f>IFERROR(INDEX(clean_historis!$AF:$AF,$BC136)/INDEX(clean_historis!$V:$V,$BC136),0)</f>
        <v>1</v>
      </c>
      <c r="BE136">
        <f>IFERROR(INDEX(clean_historis!$AR:$AR,$BC136)/INDEX(clean_historis!$AH:$AH,$BC136),0)</f>
        <v>0.99999999999999989</v>
      </c>
      <c r="BF136">
        <f t="shared" si="41"/>
        <v>0.23255814300027003</v>
      </c>
      <c r="BG136">
        <f>MAX(IF(INDEX(clean_historis!$CL:$CL,$BC136)=1,2025,0),IF(INDEX(clean_historis!$CK:$CK,$BC136)=1,2024,0),IF(INDEX(clean_historis!$CJ:$CJ,$BC136)=1,2023,0),IF(INDEX(clean_historis!$CI:$CI,$BC136)=1,2022,0),IF(INDEX(clean_historis!$CH:$CH,$BC136)=1,2021,0))</f>
        <v>2025</v>
      </c>
      <c r="BH136">
        <f t="shared" si="42"/>
        <v>0.25000000232830644</v>
      </c>
      <c r="BI136">
        <f t="shared" si="43"/>
        <v>77.500000721774995</v>
      </c>
      <c r="BJ136">
        <f t="shared" si="44"/>
        <v>0</v>
      </c>
      <c r="BK136">
        <f t="shared" si="45"/>
        <v>50.303199999999997</v>
      </c>
      <c r="BL136">
        <f t="shared" si="46"/>
        <v>0</v>
      </c>
      <c r="BM136">
        <f t="shared" si="47"/>
        <v>0</v>
      </c>
      <c r="BN136">
        <v>0</v>
      </c>
      <c r="BO136">
        <f t="shared" si="50"/>
        <v>1</v>
      </c>
      <c r="BP136">
        <f t="shared" si="48"/>
        <v>1</v>
      </c>
      <c r="BQ136">
        <f t="shared" si="49"/>
        <v>1</v>
      </c>
    </row>
    <row r="137" spans="1:69" x14ac:dyDescent="0.25">
      <c r="A137">
        <v>136</v>
      </c>
      <c r="B137" t="s">
        <v>645</v>
      </c>
      <c r="C137" t="s">
        <v>646</v>
      </c>
      <c r="D137" t="s">
        <v>647</v>
      </c>
      <c r="E137" t="s">
        <v>249</v>
      </c>
      <c r="F137" t="s">
        <v>149</v>
      </c>
      <c r="G137">
        <v>2</v>
      </c>
      <c r="H137">
        <v>1</v>
      </c>
      <c r="I137">
        <v>1286</v>
      </c>
      <c r="J137">
        <v>0</v>
      </c>
      <c r="K137">
        <v>0</v>
      </c>
      <c r="L137">
        <v>3487.3</v>
      </c>
      <c r="M137">
        <v>2758.9</v>
      </c>
      <c r="N137">
        <v>11780.9</v>
      </c>
      <c r="O137">
        <v>1002.5</v>
      </c>
      <c r="P137">
        <v>9918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0.98</v>
      </c>
      <c r="W137">
        <v>0.98000001907348633</v>
      </c>
      <c r="X137">
        <v>0</v>
      </c>
      <c r="Y137">
        <v>0</v>
      </c>
      <c r="Z137">
        <v>0</v>
      </c>
      <c r="AA137">
        <v>0</v>
      </c>
      <c r="AB137">
        <v>0.57999998331069946</v>
      </c>
      <c r="AC137">
        <v>0.10000000149011611</v>
      </c>
      <c r="AD137">
        <v>0.30000001192092901</v>
      </c>
      <c r="AE137">
        <v>0.57999998331069946</v>
      </c>
      <c r="AF137">
        <v>0.40000001341104507</v>
      </c>
      <c r="AG137">
        <v>0.59183671964376672</v>
      </c>
      <c r="AH137">
        <v>0.40816328035623323</v>
      </c>
      <c r="AI137">
        <v>150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R137">
        <v>0</v>
      </c>
      <c r="AS137">
        <v>0</v>
      </c>
      <c r="AT137">
        <v>0</v>
      </c>
      <c r="AU137">
        <v>0</v>
      </c>
      <c r="AV137">
        <f t="shared" si="34"/>
        <v>0.59183673469387754</v>
      </c>
      <c r="AW137">
        <f t="shared" si="35"/>
        <v>-0.28571427355007245</v>
      </c>
      <c r="AX137">
        <f t="shared" si="36"/>
        <v>393.67348503093336</v>
      </c>
      <c r="AY137">
        <f t="shared" si="37"/>
        <v>0</v>
      </c>
      <c r="AZ137">
        <f t="shared" si="38"/>
        <v>0.30000001192092901</v>
      </c>
      <c r="BA137" t="str">
        <f t="shared" si="39"/>
        <v/>
      </c>
      <c r="BB137">
        <f t="shared" si="40"/>
        <v>0.59183671964376672</v>
      </c>
      <c r="BC137">
        <f>MATCH($B137,clean_historis!$B:$B,0)</f>
        <v>137</v>
      </c>
      <c r="BD137">
        <f>IFERROR(INDEX(clean_historis!$AF:$AF,$BC137)/INDEX(clean_historis!$V:$V,$BC137),0)</f>
        <v>0</v>
      </c>
      <c r="BE137">
        <f>IFERROR(INDEX(clean_historis!$AR:$AR,$BC137)/INDEX(clean_historis!$AH:$AH,$BC137),0)</f>
        <v>0.59183673469387754</v>
      </c>
      <c r="BF137">
        <f t="shared" si="41"/>
        <v>0.30612246114380509</v>
      </c>
      <c r="BG137">
        <f>MAX(IF(INDEX(clean_historis!$CL:$CL,$BC137)=1,2025,0),IF(INDEX(clean_historis!$CK:$CK,$BC137)=1,2024,0),IF(INDEX(clean_historis!$CJ:$CJ,$BC137)=1,2023,0),IF(INDEX(clean_historis!$CI:$CI,$BC137)=1,2022,0),IF(INDEX(clean_historis!$CH:$CH,$BC137)=1,2021,0))</f>
        <v>0</v>
      </c>
      <c r="BH137">
        <f t="shared" si="42"/>
        <v>0.40816328035623328</v>
      </c>
      <c r="BI137">
        <f t="shared" si="43"/>
        <v>524.89797853811604</v>
      </c>
      <c r="BJ137">
        <f t="shared" si="44"/>
        <v>0</v>
      </c>
      <c r="BK137">
        <f t="shared" si="45"/>
        <v>27.9451</v>
      </c>
      <c r="BL137">
        <f t="shared" si="46"/>
        <v>0</v>
      </c>
      <c r="BM137">
        <f t="shared" si="47"/>
        <v>1</v>
      </c>
      <c r="BN137">
        <v>0</v>
      </c>
      <c r="BO137">
        <f t="shared" si="50"/>
        <v>1</v>
      </c>
      <c r="BP137">
        <f t="shared" si="48"/>
        <v>0</v>
      </c>
      <c r="BQ137">
        <f t="shared" si="49"/>
        <v>1</v>
      </c>
    </row>
    <row r="138" spans="1:69" x14ac:dyDescent="0.25">
      <c r="A138">
        <v>137</v>
      </c>
      <c r="B138" t="s">
        <v>648</v>
      </c>
      <c r="C138" t="s">
        <v>649</v>
      </c>
      <c r="D138" t="s">
        <v>650</v>
      </c>
      <c r="E138" t="s">
        <v>651</v>
      </c>
      <c r="F138" t="s">
        <v>149</v>
      </c>
      <c r="G138">
        <v>1</v>
      </c>
      <c r="H138">
        <v>1</v>
      </c>
      <c r="I138">
        <v>787</v>
      </c>
      <c r="J138">
        <v>0</v>
      </c>
      <c r="K138">
        <v>0</v>
      </c>
      <c r="L138">
        <v>2912</v>
      </c>
      <c r="M138">
        <v>3645.1</v>
      </c>
      <c r="N138">
        <v>11001.8</v>
      </c>
      <c r="O138">
        <v>714.4</v>
      </c>
      <c r="P138">
        <v>9138.9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</v>
      </c>
      <c r="W138">
        <v>0</v>
      </c>
      <c r="X138">
        <v>0</v>
      </c>
      <c r="Y138">
        <v>0.69999998807907104</v>
      </c>
      <c r="Z138">
        <v>0</v>
      </c>
      <c r="AA138">
        <v>0.10000000149011611</v>
      </c>
      <c r="AB138">
        <v>0.30000001192092901</v>
      </c>
      <c r="AC138">
        <v>0.20000000298023221</v>
      </c>
      <c r="AD138">
        <v>0.10000000149011611</v>
      </c>
      <c r="AE138">
        <v>0.40000001341104507</v>
      </c>
      <c r="AF138">
        <v>0.30000000447034841</v>
      </c>
      <c r="AG138">
        <v>0.57142857599015129</v>
      </c>
      <c r="AH138">
        <v>0.42857142400984871</v>
      </c>
      <c r="AI138">
        <v>150</v>
      </c>
      <c r="AJ138">
        <v>0.10000000149011611</v>
      </c>
      <c r="AK138">
        <v>0.30000001192092901</v>
      </c>
      <c r="AL138">
        <v>0.20000000298023221</v>
      </c>
      <c r="AM138">
        <v>0.10000000149011611</v>
      </c>
      <c r="AN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f t="shared" si="34"/>
        <v>0</v>
      </c>
      <c r="AW138">
        <f t="shared" si="35"/>
        <v>0.14285714498588015</v>
      </c>
      <c r="AX138">
        <f t="shared" si="36"/>
        <v>112.42857310388767</v>
      </c>
      <c r="AY138">
        <f t="shared" si="37"/>
        <v>0</v>
      </c>
      <c r="AZ138">
        <f t="shared" si="38"/>
        <v>0.10000000149011609</v>
      </c>
      <c r="BA138" t="str">
        <f t="shared" si="39"/>
        <v/>
      </c>
      <c r="BB138">
        <f t="shared" si="40"/>
        <v>0.57142857599015129</v>
      </c>
      <c r="BC138">
        <f>MATCH($B138,clean_historis!$B:$B,0)</f>
        <v>138</v>
      </c>
      <c r="BD138">
        <f>IFERROR(INDEX(clean_historis!$AF:$AF,$BC138)/INDEX(clean_historis!$V:$V,$BC138),0)</f>
        <v>0</v>
      </c>
      <c r="BE138">
        <f>IFERROR(INDEX(clean_historis!$AR:$AR,$BC138)/INDEX(clean_historis!$AH:$AH,$BC138),0)</f>
        <v>0</v>
      </c>
      <c r="BF138">
        <f t="shared" si="41"/>
        <v>0.14285714498588015</v>
      </c>
      <c r="BG138">
        <f>MAX(IF(INDEX(clean_historis!$CL:$CL,$BC138)=1,2025,0),IF(INDEX(clean_historis!$CK:$CK,$BC138)=1,2024,0),IF(INDEX(clean_historis!$CJ:$CJ,$BC138)=1,2023,0),IF(INDEX(clean_historis!$CI:$CI,$BC138)=1,2022,0),IF(INDEX(clean_historis!$CH:$CH,$BC138)=1,2021,0))</f>
        <v>0</v>
      </c>
      <c r="BH138">
        <f t="shared" si="42"/>
        <v>0.42857142400984871</v>
      </c>
      <c r="BI138">
        <f t="shared" si="43"/>
        <v>337.28571069575094</v>
      </c>
      <c r="BJ138">
        <f t="shared" si="44"/>
        <v>0</v>
      </c>
      <c r="BK138">
        <f t="shared" si="45"/>
        <v>26.697799999999997</v>
      </c>
      <c r="BL138">
        <f t="shared" si="46"/>
        <v>0</v>
      </c>
      <c r="BM138">
        <f t="shared" si="47"/>
        <v>0</v>
      </c>
      <c r="BN138">
        <v>0</v>
      </c>
      <c r="BO138">
        <f t="shared" si="50"/>
        <v>1</v>
      </c>
      <c r="BP138">
        <f t="shared" si="48"/>
        <v>0</v>
      </c>
      <c r="BQ138">
        <f t="shared" si="49"/>
        <v>1</v>
      </c>
    </row>
    <row r="139" spans="1:69" x14ac:dyDescent="0.25">
      <c r="A139">
        <v>138</v>
      </c>
      <c r="B139" t="s">
        <v>652</v>
      </c>
      <c r="C139" t="s">
        <v>653</v>
      </c>
      <c r="D139" t="s">
        <v>654</v>
      </c>
      <c r="E139" t="s">
        <v>367</v>
      </c>
      <c r="F139" t="s">
        <v>100</v>
      </c>
      <c r="G139">
        <v>1</v>
      </c>
      <c r="H139">
        <v>1</v>
      </c>
      <c r="I139">
        <v>1142</v>
      </c>
      <c r="J139">
        <v>0</v>
      </c>
      <c r="K139">
        <v>0</v>
      </c>
      <c r="L139">
        <v>781.6</v>
      </c>
      <c r="M139">
        <v>796.9</v>
      </c>
      <c r="N139">
        <v>2773.5</v>
      </c>
      <c r="O139">
        <v>196.3</v>
      </c>
      <c r="P139">
        <v>910.6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0.23</v>
      </c>
      <c r="W139">
        <v>0</v>
      </c>
      <c r="X139">
        <v>0</v>
      </c>
      <c r="Y139">
        <v>0.23000000417232511</v>
      </c>
      <c r="Z139">
        <v>0</v>
      </c>
      <c r="AA139">
        <v>0.23000000417232511</v>
      </c>
      <c r="AB139">
        <v>0</v>
      </c>
      <c r="AC139">
        <v>0</v>
      </c>
      <c r="AD139">
        <v>0</v>
      </c>
      <c r="AE139">
        <v>0.23000000417232511</v>
      </c>
      <c r="AF139">
        <v>0</v>
      </c>
      <c r="AG139">
        <v>1</v>
      </c>
      <c r="AH139">
        <v>0</v>
      </c>
      <c r="AI139">
        <v>150</v>
      </c>
      <c r="AJ139">
        <v>0.23000000417232511</v>
      </c>
      <c r="AK139">
        <v>0</v>
      </c>
      <c r="AL139">
        <v>0</v>
      </c>
      <c r="AM139">
        <v>0</v>
      </c>
      <c r="AN139">
        <v>0</v>
      </c>
      <c r="AO139">
        <v>0</v>
      </c>
      <c r="AR139">
        <v>0</v>
      </c>
      <c r="AS139">
        <v>0</v>
      </c>
      <c r="AT139">
        <v>0</v>
      </c>
      <c r="AU139">
        <v>0</v>
      </c>
      <c r="AV139">
        <f t="shared" si="34"/>
        <v>0</v>
      </c>
      <c r="AW139">
        <f t="shared" si="35"/>
        <v>0</v>
      </c>
      <c r="AX139">
        <f t="shared" si="36"/>
        <v>0</v>
      </c>
      <c r="AY139">
        <f t="shared" si="37"/>
        <v>0</v>
      </c>
      <c r="AZ139">
        <f t="shared" si="38"/>
        <v>0</v>
      </c>
      <c r="BA139" t="str">
        <f t="shared" si="39"/>
        <v/>
      </c>
      <c r="BB139">
        <f t="shared" si="40"/>
        <v>1</v>
      </c>
      <c r="BC139">
        <f>MATCH($B139,clean_historis!$B:$B,0)</f>
        <v>139</v>
      </c>
      <c r="BD139">
        <f>IFERROR(INDEX(clean_historis!$AF:$AF,$BC139)/INDEX(clean_historis!$V:$V,$BC139),0)</f>
        <v>0</v>
      </c>
      <c r="BE139">
        <f>IFERROR(INDEX(clean_historis!$AR:$AR,$BC139)/INDEX(clean_historis!$AH:$AH,$BC139),0)</f>
        <v>0</v>
      </c>
      <c r="BF139">
        <f t="shared" si="41"/>
        <v>0</v>
      </c>
      <c r="BG139">
        <f>MAX(IF(INDEX(clean_historis!$CL:$CL,$BC139)=1,2025,0),IF(INDEX(clean_historis!$CK:$CK,$BC139)=1,2024,0),IF(INDEX(clean_historis!$CJ:$CJ,$BC139)=1,2023,0),IF(INDEX(clean_historis!$CI:$CI,$BC139)=1,2022,0),IF(INDEX(clean_historis!$CH:$CH,$BC139)=1,2021,0))</f>
        <v>0</v>
      </c>
      <c r="BH139">
        <f t="shared" si="42"/>
        <v>0</v>
      </c>
      <c r="BI139">
        <f t="shared" si="43"/>
        <v>0</v>
      </c>
      <c r="BJ139">
        <f t="shared" si="44"/>
        <v>1</v>
      </c>
      <c r="BK139">
        <f t="shared" si="45"/>
        <v>5.2625999999999991</v>
      </c>
      <c r="BL139">
        <f t="shared" si="46"/>
        <v>0</v>
      </c>
      <c r="BM139">
        <f t="shared" si="47"/>
        <v>0</v>
      </c>
      <c r="BN139">
        <v>0</v>
      </c>
      <c r="BO139">
        <f t="shared" si="50"/>
        <v>1</v>
      </c>
      <c r="BP139">
        <f t="shared" si="48"/>
        <v>0</v>
      </c>
      <c r="BQ139">
        <f t="shared" si="49"/>
        <v>1</v>
      </c>
    </row>
    <row r="140" spans="1:69" x14ac:dyDescent="0.25">
      <c r="A140">
        <v>139</v>
      </c>
      <c r="B140" t="s">
        <v>655</v>
      </c>
      <c r="C140" t="s">
        <v>656</v>
      </c>
      <c r="D140" t="s">
        <v>657</v>
      </c>
      <c r="E140" t="s">
        <v>444</v>
      </c>
      <c r="F140" t="s">
        <v>363</v>
      </c>
      <c r="G140">
        <v>1</v>
      </c>
      <c r="H140">
        <v>1</v>
      </c>
      <c r="I140">
        <v>870</v>
      </c>
      <c r="J140">
        <v>1</v>
      </c>
      <c r="K140">
        <v>0</v>
      </c>
      <c r="L140">
        <v>1729.3</v>
      </c>
      <c r="M140">
        <v>1490.7</v>
      </c>
      <c r="N140">
        <v>2948.2</v>
      </c>
      <c r="O140">
        <v>0</v>
      </c>
      <c r="P140">
        <v>29561.3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0.31</v>
      </c>
      <c r="W140">
        <v>0</v>
      </c>
      <c r="X140">
        <v>0</v>
      </c>
      <c r="Y140">
        <v>0.31000000238418579</v>
      </c>
      <c r="Z140">
        <v>0</v>
      </c>
      <c r="AA140">
        <v>0.20000000298023221</v>
      </c>
      <c r="AB140">
        <v>0</v>
      </c>
      <c r="AC140">
        <v>0</v>
      </c>
      <c r="AD140">
        <v>0.10999999940395359</v>
      </c>
      <c r="AE140">
        <v>0.20000000298023221</v>
      </c>
      <c r="AF140">
        <v>0.10999999940395359</v>
      </c>
      <c r="AG140">
        <v>0.64516129497434793</v>
      </c>
      <c r="AH140">
        <v>0.35483870502565212</v>
      </c>
      <c r="AI140">
        <v>150</v>
      </c>
      <c r="AJ140">
        <v>0.20000000298023221</v>
      </c>
      <c r="AK140">
        <v>0</v>
      </c>
      <c r="AL140">
        <v>0</v>
      </c>
      <c r="AM140">
        <v>0.10999999940395359</v>
      </c>
      <c r="AN140">
        <v>0</v>
      </c>
      <c r="AO140">
        <v>0</v>
      </c>
      <c r="AR140">
        <v>0</v>
      </c>
      <c r="AS140">
        <v>0</v>
      </c>
      <c r="AT140">
        <v>0</v>
      </c>
      <c r="AU140">
        <v>0</v>
      </c>
      <c r="AV140">
        <f t="shared" si="34"/>
        <v>0</v>
      </c>
      <c r="AW140">
        <f t="shared" si="35"/>
        <v>-1.9227303638125193E-9</v>
      </c>
      <c r="AX140">
        <f t="shared" si="36"/>
        <v>308.70967574657942</v>
      </c>
      <c r="AY140">
        <f t="shared" si="37"/>
        <v>0</v>
      </c>
      <c r="AZ140">
        <f t="shared" si="38"/>
        <v>0.10999999940395359</v>
      </c>
      <c r="BA140" t="str">
        <f t="shared" si="39"/>
        <v/>
      </c>
      <c r="BB140">
        <f t="shared" si="40"/>
        <v>0.64516129497434793</v>
      </c>
      <c r="BC140">
        <f>MATCH($B140,clean_historis!$B:$B,0)</f>
        <v>140</v>
      </c>
      <c r="BD140">
        <f>IFERROR(INDEX(clean_historis!$AF:$AF,$BC140)/INDEX(clean_historis!$V:$V,$BC140),0)</f>
        <v>0.35483870967741937</v>
      </c>
      <c r="BE140">
        <f>IFERROR(INDEX(clean_historis!$AR:$AR,$BC140)/INDEX(clean_historis!$AH:$AH,$BC140),0)</f>
        <v>0.35483870967741937</v>
      </c>
      <c r="BF140">
        <f t="shared" si="41"/>
        <v>0.35483870775468901</v>
      </c>
      <c r="BG140">
        <f>MAX(IF(INDEX(clean_historis!$CL:$CL,$BC140)=1,2025,0),IF(INDEX(clean_historis!$CK:$CK,$BC140)=1,2024,0),IF(INDEX(clean_historis!$CJ:$CJ,$BC140)=1,2023,0),IF(INDEX(clean_historis!$CI:$CI,$BC140)=1,2022,0),IF(INDEX(clean_historis!$CH:$CH,$BC140)=1,2021,0))</f>
        <v>0</v>
      </c>
      <c r="BH140">
        <f t="shared" si="42"/>
        <v>0.35483870502565207</v>
      </c>
      <c r="BI140">
        <f t="shared" si="43"/>
        <v>308.7096733723173</v>
      </c>
      <c r="BJ140">
        <f t="shared" si="44"/>
        <v>1</v>
      </c>
      <c r="BK140">
        <f t="shared" si="45"/>
        <v>35.729499999999994</v>
      </c>
      <c r="BL140">
        <f t="shared" si="46"/>
        <v>0</v>
      </c>
      <c r="BM140">
        <f t="shared" si="47"/>
        <v>1</v>
      </c>
      <c r="BN140">
        <v>0</v>
      </c>
      <c r="BO140">
        <f t="shared" si="50"/>
        <v>1</v>
      </c>
      <c r="BP140">
        <f t="shared" si="48"/>
        <v>0</v>
      </c>
      <c r="BQ140">
        <f t="shared" si="49"/>
        <v>1</v>
      </c>
    </row>
    <row r="141" spans="1:69" x14ac:dyDescent="0.25">
      <c r="A141">
        <v>140</v>
      </c>
      <c r="B141" t="s">
        <v>658</v>
      </c>
      <c r="C141" t="s">
        <v>659</v>
      </c>
      <c r="D141" t="s">
        <v>660</v>
      </c>
      <c r="E141" t="s">
        <v>350</v>
      </c>
      <c r="F141" t="s">
        <v>105</v>
      </c>
      <c r="G141">
        <v>1</v>
      </c>
      <c r="H141">
        <v>1</v>
      </c>
      <c r="I141">
        <v>404</v>
      </c>
      <c r="J141">
        <v>0</v>
      </c>
      <c r="K141">
        <v>1</v>
      </c>
      <c r="L141">
        <v>2008.8</v>
      </c>
      <c r="M141">
        <v>2598.1</v>
      </c>
      <c r="N141">
        <v>9226.6</v>
      </c>
      <c r="O141">
        <v>816.8</v>
      </c>
      <c r="P141">
        <v>10606.1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0.69</v>
      </c>
      <c r="W141">
        <v>0</v>
      </c>
      <c r="X141">
        <v>0</v>
      </c>
      <c r="Y141">
        <v>0.60000002384185791</v>
      </c>
      <c r="Z141">
        <v>0</v>
      </c>
      <c r="AA141">
        <v>0.20000000298023221</v>
      </c>
      <c r="AB141">
        <v>0.40000000596046448</v>
      </c>
      <c r="AC141">
        <v>0</v>
      </c>
      <c r="AD141">
        <v>0</v>
      </c>
      <c r="AE141">
        <v>0.60000000894069672</v>
      </c>
      <c r="AF141">
        <v>0</v>
      </c>
      <c r="AG141">
        <v>1</v>
      </c>
      <c r="AH141">
        <v>0</v>
      </c>
      <c r="AI141">
        <v>150</v>
      </c>
      <c r="AJ141">
        <v>0.20000000298023221</v>
      </c>
      <c r="AK141">
        <v>0.40000000596046448</v>
      </c>
      <c r="AL141">
        <v>0</v>
      </c>
      <c r="AM141">
        <v>0</v>
      </c>
      <c r="AN141">
        <v>1</v>
      </c>
      <c r="AO141">
        <v>1</v>
      </c>
      <c r="AP141">
        <v>2024</v>
      </c>
      <c r="AQ141">
        <v>2</v>
      </c>
      <c r="AR141">
        <v>0</v>
      </c>
      <c r="AS141">
        <v>0</v>
      </c>
      <c r="AT141">
        <v>0</v>
      </c>
      <c r="AU141">
        <v>0</v>
      </c>
      <c r="AV141">
        <f t="shared" si="34"/>
        <v>-1</v>
      </c>
      <c r="AW141">
        <f t="shared" si="35"/>
        <v>0</v>
      </c>
      <c r="AX141">
        <f t="shared" si="36"/>
        <v>0</v>
      </c>
      <c r="AY141">
        <f t="shared" si="37"/>
        <v>0</v>
      </c>
      <c r="AZ141">
        <f t="shared" si="38"/>
        <v>0</v>
      </c>
      <c r="BA141">
        <f t="shared" si="39"/>
        <v>1</v>
      </c>
      <c r="BB141">
        <f t="shared" si="40"/>
        <v>1</v>
      </c>
      <c r="BC141">
        <f>MATCH($B141,clean_historis!$B:$B,0)</f>
        <v>141</v>
      </c>
      <c r="BD141">
        <f>IFERROR(INDEX(clean_historis!$AF:$AF,$BC141)/INDEX(clean_historis!$V:$V,$BC141),0)</f>
        <v>1</v>
      </c>
      <c r="BE141">
        <f>IFERROR(INDEX(clean_historis!$AR:$AR,$BC141)/INDEX(clean_historis!$AH:$AH,$BC141),0)</f>
        <v>0</v>
      </c>
      <c r="BF141">
        <f t="shared" si="41"/>
        <v>0</v>
      </c>
      <c r="BG141">
        <f>MAX(IF(INDEX(clean_historis!$CL:$CL,$BC141)=1,2025,0),IF(INDEX(clean_historis!$CK:$CK,$BC141)=1,2024,0),IF(INDEX(clean_historis!$CJ:$CJ,$BC141)=1,2023,0),IF(INDEX(clean_historis!$CI:$CI,$BC141)=1,2022,0),IF(INDEX(clean_historis!$CH:$CH,$BC141)=1,2021,0))</f>
        <v>2024</v>
      </c>
      <c r="BH141">
        <f t="shared" si="42"/>
        <v>0</v>
      </c>
      <c r="BI141">
        <f t="shared" si="43"/>
        <v>0</v>
      </c>
      <c r="BJ141">
        <f t="shared" si="44"/>
        <v>0</v>
      </c>
      <c r="BK141">
        <f t="shared" si="45"/>
        <v>24.439599999999999</v>
      </c>
      <c r="BL141">
        <f t="shared" si="46"/>
        <v>0</v>
      </c>
      <c r="BM141">
        <f t="shared" si="47"/>
        <v>0</v>
      </c>
      <c r="BN141">
        <v>0</v>
      </c>
      <c r="BO141">
        <f t="shared" si="50"/>
        <v>1</v>
      </c>
      <c r="BP141">
        <f t="shared" si="48"/>
        <v>1</v>
      </c>
      <c r="BQ141">
        <f t="shared" si="49"/>
        <v>1</v>
      </c>
    </row>
    <row r="142" spans="1:69" x14ac:dyDescent="0.25">
      <c r="A142">
        <v>141</v>
      </c>
      <c r="B142" t="s">
        <v>661</v>
      </c>
      <c r="C142" t="s">
        <v>662</v>
      </c>
      <c r="D142" t="s">
        <v>663</v>
      </c>
      <c r="E142" t="s">
        <v>109</v>
      </c>
      <c r="F142" t="s">
        <v>100</v>
      </c>
      <c r="G142">
        <v>2</v>
      </c>
      <c r="H142">
        <v>1</v>
      </c>
      <c r="I142">
        <v>2315</v>
      </c>
      <c r="J142">
        <v>0</v>
      </c>
      <c r="K142">
        <v>1</v>
      </c>
      <c r="L142">
        <v>815.5</v>
      </c>
      <c r="M142">
        <v>1226.2</v>
      </c>
      <c r="N142">
        <v>1738.6</v>
      </c>
      <c r="O142">
        <v>437.7</v>
      </c>
      <c r="P142">
        <v>497.1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0.28000000000000003</v>
      </c>
      <c r="W142">
        <v>0</v>
      </c>
      <c r="X142">
        <v>0</v>
      </c>
      <c r="Y142">
        <v>0.2800000011920929</v>
      </c>
      <c r="Z142">
        <v>0</v>
      </c>
      <c r="AA142">
        <v>0.2800000011920929</v>
      </c>
      <c r="AB142">
        <v>0</v>
      </c>
      <c r="AC142">
        <v>0</v>
      </c>
      <c r="AD142">
        <v>0</v>
      </c>
      <c r="AE142">
        <v>0.2800000011920929</v>
      </c>
      <c r="AF142">
        <v>0</v>
      </c>
      <c r="AG142">
        <v>1</v>
      </c>
      <c r="AH142">
        <v>0</v>
      </c>
      <c r="AI142">
        <v>150</v>
      </c>
      <c r="AJ142">
        <v>0.2800000011920929</v>
      </c>
      <c r="AK142">
        <v>0</v>
      </c>
      <c r="AL142">
        <v>0</v>
      </c>
      <c r="AM142">
        <v>0</v>
      </c>
      <c r="AN142">
        <v>0</v>
      </c>
      <c r="AO142">
        <v>0</v>
      </c>
      <c r="AR142">
        <v>0</v>
      </c>
      <c r="AS142">
        <v>0</v>
      </c>
      <c r="AT142">
        <v>0</v>
      </c>
      <c r="AU142">
        <v>0</v>
      </c>
      <c r="AV142">
        <f t="shared" si="34"/>
        <v>0</v>
      </c>
      <c r="AW142">
        <f t="shared" si="35"/>
        <v>0</v>
      </c>
      <c r="AX142">
        <f t="shared" si="36"/>
        <v>0</v>
      </c>
      <c r="AY142">
        <f t="shared" si="37"/>
        <v>0</v>
      </c>
      <c r="AZ142">
        <f t="shared" si="38"/>
        <v>0</v>
      </c>
      <c r="BA142" t="str">
        <f t="shared" si="39"/>
        <v/>
      </c>
      <c r="BB142">
        <f t="shared" si="40"/>
        <v>1</v>
      </c>
      <c r="BC142">
        <f>MATCH($B142,clean_historis!$B:$B,0)</f>
        <v>142</v>
      </c>
      <c r="BD142">
        <f>IFERROR(INDEX(clean_historis!$AF:$AF,$BC142)/INDEX(clean_historis!$V:$V,$BC142),0)</f>
        <v>0</v>
      </c>
      <c r="BE142">
        <f>IFERROR(INDEX(clean_historis!$AR:$AR,$BC142)/INDEX(clean_historis!$AH:$AH,$BC142),0)</f>
        <v>0</v>
      </c>
      <c r="BF142">
        <f t="shared" si="41"/>
        <v>0</v>
      </c>
      <c r="BG142">
        <f>MAX(IF(INDEX(clean_historis!$CL:$CL,$BC142)=1,2025,0),IF(INDEX(clean_historis!$CK:$CK,$BC142)=1,2024,0),IF(INDEX(clean_historis!$CJ:$CJ,$BC142)=1,2023,0),IF(INDEX(clean_historis!$CI:$CI,$BC142)=1,2022,0),IF(INDEX(clean_historis!$CH:$CH,$BC142)=1,2021,0))</f>
        <v>0</v>
      </c>
      <c r="BH142">
        <f t="shared" si="42"/>
        <v>0</v>
      </c>
      <c r="BI142">
        <f t="shared" si="43"/>
        <v>0</v>
      </c>
      <c r="BJ142">
        <f t="shared" si="44"/>
        <v>1</v>
      </c>
      <c r="BK142">
        <f t="shared" si="45"/>
        <v>4.2773999999999992</v>
      </c>
      <c r="BL142">
        <f t="shared" si="46"/>
        <v>0</v>
      </c>
      <c r="BM142">
        <f t="shared" si="47"/>
        <v>0</v>
      </c>
      <c r="BN142">
        <v>0</v>
      </c>
      <c r="BO142">
        <f t="shared" si="50"/>
        <v>1</v>
      </c>
      <c r="BP142">
        <f t="shared" si="48"/>
        <v>0</v>
      </c>
      <c r="BQ142">
        <f t="shared" si="49"/>
        <v>1</v>
      </c>
    </row>
    <row r="143" spans="1:69" x14ac:dyDescent="0.25">
      <c r="A143">
        <v>142</v>
      </c>
      <c r="B143" t="s">
        <v>664</v>
      </c>
      <c r="C143" t="s">
        <v>665</v>
      </c>
      <c r="D143" t="s">
        <v>666</v>
      </c>
      <c r="E143" t="s">
        <v>667</v>
      </c>
      <c r="F143" t="s">
        <v>105</v>
      </c>
      <c r="G143">
        <v>1</v>
      </c>
      <c r="H143">
        <v>1</v>
      </c>
      <c r="I143">
        <v>590</v>
      </c>
      <c r="J143">
        <v>0</v>
      </c>
      <c r="K143">
        <v>0</v>
      </c>
      <c r="L143">
        <v>2561.3000000000002</v>
      </c>
      <c r="M143">
        <v>3131.7</v>
      </c>
      <c r="N143">
        <v>8317.7000000000007</v>
      </c>
      <c r="O143">
        <v>895.7</v>
      </c>
      <c r="P143">
        <v>8598.2000000000007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0.34</v>
      </c>
      <c r="W143">
        <v>0</v>
      </c>
      <c r="X143">
        <v>0</v>
      </c>
      <c r="Y143">
        <v>0.34000000357627869</v>
      </c>
      <c r="Z143">
        <v>0</v>
      </c>
      <c r="AA143">
        <v>0.14000000059604639</v>
      </c>
      <c r="AB143">
        <v>0.20000000298023221</v>
      </c>
      <c r="AC143">
        <v>0</v>
      </c>
      <c r="AD143">
        <v>0</v>
      </c>
      <c r="AE143">
        <v>0.34000000357627869</v>
      </c>
      <c r="AF143">
        <v>0</v>
      </c>
      <c r="AG143">
        <v>1</v>
      </c>
      <c r="AH143">
        <v>0</v>
      </c>
      <c r="AI143">
        <v>150</v>
      </c>
      <c r="AJ143">
        <v>0.14000000059604639</v>
      </c>
      <c r="AK143">
        <v>0.20000000298023221</v>
      </c>
      <c r="AL143">
        <v>0</v>
      </c>
      <c r="AM143">
        <v>0</v>
      </c>
      <c r="AN143">
        <v>1</v>
      </c>
      <c r="AO143">
        <v>1</v>
      </c>
      <c r="AP143">
        <v>2023</v>
      </c>
      <c r="AQ143">
        <v>3</v>
      </c>
      <c r="AR143">
        <v>0</v>
      </c>
      <c r="AS143">
        <v>0</v>
      </c>
      <c r="AT143">
        <v>0</v>
      </c>
      <c r="AU143">
        <v>0</v>
      </c>
      <c r="AV143">
        <f t="shared" si="34"/>
        <v>0</v>
      </c>
      <c r="AW143">
        <f t="shared" si="35"/>
        <v>0</v>
      </c>
      <c r="AX143">
        <f t="shared" si="36"/>
        <v>0</v>
      </c>
      <c r="AY143">
        <f t="shared" si="37"/>
        <v>0</v>
      </c>
      <c r="AZ143">
        <f t="shared" si="38"/>
        <v>0</v>
      </c>
      <c r="BA143" t="str">
        <f t="shared" si="39"/>
        <v/>
      </c>
      <c r="BB143">
        <f t="shared" si="40"/>
        <v>1</v>
      </c>
      <c r="BC143">
        <f>MATCH($B143,clean_historis!$B:$B,0)</f>
        <v>143</v>
      </c>
      <c r="BD143">
        <f>IFERROR(INDEX(clean_historis!$AF:$AF,$BC143)/INDEX(clean_historis!$V:$V,$BC143),0)</f>
        <v>0</v>
      </c>
      <c r="BE143">
        <f>IFERROR(INDEX(clean_historis!$AR:$AR,$BC143)/INDEX(clean_historis!$AH:$AH,$BC143),0)</f>
        <v>0</v>
      </c>
      <c r="BF143">
        <f t="shared" si="41"/>
        <v>0</v>
      </c>
      <c r="BG143">
        <f>MAX(IF(INDEX(clean_historis!$CL:$CL,$BC143)=1,2025,0),IF(INDEX(clean_historis!$CK:$CK,$BC143)=1,2024,0),IF(INDEX(clean_historis!$CJ:$CJ,$BC143)=1,2023,0),IF(INDEX(clean_historis!$CI:$CI,$BC143)=1,2022,0),IF(INDEX(clean_historis!$CH:$CH,$BC143)=1,2021,0))</f>
        <v>0</v>
      </c>
      <c r="BH143">
        <f t="shared" si="42"/>
        <v>0</v>
      </c>
      <c r="BI143">
        <f t="shared" si="43"/>
        <v>0</v>
      </c>
      <c r="BJ143">
        <f t="shared" si="44"/>
        <v>0</v>
      </c>
      <c r="BK143">
        <f t="shared" si="45"/>
        <v>22.608900000000002</v>
      </c>
      <c r="BL143">
        <f t="shared" si="46"/>
        <v>0</v>
      </c>
      <c r="BM143">
        <f t="shared" si="47"/>
        <v>0</v>
      </c>
      <c r="BN143">
        <v>0</v>
      </c>
      <c r="BO143">
        <f t="shared" si="50"/>
        <v>1</v>
      </c>
      <c r="BP143">
        <f t="shared" si="48"/>
        <v>1</v>
      </c>
      <c r="BQ143">
        <f t="shared" si="49"/>
        <v>1</v>
      </c>
    </row>
    <row r="144" spans="1:69" x14ac:dyDescent="0.25">
      <c r="A144">
        <v>143</v>
      </c>
      <c r="B144" t="s">
        <v>668</v>
      </c>
      <c r="C144" t="s">
        <v>669</v>
      </c>
      <c r="D144" t="s">
        <v>670</v>
      </c>
      <c r="E144" t="s">
        <v>194</v>
      </c>
      <c r="F144" t="s">
        <v>100</v>
      </c>
      <c r="G144">
        <v>1</v>
      </c>
      <c r="H144">
        <v>1</v>
      </c>
      <c r="I144">
        <v>1874</v>
      </c>
      <c r="J144">
        <v>0</v>
      </c>
      <c r="K144">
        <v>0</v>
      </c>
      <c r="L144">
        <v>1289.5</v>
      </c>
      <c r="M144">
        <v>1832.6</v>
      </c>
      <c r="N144">
        <v>2664.3</v>
      </c>
      <c r="O144">
        <v>61.8</v>
      </c>
      <c r="P144">
        <v>971.2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0.22</v>
      </c>
      <c r="W144">
        <v>0</v>
      </c>
      <c r="X144">
        <v>0</v>
      </c>
      <c r="Y144">
        <v>0.2199999988079071</v>
      </c>
      <c r="Z144">
        <v>0</v>
      </c>
      <c r="AA144">
        <v>0.2199999988079071</v>
      </c>
      <c r="AB144">
        <v>0</v>
      </c>
      <c r="AC144">
        <v>0</v>
      </c>
      <c r="AD144">
        <v>0</v>
      </c>
      <c r="AE144">
        <v>0.2199999988079071</v>
      </c>
      <c r="AF144">
        <v>0</v>
      </c>
      <c r="AG144">
        <v>1</v>
      </c>
      <c r="AH144">
        <v>0</v>
      </c>
      <c r="AI144">
        <v>150</v>
      </c>
      <c r="AJ144">
        <v>0.2199999988079071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2024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f t="shared" si="34"/>
        <v>0</v>
      </c>
      <c r="AW144">
        <f t="shared" si="35"/>
        <v>0</v>
      </c>
      <c r="AX144">
        <f t="shared" si="36"/>
        <v>0</v>
      </c>
      <c r="AY144">
        <f t="shared" si="37"/>
        <v>0</v>
      </c>
      <c r="AZ144">
        <f t="shared" si="38"/>
        <v>0</v>
      </c>
      <c r="BA144">
        <f t="shared" si="39"/>
        <v>1</v>
      </c>
      <c r="BB144">
        <f t="shared" si="40"/>
        <v>1</v>
      </c>
      <c r="BC144">
        <f>MATCH($B144,clean_historis!$B:$B,0)</f>
        <v>144</v>
      </c>
      <c r="BD144">
        <f>IFERROR(INDEX(clean_historis!$AF:$AF,$BC144)/INDEX(clean_historis!$V:$V,$BC144),0)</f>
        <v>0</v>
      </c>
      <c r="BE144">
        <f>IFERROR(INDEX(clean_historis!$AR:$AR,$BC144)/INDEX(clean_historis!$AH:$AH,$BC144),0)</f>
        <v>0</v>
      </c>
      <c r="BF144">
        <f t="shared" si="41"/>
        <v>0</v>
      </c>
      <c r="BG144">
        <f>MAX(IF(INDEX(clean_historis!$CL:$CL,$BC144)=1,2025,0),IF(INDEX(clean_historis!$CK:$CK,$BC144)=1,2024,0),IF(INDEX(clean_historis!$CJ:$CJ,$BC144)=1,2023,0),IF(INDEX(clean_historis!$CI:$CI,$BC144)=1,2022,0),IF(INDEX(clean_historis!$CH:$CH,$BC144)=1,2021,0))</f>
        <v>2024</v>
      </c>
      <c r="BH144">
        <f t="shared" si="42"/>
        <v>0</v>
      </c>
      <c r="BI144">
        <f t="shared" si="43"/>
        <v>0</v>
      </c>
      <c r="BJ144">
        <f t="shared" si="44"/>
        <v>1</v>
      </c>
      <c r="BK144">
        <f t="shared" si="45"/>
        <v>6.7576000000000001</v>
      </c>
      <c r="BL144">
        <f t="shared" si="46"/>
        <v>0</v>
      </c>
      <c r="BM144">
        <f t="shared" si="47"/>
        <v>0</v>
      </c>
      <c r="BN144">
        <v>0</v>
      </c>
      <c r="BO144">
        <f t="shared" si="50"/>
        <v>1</v>
      </c>
      <c r="BP144">
        <f t="shared" si="48"/>
        <v>1</v>
      </c>
      <c r="BQ144">
        <f t="shared" si="49"/>
        <v>1</v>
      </c>
    </row>
    <row r="145" spans="1:69" x14ac:dyDescent="0.25">
      <c r="A145">
        <v>144</v>
      </c>
      <c r="B145" t="s">
        <v>671</v>
      </c>
      <c r="C145" t="s">
        <v>672</v>
      </c>
      <c r="D145" t="s">
        <v>673</v>
      </c>
      <c r="E145" t="s">
        <v>674</v>
      </c>
      <c r="F145" t="s">
        <v>100</v>
      </c>
      <c r="G145">
        <v>2</v>
      </c>
      <c r="H145">
        <v>1</v>
      </c>
      <c r="I145">
        <v>3016</v>
      </c>
      <c r="J145">
        <v>0</v>
      </c>
      <c r="K145">
        <v>1</v>
      </c>
      <c r="L145">
        <v>1258.5999999999999</v>
      </c>
      <c r="M145">
        <v>1191.3</v>
      </c>
      <c r="N145">
        <v>3413.4</v>
      </c>
      <c r="O145">
        <v>625.1</v>
      </c>
      <c r="P145">
        <v>1550.5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0.96</v>
      </c>
      <c r="W145">
        <v>0</v>
      </c>
      <c r="X145">
        <v>0</v>
      </c>
      <c r="Y145">
        <v>0.95999997854232788</v>
      </c>
      <c r="Z145">
        <v>0</v>
      </c>
      <c r="AA145">
        <v>0.15999999642372131</v>
      </c>
      <c r="AB145">
        <v>0.30000001192092901</v>
      </c>
      <c r="AC145">
        <v>0.5</v>
      </c>
      <c r="AD145">
        <v>0</v>
      </c>
      <c r="AE145">
        <v>0.46000000834465032</v>
      </c>
      <c r="AF145">
        <v>0.5</v>
      </c>
      <c r="AG145">
        <v>0.47916667119392908</v>
      </c>
      <c r="AH145">
        <v>0.52083332880607081</v>
      </c>
      <c r="AI145">
        <v>150</v>
      </c>
      <c r="AJ145">
        <v>0.15999999642372131</v>
      </c>
      <c r="AK145">
        <v>0.30000001192092901</v>
      </c>
      <c r="AL145">
        <v>0.5</v>
      </c>
      <c r="AM145">
        <v>0</v>
      </c>
      <c r="AN145">
        <v>1</v>
      </c>
      <c r="AO145">
        <v>1</v>
      </c>
      <c r="AP145">
        <v>2023</v>
      </c>
      <c r="AQ145">
        <v>3</v>
      </c>
      <c r="AR145">
        <v>0</v>
      </c>
      <c r="AS145">
        <v>0</v>
      </c>
      <c r="AT145">
        <v>0</v>
      </c>
      <c r="AU145">
        <v>0</v>
      </c>
      <c r="AV145">
        <f t="shared" si="34"/>
        <v>0</v>
      </c>
      <c r="AW145">
        <f t="shared" si="35"/>
        <v>0</v>
      </c>
      <c r="AX145">
        <f t="shared" si="36"/>
        <v>0</v>
      </c>
      <c r="AY145">
        <f t="shared" si="37"/>
        <v>0</v>
      </c>
      <c r="AZ145">
        <f t="shared" si="38"/>
        <v>0</v>
      </c>
      <c r="BA145">
        <f t="shared" si="39"/>
        <v>2</v>
      </c>
      <c r="BB145">
        <f t="shared" si="40"/>
        <v>0.47916667119392908</v>
      </c>
      <c r="BC145">
        <f>MATCH($B145,clean_historis!$B:$B,0)</f>
        <v>145</v>
      </c>
      <c r="BD145">
        <f>IFERROR(INDEX(clean_historis!$AF:$AF,$BC145)/INDEX(clean_historis!$V:$V,$BC145),0)</f>
        <v>0</v>
      </c>
      <c r="BE145">
        <f>IFERROR(INDEX(clean_historis!$AR:$AR,$BC145)/INDEX(clean_historis!$AH:$AH,$BC145),0)</f>
        <v>0</v>
      </c>
      <c r="BF145">
        <f t="shared" si="41"/>
        <v>0</v>
      </c>
      <c r="BG145">
        <f>MAX(IF(INDEX(clean_historis!$CL:$CL,$BC145)=1,2025,0),IF(INDEX(clean_historis!$CK:$CK,$BC145)=1,2024,0),IF(INDEX(clean_historis!$CJ:$CJ,$BC145)=1,2023,0),IF(INDEX(clean_historis!$CI:$CI,$BC145)=1,2022,0),IF(INDEX(clean_historis!$CH:$CH,$BC145)=1,2021,0))</f>
        <v>2023</v>
      </c>
      <c r="BH145">
        <f t="shared" si="42"/>
        <v>0.52083332880607092</v>
      </c>
      <c r="BI145">
        <f t="shared" si="43"/>
        <v>1570.83331967911</v>
      </c>
      <c r="BJ145">
        <f t="shared" si="44"/>
        <v>1</v>
      </c>
      <c r="BK145">
        <f t="shared" si="45"/>
        <v>7.4138000000000002</v>
      </c>
      <c r="BL145">
        <f t="shared" si="46"/>
        <v>0</v>
      </c>
      <c r="BM145">
        <f t="shared" si="47"/>
        <v>0</v>
      </c>
      <c r="BN145">
        <v>1</v>
      </c>
      <c r="BO145">
        <f t="shared" si="50"/>
        <v>1</v>
      </c>
      <c r="BP145">
        <f t="shared" si="48"/>
        <v>1</v>
      </c>
      <c r="BQ145">
        <f t="shared" si="49"/>
        <v>1</v>
      </c>
    </row>
    <row r="146" spans="1:69" x14ac:dyDescent="0.25">
      <c r="A146">
        <v>145</v>
      </c>
      <c r="B146" t="s">
        <v>675</v>
      </c>
      <c r="C146" t="s">
        <v>676</v>
      </c>
      <c r="D146" t="s">
        <v>677</v>
      </c>
      <c r="E146" t="s">
        <v>531</v>
      </c>
      <c r="F146" t="s">
        <v>310</v>
      </c>
      <c r="G146">
        <v>1</v>
      </c>
      <c r="H146">
        <v>1</v>
      </c>
      <c r="I146">
        <v>238</v>
      </c>
      <c r="J146">
        <v>0</v>
      </c>
      <c r="K146">
        <v>0</v>
      </c>
      <c r="L146">
        <v>31022.2</v>
      </c>
      <c r="M146">
        <v>6215.7</v>
      </c>
      <c r="N146">
        <v>33232.6</v>
      </c>
      <c r="O146">
        <v>1002.3</v>
      </c>
      <c r="P146">
        <v>33135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0.67</v>
      </c>
      <c r="W146">
        <v>0.67000001668930054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0.67000001668930054</v>
      </c>
      <c r="AD146">
        <v>0</v>
      </c>
      <c r="AE146">
        <v>0</v>
      </c>
      <c r="AF146">
        <v>0.67000001668930054</v>
      </c>
      <c r="AG146">
        <v>0</v>
      </c>
      <c r="AH146">
        <v>1</v>
      </c>
      <c r="AI146">
        <v>150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2023</v>
      </c>
      <c r="AQ146">
        <v>3</v>
      </c>
      <c r="AR146">
        <v>0</v>
      </c>
      <c r="AS146">
        <v>0</v>
      </c>
      <c r="AT146">
        <v>0</v>
      </c>
      <c r="AU146">
        <v>0</v>
      </c>
      <c r="AV146">
        <f t="shared" si="34"/>
        <v>0</v>
      </c>
      <c r="AW146">
        <f t="shared" si="35"/>
        <v>0</v>
      </c>
      <c r="AX146">
        <f t="shared" si="36"/>
        <v>0</v>
      </c>
      <c r="AY146">
        <f t="shared" si="37"/>
        <v>0</v>
      </c>
      <c r="AZ146">
        <f t="shared" si="38"/>
        <v>0</v>
      </c>
      <c r="BA146" t="str">
        <f t="shared" si="39"/>
        <v/>
      </c>
      <c r="BB146">
        <f t="shared" si="40"/>
        <v>0</v>
      </c>
      <c r="BC146">
        <f>MATCH($B146,clean_historis!$B:$B,0)</f>
        <v>146</v>
      </c>
      <c r="BD146">
        <f>IFERROR(INDEX(clean_historis!$AF:$AF,$BC146)/INDEX(clean_historis!$V:$V,$BC146),0)</f>
        <v>0</v>
      </c>
      <c r="BE146">
        <f>IFERROR(INDEX(clean_historis!$AR:$AR,$BC146)/INDEX(clean_historis!$AH:$AH,$BC146),0)</f>
        <v>0</v>
      </c>
      <c r="BF146">
        <f t="shared" si="41"/>
        <v>0</v>
      </c>
      <c r="BG146">
        <f>MAX(IF(INDEX(clean_historis!$CL:$CL,$BC146)=1,2025,0),IF(INDEX(clean_historis!$CK:$CK,$BC146)=1,2024,0),IF(INDEX(clean_historis!$CJ:$CJ,$BC146)=1,2023,0),IF(INDEX(clean_historis!$CI:$CI,$BC146)=1,2022,0),IF(INDEX(clean_historis!$CH:$CH,$BC146)=1,2021,0))</f>
        <v>0</v>
      </c>
      <c r="BH146">
        <f t="shared" si="42"/>
        <v>1</v>
      </c>
      <c r="BI146">
        <f t="shared" si="43"/>
        <v>238</v>
      </c>
      <c r="BJ146">
        <f t="shared" si="44"/>
        <v>0</v>
      </c>
      <c r="BK146">
        <f t="shared" si="45"/>
        <v>103.60549999999999</v>
      </c>
      <c r="BL146">
        <f t="shared" si="46"/>
        <v>0</v>
      </c>
      <c r="BM146">
        <f t="shared" si="47"/>
        <v>0</v>
      </c>
      <c r="BN146">
        <v>0</v>
      </c>
      <c r="BO146">
        <f t="shared" si="50"/>
        <v>1</v>
      </c>
      <c r="BP146">
        <f t="shared" si="48"/>
        <v>1</v>
      </c>
      <c r="BQ146">
        <f t="shared" si="49"/>
        <v>1</v>
      </c>
    </row>
    <row r="147" spans="1:69" x14ac:dyDescent="0.25">
      <c r="A147">
        <v>146</v>
      </c>
      <c r="B147" t="s">
        <v>678</v>
      </c>
      <c r="C147" t="s">
        <v>679</v>
      </c>
      <c r="D147" t="s">
        <v>680</v>
      </c>
      <c r="E147" t="s">
        <v>681</v>
      </c>
      <c r="F147" t="s">
        <v>310</v>
      </c>
      <c r="G147">
        <v>3</v>
      </c>
      <c r="H147">
        <v>1</v>
      </c>
      <c r="I147">
        <v>521</v>
      </c>
      <c r="J147">
        <v>0</v>
      </c>
      <c r="K147">
        <v>0</v>
      </c>
      <c r="L147">
        <v>37536.6</v>
      </c>
      <c r="M147">
        <v>5049.7</v>
      </c>
      <c r="N147">
        <v>39747</v>
      </c>
      <c r="O147">
        <v>636.29999999999995</v>
      </c>
      <c r="P147">
        <v>39649.4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6.82</v>
      </c>
      <c r="W147">
        <v>6.820000171661377</v>
      </c>
      <c r="X147">
        <v>0</v>
      </c>
      <c r="Y147">
        <v>0</v>
      </c>
      <c r="Z147">
        <v>0</v>
      </c>
      <c r="AA147">
        <v>0.30000001192092901</v>
      </c>
      <c r="AB147">
        <v>2.220000028610229</v>
      </c>
      <c r="AC147">
        <v>0</v>
      </c>
      <c r="AD147">
        <v>4.3000001907348633</v>
      </c>
      <c r="AE147">
        <v>2.520000040531158</v>
      </c>
      <c r="AF147">
        <v>4.3000001907348633</v>
      </c>
      <c r="AG147">
        <v>0.36950145968886011</v>
      </c>
      <c r="AH147">
        <v>0.63049854031113994</v>
      </c>
      <c r="AI147">
        <v>150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4</v>
      </c>
      <c r="AP147">
        <v>2025</v>
      </c>
      <c r="AQ147">
        <v>1</v>
      </c>
      <c r="AR147">
        <v>0</v>
      </c>
      <c r="AS147">
        <v>0</v>
      </c>
      <c r="AT147">
        <v>0</v>
      </c>
      <c r="AU147">
        <v>1</v>
      </c>
      <c r="AV147">
        <f t="shared" si="34"/>
        <v>-2.9325513196481245E-2</v>
      </c>
      <c r="AW147">
        <f t="shared" si="35"/>
        <v>-0.10557181954034234</v>
      </c>
      <c r="AX147">
        <f t="shared" si="36"/>
        <v>328.48975064118235</v>
      </c>
      <c r="AY147">
        <f t="shared" si="37"/>
        <v>0</v>
      </c>
      <c r="AZ147">
        <f t="shared" si="38"/>
        <v>4.3000001907348633</v>
      </c>
      <c r="BA147">
        <f t="shared" si="39"/>
        <v>0</v>
      </c>
      <c r="BB147">
        <f t="shared" si="40"/>
        <v>0.36950145968886011</v>
      </c>
      <c r="BC147">
        <f>MATCH($B147,clean_historis!$B:$B,0)</f>
        <v>147</v>
      </c>
      <c r="BD147">
        <f>IFERROR(INDEX(clean_historis!$AF:$AF,$BC147)/INDEX(clean_historis!$V:$V,$BC147),0)</f>
        <v>0.76539589442815248</v>
      </c>
      <c r="BE147">
        <f>IFERROR(INDEX(clean_historis!$AR:$AR,$BC147)/INDEX(clean_historis!$AH:$AH,$BC147),0)</f>
        <v>0.73607038123167123</v>
      </c>
      <c r="BF147">
        <f t="shared" si="41"/>
        <v>0.6304985616913289</v>
      </c>
      <c r="BG147">
        <f>MAX(IF(INDEX(clean_historis!$CL:$CL,$BC147)=1,2025,0),IF(INDEX(clean_historis!$CK:$CK,$BC147)=1,2024,0),IF(INDEX(clean_historis!$CJ:$CJ,$BC147)=1,2023,0),IF(INDEX(clean_historis!$CI:$CI,$BC147)=1,2022,0),IF(INDEX(clean_historis!$CH:$CH,$BC147)=1,2021,0))</f>
        <v>2025</v>
      </c>
      <c r="BH147">
        <f t="shared" si="42"/>
        <v>0.63049854031113983</v>
      </c>
      <c r="BI147">
        <f t="shared" si="43"/>
        <v>328.48973950210387</v>
      </c>
      <c r="BJ147">
        <f t="shared" si="44"/>
        <v>0</v>
      </c>
      <c r="BK147">
        <f t="shared" si="45"/>
        <v>121.98269999999999</v>
      </c>
      <c r="BL147">
        <f t="shared" si="46"/>
        <v>0</v>
      </c>
      <c r="BM147">
        <f t="shared" si="47"/>
        <v>1</v>
      </c>
      <c r="BN147">
        <v>0</v>
      </c>
      <c r="BO147">
        <f t="shared" si="50"/>
        <v>0</v>
      </c>
      <c r="BP147">
        <f t="shared" si="48"/>
        <v>1</v>
      </c>
      <c r="BQ147">
        <f t="shared" si="49"/>
        <v>1</v>
      </c>
    </row>
    <row r="148" spans="1:69" x14ac:dyDescent="0.25">
      <c r="A148">
        <v>147</v>
      </c>
      <c r="B148" t="s">
        <v>682</v>
      </c>
      <c r="C148" t="s">
        <v>683</v>
      </c>
      <c r="D148" t="s">
        <v>684</v>
      </c>
      <c r="E148" t="s">
        <v>685</v>
      </c>
      <c r="F148" t="s">
        <v>310</v>
      </c>
      <c r="G148">
        <v>1</v>
      </c>
      <c r="H148">
        <v>1</v>
      </c>
      <c r="I148">
        <v>138</v>
      </c>
      <c r="J148">
        <v>0</v>
      </c>
      <c r="K148">
        <v>0</v>
      </c>
      <c r="L148">
        <v>35235</v>
      </c>
      <c r="M148">
        <v>2018.5</v>
      </c>
      <c r="N148">
        <v>37445.4</v>
      </c>
      <c r="O148">
        <v>413.6</v>
      </c>
      <c r="P148">
        <v>37347.800000000003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0.81</v>
      </c>
      <c r="W148">
        <v>0.81000000238418579</v>
      </c>
      <c r="X148">
        <v>0</v>
      </c>
      <c r="Y148">
        <v>0</v>
      </c>
      <c r="Z148">
        <v>0</v>
      </c>
      <c r="AA148">
        <v>0</v>
      </c>
      <c r="AB148">
        <v>0.2099999934434891</v>
      </c>
      <c r="AC148">
        <v>0.30000001192092901</v>
      </c>
      <c r="AD148">
        <v>0.30000001192092901</v>
      </c>
      <c r="AE148">
        <v>0.2099999934434891</v>
      </c>
      <c r="AF148">
        <v>0.60000002384185791</v>
      </c>
      <c r="AG148">
        <v>0.25925924563222602</v>
      </c>
      <c r="AH148">
        <v>0.74074075436777398</v>
      </c>
      <c r="AI148">
        <v>150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2</v>
      </c>
      <c r="AP148">
        <v>2024</v>
      </c>
      <c r="AQ148">
        <v>2</v>
      </c>
      <c r="AR148">
        <v>0</v>
      </c>
      <c r="AS148">
        <v>0</v>
      </c>
      <c r="AT148">
        <v>0</v>
      </c>
      <c r="AU148">
        <v>0</v>
      </c>
      <c r="AV148">
        <f t="shared" si="34"/>
        <v>0.24691358024691357</v>
      </c>
      <c r="AW148">
        <f t="shared" si="35"/>
        <v>-0.37037035565317405</v>
      </c>
      <c r="AX148">
        <f t="shared" si="36"/>
        <v>51.1111131420842</v>
      </c>
      <c r="AY148">
        <f t="shared" si="37"/>
        <v>0</v>
      </c>
      <c r="AZ148">
        <f t="shared" si="38"/>
        <v>0.30000001192092901</v>
      </c>
      <c r="BA148" t="str">
        <f t="shared" si="39"/>
        <v/>
      </c>
      <c r="BB148">
        <f t="shared" si="40"/>
        <v>0.25925924563222602</v>
      </c>
      <c r="BC148">
        <f>MATCH($B148,clean_historis!$B:$B,0)</f>
        <v>148</v>
      </c>
      <c r="BD148">
        <f>IFERROR(INDEX(clean_historis!$AF:$AF,$BC148)/INDEX(clean_historis!$V:$V,$BC148),0)</f>
        <v>0.49382716049382713</v>
      </c>
      <c r="BE148">
        <f>IFERROR(INDEX(clean_historis!$AR:$AR,$BC148)/INDEX(clean_historis!$AH:$AH,$BC148),0)</f>
        <v>0.7407407407407407</v>
      </c>
      <c r="BF148">
        <f t="shared" si="41"/>
        <v>0.37037038508756664</v>
      </c>
      <c r="BG148">
        <f>MAX(IF(INDEX(clean_historis!$CL:$CL,$BC148)=1,2025,0),IF(INDEX(clean_historis!$CK:$CK,$BC148)=1,2024,0),IF(INDEX(clean_historis!$CJ:$CJ,$BC148)=1,2023,0),IF(INDEX(clean_historis!$CI:$CI,$BC148)=1,2022,0),IF(INDEX(clean_historis!$CH:$CH,$BC148)=1,2021,0))</f>
        <v>0</v>
      </c>
      <c r="BH148">
        <f t="shared" si="42"/>
        <v>0.74074075436777398</v>
      </c>
      <c r="BI148">
        <f t="shared" si="43"/>
        <v>102.2222241027528</v>
      </c>
      <c r="BJ148">
        <f t="shared" si="44"/>
        <v>0</v>
      </c>
      <c r="BK148">
        <f t="shared" si="45"/>
        <v>112.04670000000002</v>
      </c>
      <c r="BL148">
        <f t="shared" si="46"/>
        <v>0</v>
      </c>
      <c r="BM148">
        <f t="shared" si="47"/>
        <v>1</v>
      </c>
      <c r="BN148">
        <v>0</v>
      </c>
      <c r="BO148">
        <f t="shared" si="50"/>
        <v>1</v>
      </c>
      <c r="BP148">
        <f t="shared" si="48"/>
        <v>1</v>
      </c>
      <c r="BQ148">
        <f t="shared" si="49"/>
        <v>1</v>
      </c>
    </row>
    <row r="149" spans="1:69" x14ac:dyDescent="0.25">
      <c r="A149">
        <v>148</v>
      </c>
      <c r="B149" t="s">
        <v>686</v>
      </c>
      <c r="C149" t="s">
        <v>687</v>
      </c>
      <c r="D149" t="s">
        <v>688</v>
      </c>
      <c r="E149" t="s">
        <v>689</v>
      </c>
      <c r="F149" t="s">
        <v>310</v>
      </c>
      <c r="G149">
        <v>2</v>
      </c>
      <c r="H149">
        <v>1</v>
      </c>
      <c r="I149">
        <v>581</v>
      </c>
      <c r="J149">
        <v>1</v>
      </c>
      <c r="K149">
        <v>0</v>
      </c>
      <c r="L149">
        <v>37205.699999999997</v>
      </c>
      <c r="M149">
        <v>3298.1</v>
      </c>
      <c r="N149">
        <v>39416.1</v>
      </c>
      <c r="O149">
        <v>2401.1999999999998</v>
      </c>
      <c r="P149">
        <v>39318.400000000001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7.17</v>
      </c>
      <c r="W149">
        <v>6.570000171661377</v>
      </c>
      <c r="X149">
        <v>0</v>
      </c>
      <c r="Y149">
        <v>0.60000002384185791</v>
      </c>
      <c r="Z149">
        <v>0</v>
      </c>
      <c r="AA149">
        <v>0</v>
      </c>
      <c r="AB149">
        <v>0.56999999284744263</v>
      </c>
      <c r="AC149">
        <v>6.5999999046325684</v>
      </c>
      <c r="AD149">
        <v>0</v>
      </c>
      <c r="AE149">
        <v>0.56999999284744263</v>
      </c>
      <c r="AF149">
        <v>6.5999999046325684</v>
      </c>
      <c r="AG149">
        <v>7.9497908088921515E-2</v>
      </c>
      <c r="AH149">
        <v>0.92050209191107846</v>
      </c>
      <c r="AI149">
        <v>150</v>
      </c>
      <c r="AJ149">
        <v>0</v>
      </c>
      <c r="AK149">
        <v>0</v>
      </c>
      <c r="AL149">
        <v>0.60000002384185791</v>
      </c>
      <c r="AM149">
        <v>0</v>
      </c>
      <c r="AN149">
        <v>1</v>
      </c>
      <c r="AO149">
        <v>1</v>
      </c>
      <c r="AP149">
        <v>2024</v>
      </c>
      <c r="AQ149">
        <v>2</v>
      </c>
      <c r="AR149">
        <v>0</v>
      </c>
      <c r="AS149">
        <v>0</v>
      </c>
      <c r="AT149">
        <v>0</v>
      </c>
      <c r="AU149">
        <v>1</v>
      </c>
      <c r="AV149">
        <f t="shared" si="34"/>
        <v>0.9442119944211983</v>
      </c>
      <c r="AW149">
        <f t="shared" si="35"/>
        <v>-0.97210599721059854</v>
      </c>
      <c r="AX149">
        <f t="shared" si="36"/>
        <v>0</v>
      </c>
      <c r="AY149">
        <f t="shared" si="37"/>
        <v>0</v>
      </c>
      <c r="AZ149">
        <f t="shared" si="38"/>
        <v>0</v>
      </c>
      <c r="BA149" t="str">
        <f t="shared" si="39"/>
        <v/>
      </c>
      <c r="BB149">
        <f t="shared" si="40"/>
        <v>7.9497908088921515E-2</v>
      </c>
      <c r="BC149">
        <f>MATCH($B149,clean_historis!$B:$B,0)</f>
        <v>149</v>
      </c>
      <c r="BD149">
        <f>IFERROR(INDEX(clean_historis!$AF:$AF,$BC149)/INDEX(clean_historis!$V:$V,$BC149),0)</f>
        <v>2.7894002789400282E-2</v>
      </c>
      <c r="BE149">
        <f>IFERROR(INDEX(clean_historis!$AR:$AR,$BC149)/INDEX(clean_historis!$AH:$AH,$BC149),0)</f>
        <v>0.97210599721059854</v>
      </c>
      <c r="BF149">
        <f t="shared" si="41"/>
        <v>0</v>
      </c>
      <c r="BG149">
        <f>MAX(IF(INDEX(clean_historis!$CL:$CL,$BC149)=1,2025,0),IF(INDEX(clean_historis!$CK:$CK,$BC149)=1,2024,0),IF(INDEX(clean_historis!$CJ:$CJ,$BC149)=1,2023,0),IF(INDEX(clean_historis!$CI:$CI,$BC149)=1,2022,0),IF(INDEX(clean_historis!$CH:$CH,$BC149)=1,2021,0))</f>
        <v>0</v>
      </c>
      <c r="BH149">
        <f t="shared" si="42"/>
        <v>0.92050209191107846</v>
      </c>
      <c r="BI149">
        <f t="shared" si="43"/>
        <v>534.81171540033654</v>
      </c>
      <c r="BJ149">
        <f t="shared" si="44"/>
        <v>0</v>
      </c>
      <c r="BK149">
        <f t="shared" si="45"/>
        <v>119.23830000000002</v>
      </c>
      <c r="BL149">
        <f t="shared" si="46"/>
        <v>0</v>
      </c>
      <c r="BM149">
        <f t="shared" si="47"/>
        <v>0</v>
      </c>
      <c r="BN149">
        <v>0</v>
      </c>
      <c r="BO149">
        <f t="shared" si="50"/>
        <v>0</v>
      </c>
      <c r="BP149">
        <f t="shared" si="48"/>
        <v>1</v>
      </c>
      <c r="BQ149">
        <f t="shared" si="49"/>
        <v>1</v>
      </c>
    </row>
    <row r="150" spans="1:69" x14ac:dyDescent="0.25">
      <c r="A150">
        <v>149</v>
      </c>
      <c r="B150" t="s">
        <v>690</v>
      </c>
      <c r="C150" t="s">
        <v>691</v>
      </c>
      <c r="D150" t="s">
        <v>692</v>
      </c>
      <c r="E150" t="s">
        <v>693</v>
      </c>
      <c r="F150" t="s">
        <v>310</v>
      </c>
      <c r="G150">
        <v>2</v>
      </c>
      <c r="H150">
        <v>1</v>
      </c>
      <c r="I150">
        <v>484</v>
      </c>
      <c r="J150">
        <v>1</v>
      </c>
      <c r="K150">
        <v>0</v>
      </c>
      <c r="L150">
        <v>34216.6</v>
      </c>
      <c r="M150">
        <v>1000</v>
      </c>
      <c r="N150">
        <v>36427</v>
      </c>
      <c r="O150">
        <v>307.10000000000002</v>
      </c>
      <c r="P150">
        <v>36329.4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1.28</v>
      </c>
      <c r="W150">
        <v>0</v>
      </c>
      <c r="X150">
        <v>0</v>
      </c>
      <c r="Y150">
        <v>1.279999971389771</v>
      </c>
      <c r="Z150">
        <v>0</v>
      </c>
      <c r="AA150">
        <v>0.89999997615814209</v>
      </c>
      <c r="AB150">
        <v>0.1800000071525574</v>
      </c>
      <c r="AC150">
        <v>0</v>
      </c>
      <c r="AD150">
        <v>0.20000000298023221</v>
      </c>
      <c r="AE150">
        <v>1.079999983310699</v>
      </c>
      <c r="AF150">
        <v>0.20000000298023221</v>
      </c>
      <c r="AG150">
        <v>0.84374999599822331</v>
      </c>
      <c r="AH150">
        <v>0.15625000400177669</v>
      </c>
      <c r="AI150">
        <v>150</v>
      </c>
      <c r="AJ150">
        <v>0.89999997615814209</v>
      </c>
      <c r="AK150">
        <v>0.1800000071525574</v>
      </c>
      <c r="AL150">
        <v>0</v>
      </c>
      <c r="AM150">
        <v>0.20000000298023221</v>
      </c>
      <c r="AN150">
        <v>0</v>
      </c>
      <c r="AO150">
        <v>0</v>
      </c>
      <c r="AR150">
        <v>1</v>
      </c>
      <c r="AS150">
        <v>0</v>
      </c>
      <c r="AT150">
        <v>1</v>
      </c>
      <c r="AU150">
        <v>0</v>
      </c>
      <c r="AV150">
        <f t="shared" si="34"/>
        <v>0</v>
      </c>
      <c r="AW150">
        <f t="shared" si="35"/>
        <v>0.15625000232830641</v>
      </c>
      <c r="AX150">
        <f t="shared" si="36"/>
        <v>75.625001126900301</v>
      </c>
      <c r="AY150">
        <f t="shared" si="37"/>
        <v>0</v>
      </c>
      <c r="AZ150">
        <f t="shared" si="38"/>
        <v>0.20000000298023221</v>
      </c>
      <c r="BA150" t="str">
        <f t="shared" si="39"/>
        <v/>
      </c>
      <c r="BB150">
        <f t="shared" si="40"/>
        <v>0.84374999599822331</v>
      </c>
      <c r="BC150">
        <f>MATCH($B150,clean_historis!$B:$B,0)</f>
        <v>150</v>
      </c>
      <c r="BD150">
        <f>IFERROR(INDEX(clean_historis!$AF:$AF,$BC150)/INDEX(clean_historis!$V:$V,$BC150),0)</f>
        <v>0</v>
      </c>
      <c r="BE150">
        <f>IFERROR(INDEX(clean_historis!$AR:$AR,$BC150)/INDEX(clean_historis!$AH:$AH,$BC150),0)</f>
        <v>0</v>
      </c>
      <c r="BF150">
        <f t="shared" si="41"/>
        <v>0.15625000232830641</v>
      </c>
      <c r="BG150">
        <f>MAX(IF(INDEX(clean_historis!$CL:$CL,$BC150)=1,2025,0),IF(INDEX(clean_historis!$CK:$CK,$BC150)=1,2024,0),IF(INDEX(clean_historis!$CJ:$CJ,$BC150)=1,2023,0),IF(INDEX(clean_historis!$CI:$CI,$BC150)=1,2022,0),IF(INDEX(clean_historis!$CH:$CH,$BC150)=1,2021,0))</f>
        <v>0</v>
      </c>
      <c r="BH150">
        <f t="shared" si="42"/>
        <v>0.15625000400177669</v>
      </c>
      <c r="BI150">
        <f t="shared" si="43"/>
        <v>75.625001936859917</v>
      </c>
      <c r="BJ150">
        <f t="shared" si="44"/>
        <v>0</v>
      </c>
      <c r="BK150">
        <f t="shared" si="45"/>
        <v>107.973</v>
      </c>
      <c r="BL150">
        <f t="shared" si="46"/>
        <v>0</v>
      </c>
      <c r="BM150">
        <f t="shared" si="47"/>
        <v>0</v>
      </c>
      <c r="BN150">
        <v>0</v>
      </c>
      <c r="BO150">
        <f t="shared" si="50"/>
        <v>0</v>
      </c>
      <c r="BP150">
        <f t="shared" si="48"/>
        <v>0</v>
      </c>
      <c r="BQ150">
        <f t="shared" si="49"/>
        <v>0</v>
      </c>
    </row>
    <row r="151" spans="1:69" x14ac:dyDescent="0.25">
      <c r="A151">
        <v>150</v>
      </c>
      <c r="B151" t="s">
        <v>694</v>
      </c>
      <c r="C151" t="s">
        <v>695</v>
      </c>
      <c r="D151" t="s">
        <v>696</v>
      </c>
      <c r="E151" t="s">
        <v>697</v>
      </c>
      <c r="F151" t="s">
        <v>310</v>
      </c>
      <c r="G151">
        <v>2</v>
      </c>
      <c r="H151">
        <v>1</v>
      </c>
      <c r="I151">
        <v>584</v>
      </c>
      <c r="J151">
        <v>1</v>
      </c>
      <c r="K151">
        <v>0</v>
      </c>
      <c r="L151">
        <v>34399.4</v>
      </c>
      <c r="M151">
        <v>1719.1</v>
      </c>
      <c r="N151">
        <v>36609.800000000003</v>
      </c>
      <c r="O151">
        <v>1643.7</v>
      </c>
      <c r="P151">
        <v>36512.199999999997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</v>
      </c>
      <c r="W151">
        <v>2.2699999809265141</v>
      </c>
      <c r="X151">
        <v>0</v>
      </c>
      <c r="Y151">
        <v>0</v>
      </c>
      <c r="Z151">
        <v>0</v>
      </c>
      <c r="AA151">
        <v>0</v>
      </c>
      <c r="AB151">
        <v>2.2699999809265141</v>
      </c>
      <c r="AC151">
        <v>0</v>
      </c>
      <c r="AD151">
        <v>0</v>
      </c>
      <c r="AE151">
        <v>2.2699999809265141</v>
      </c>
      <c r="AF151">
        <v>0</v>
      </c>
      <c r="AG151">
        <v>1</v>
      </c>
      <c r="AH151">
        <v>0</v>
      </c>
      <c r="AI151">
        <v>150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R151">
        <v>0</v>
      </c>
      <c r="AS151">
        <v>0</v>
      </c>
      <c r="AT151">
        <v>0</v>
      </c>
      <c r="AU151">
        <v>0</v>
      </c>
      <c r="AV151">
        <f t="shared" si="34"/>
        <v>0</v>
      </c>
      <c r="AW151">
        <f t="shared" si="35"/>
        <v>0</v>
      </c>
      <c r="AX151">
        <f t="shared" si="36"/>
        <v>0</v>
      </c>
      <c r="AY151">
        <f t="shared" si="37"/>
        <v>0</v>
      </c>
      <c r="AZ151">
        <f t="shared" si="38"/>
        <v>0</v>
      </c>
      <c r="BA151" t="str">
        <f t="shared" si="39"/>
        <v/>
      </c>
      <c r="BB151">
        <f t="shared" si="40"/>
        <v>1</v>
      </c>
      <c r="BC151">
        <f>MATCH($B151,clean_historis!$B:$B,0)</f>
        <v>151</v>
      </c>
      <c r="BD151">
        <f>IFERROR(INDEX(clean_historis!$AF:$AF,$BC151)/INDEX(clean_historis!$V:$V,$BC151),0)</f>
        <v>0</v>
      </c>
      <c r="BE151">
        <f>IFERROR(INDEX(clean_historis!$AR:$AR,$BC151)/INDEX(clean_historis!$AH:$AH,$BC151),0)</f>
        <v>0</v>
      </c>
      <c r="BF151">
        <f t="shared" si="41"/>
        <v>0</v>
      </c>
      <c r="BG151">
        <f>MAX(IF(INDEX(clean_historis!$CL:$CL,$BC151)=1,2025,0),IF(INDEX(clean_historis!$CK:$CK,$BC151)=1,2024,0),IF(INDEX(clean_historis!$CJ:$CJ,$BC151)=1,2023,0),IF(INDEX(clean_historis!$CI:$CI,$BC151)=1,2022,0),IF(INDEX(clean_historis!$CH:$CH,$BC151)=1,2021,0))</f>
        <v>0</v>
      </c>
      <c r="BH151">
        <f t="shared" si="42"/>
        <v>0</v>
      </c>
      <c r="BI151">
        <f t="shared" si="43"/>
        <v>0</v>
      </c>
      <c r="BJ151">
        <f t="shared" si="44"/>
        <v>0</v>
      </c>
      <c r="BK151">
        <f t="shared" si="45"/>
        <v>109.24050000000001</v>
      </c>
      <c r="BL151">
        <f t="shared" si="46"/>
        <v>0</v>
      </c>
      <c r="BM151">
        <f t="shared" si="47"/>
        <v>0</v>
      </c>
      <c r="BN151">
        <v>0</v>
      </c>
      <c r="BO151">
        <f t="shared" si="50"/>
        <v>0</v>
      </c>
      <c r="BP151">
        <f t="shared" si="48"/>
        <v>0</v>
      </c>
      <c r="BQ151">
        <f t="shared" si="49"/>
        <v>0</v>
      </c>
    </row>
    <row r="152" spans="1:69" x14ac:dyDescent="0.25">
      <c r="A152">
        <v>151</v>
      </c>
      <c r="B152" t="s">
        <v>698</v>
      </c>
      <c r="C152" t="s">
        <v>699</v>
      </c>
      <c r="D152" t="s">
        <v>700</v>
      </c>
      <c r="E152" t="s">
        <v>701</v>
      </c>
      <c r="F152" t="s">
        <v>132</v>
      </c>
      <c r="G152">
        <v>2</v>
      </c>
      <c r="H152">
        <v>1</v>
      </c>
      <c r="I152">
        <v>912</v>
      </c>
      <c r="J152">
        <v>0</v>
      </c>
      <c r="K152">
        <v>0</v>
      </c>
      <c r="L152">
        <v>6121.3</v>
      </c>
      <c r="M152">
        <v>3023</v>
      </c>
      <c r="N152">
        <v>15880.5</v>
      </c>
      <c r="O152">
        <v>292</v>
      </c>
      <c r="P152">
        <v>14017.6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1.66</v>
      </c>
      <c r="W152">
        <v>0</v>
      </c>
      <c r="X152">
        <v>0</v>
      </c>
      <c r="Y152">
        <v>1.6599999666213989</v>
      </c>
      <c r="Z152">
        <v>0</v>
      </c>
      <c r="AA152">
        <v>0.10000000149011611</v>
      </c>
      <c r="AB152">
        <v>1.559999942779541</v>
      </c>
      <c r="AC152">
        <v>0</v>
      </c>
      <c r="AD152">
        <v>0</v>
      </c>
      <c r="AE152">
        <v>1.6599999442696569</v>
      </c>
      <c r="AF152">
        <v>0</v>
      </c>
      <c r="AG152">
        <v>1</v>
      </c>
      <c r="AH152">
        <v>0</v>
      </c>
      <c r="AI152">
        <v>150</v>
      </c>
      <c r="AJ152">
        <v>0.10000000149011611</v>
      </c>
      <c r="AK152">
        <v>1.559999942779541</v>
      </c>
      <c r="AL152">
        <v>0</v>
      </c>
      <c r="AM152">
        <v>0</v>
      </c>
      <c r="AN152">
        <v>1</v>
      </c>
      <c r="AO152">
        <v>3</v>
      </c>
      <c r="AP152">
        <v>2025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f t="shared" si="34"/>
        <v>0</v>
      </c>
      <c r="AW152">
        <f t="shared" si="35"/>
        <v>0</v>
      </c>
      <c r="AX152">
        <f t="shared" si="36"/>
        <v>0</v>
      </c>
      <c r="AY152">
        <f t="shared" si="37"/>
        <v>0</v>
      </c>
      <c r="AZ152">
        <f t="shared" si="38"/>
        <v>0</v>
      </c>
      <c r="BA152" t="str">
        <f t="shared" si="39"/>
        <v/>
      </c>
      <c r="BB152">
        <f t="shared" si="40"/>
        <v>1</v>
      </c>
      <c r="BC152">
        <f>MATCH($B152,clean_historis!$B:$B,0)</f>
        <v>152</v>
      </c>
      <c r="BD152">
        <f>IFERROR(INDEX(clean_historis!$AF:$AF,$BC152)/INDEX(clean_historis!$V:$V,$BC152),0)</f>
        <v>0</v>
      </c>
      <c r="BE152">
        <f>IFERROR(INDEX(clean_historis!$AR:$AR,$BC152)/INDEX(clean_historis!$AH:$AH,$BC152),0)</f>
        <v>0</v>
      </c>
      <c r="BF152">
        <f t="shared" si="41"/>
        <v>0</v>
      </c>
      <c r="BG152">
        <f>MAX(IF(INDEX(clean_historis!$CL:$CL,$BC152)=1,2025,0),IF(INDEX(clean_historis!$CK:$CK,$BC152)=1,2024,0),IF(INDEX(clean_historis!$CJ:$CJ,$BC152)=1,2023,0),IF(INDEX(clean_historis!$CI:$CI,$BC152)=1,2022,0),IF(INDEX(clean_historis!$CH:$CH,$BC152)=1,2021,0))</f>
        <v>0</v>
      </c>
      <c r="BH152">
        <f t="shared" si="42"/>
        <v>0</v>
      </c>
      <c r="BI152">
        <f t="shared" si="43"/>
        <v>0</v>
      </c>
      <c r="BJ152">
        <f t="shared" si="44"/>
        <v>0</v>
      </c>
      <c r="BK152">
        <f t="shared" si="45"/>
        <v>39.042400000000001</v>
      </c>
      <c r="BL152">
        <f t="shared" si="46"/>
        <v>0</v>
      </c>
      <c r="BM152">
        <f t="shared" si="47"/>
        <v>0</v>
      </c>
      <c r="BN152">
        <v>0</v>
      </c>
      <c r="BO152">
        <f t="shared" si="50"/>
        <v>0</v>
      </c>
      <c r="BP152">
        <f t="shared" si="48"/>
        <v>1</v>
      </c>
      <c r="BQ152">
        <f t="shared" si="49"/>
        <v>0</v>
      </c>
    </row>
    <row r="153" spans="1:69" x14ac:dyDescent="0.25">
      <c r="A153">
        <v>152</v>
      </c>
      <c r="B153" t="s">
        <v>702</v>
      </c>
      <c r="C153" t="s">
        <v>703</v>
      </c>
      <c r="D153" t="s">
        <v>704</v>
      </c>
      <c r="E153" t="s">
        <v>705</v>
      </c>
      <c r="F153" t="s">
        <v>100</v>
      </c>
      <c r="G153">
        <v>1</v>
      </c>
      <c r="H153">
        <v>1</v>
      </c>
      <c r="I153">
        <v>3189</v>
      </c>
      <c r="J153">
        <v>0</v>
      </c>
      <c r="K153">
        <v>0</v>
      </c>
      <c r="L153">
        <v>575.9</v>
      </c>
      <c r="M153">
        <v>1149.0999999999999</v>
      </c>
      <c r="N153">
        <v>2120.5</v>
      </c>
      <c r="O153">
        <v>0</v>
      </c>
      <c r="P153">
        <v>257.60000000000002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0.39</v>
      </c>
      <c r="W153">
        <v>0</v>
      </c>
      <c r="X153">
        <v>0</v>
      </c>
      <c r="Y153">
        <v>0.38999998569488531</v>
      </c>
      <c r="Z153">
        <v>0</v>
      </c>
      <c r="AA153">
        <v>0.10000000149011611</v>
      </c>
      <c r="AB153">
        <v>0.28999999165534968</v>
      </c>
      <c r="AC153">
        <v>0</v>
      </c>
      <c r="AD153">
        <v>0</v>
      </c>
      <c r="AE153">
        <v>0.38999999314546591</v>
      </c>
      <c r="AF153">
        <v>0</v>
      </c>
      <c r="AG153">
        <v>1</v>
      </c>
      <c r="AH153">
        <v>0</v>
      </c>
      <c r="AI153">
        <v>150</v>
      </c>
      <c r="AJ153">
        <v>0.10000000149011611</v>
      </c>
      <c r="AK153">
        <v>0.28999999165534968</v>
      </c>
      <c r="AL153">
        <v>0</v>
      </c>
      <c r="AM153">
        <v>0</v>
      </c>
      <c r="AN153">
        <v>1</v>
      </c>
      <c r="AO153">
        <v>1</v>
      </c>
      <c r="AP153">
        <v>2023</v>
      </c>
      <c r="AQ153">
        <v>3</v>
      </c>
      <c r="AR153">
        <v>0</v>
      </c>
      <c r="AS153">
        <v>0</v>
      </c>
      <c r="AT153">
        <v>0</v>
      </c>
      <c r="AU153">
        <v>0</v>
      </c>
      <c r="AV153">
        <f t="shared" si="34"/>
        <v>0</v>
      </c>
      <c r="AW153">
        <f t="shared" si="35"/>
        <v>0</v>
      </c>
      <c r="AX153">
        <f t="shared" si="36"/>
        <v>0</v>
      </c>
      <c r="AY153">
        <f t="shared" si="37"/>
        <v>0</v>
      </c>
      <c r="AZ153">
        <f t="shared" si="38"/>
        <v>0</v>
      </c>
      <c r="BA153">
        <f t="shared" si="39"/>
        <v>2</v>
      </c>
      <c r="BB153">
        <f t="shared" si="40"/>
        <v>1</v>
      </c>
      <c r="BC153">
        <f>MATCH($B153,clean_historis!$B:$B,0)</f>
        <v>153</v>
      </c>
      <c r="BD153">
        <f>IFERROR(INDEX(clean_historis!$AF:$AF,$BC153)/INDEX(clean_historis!$V:$V,$BC153),0)</f>
        <v>0</v>
      </c>
      <c r="BE153">
        <f>IFERROR(INDEX(clean_historis!$AR:$AR,$BC153)/INDEX(clean_historis!$AH:$AH,$BC153),0)</f>
        <v>0</v>
      </c>
      <c r="BF153">
        <f t="shared" si="41"/>
        <v>0</v>
      </c>
      <c r="BG153">
        <f>MAX(IF(INDEX(clean_historis!$CL:$CL,$BC153)=1,2025,0),IF(INDEX(clean_historis!$CK:$CK,$BC153)=1,2024,0),IF(INDEX(clean_historis!$CJ:$CJ,$BC153)=1,2023,0),IF(INDEX(clean_historis!$CI:$CI,$BC153)=1,2022,0),IF(INDEX(clean_historis!$CH:$CH,$BC153)=1,2021,0))</f>
        <v>2023</v>
      </c>
      <c r="BH153">
        <f t="shared" si="42"/>
        <v>0</v>
      </c>
      <c r="BI153">
        <f t="shared" si="43"/>
        <v>0</v>
      </c>
      <c r="BJ153">
        <f t="shared" si="44"/>
        <v>1</v>
      </c>
      <c r="BK153">
        <f t="shared" si="45"/>
        <v>4.1031000000000004</v>
      </c>
      <c r="BL153">
        <f t="shared" si="46"/>
        <v>0</v>
      </c>
      <c r="BM153">
        <f t="shared" si="47"/>
        <v>0</v>
      </c>
      <c r="BN153">
        <v>0</v>
      </c>
      <c r="BO153">
        <f t="shared" si="50"/>
        <v>1</v>
      </c>
      <c r="BP153">
        <f t="shared" si="48"/>
        <v>1</v>
      </c>
      <c r="BQ153">
        <f t="shared" si="49"/>
        <v>1</v>
      </c>
    </row>
    <row r="154" spans="1:69" x14ac:dyDescent="0.25">
      <c r="A154">
        <v>153</v>
      </c>
      <c r="B154" t="s">
        <v>706</v>
      </c>
      <c r="C154" t="s">
        <v>707</v>
      </c>
      <c r="D154" t="s">
        <v>708</v>
      </c>
      <c r="E154" t="s">
        <v>709</v>
      </c>
      <c r="F154" t="s">
        <v>710</v>
      </c>
      <c r="G154">
        <v>2</v>
      </c>
      <c r="H154">
        <v>2</v>
      </c>
      <c r="I154">
        <v>700</v>
      </c>
      <c r="J154">
        <v>0</v>
      </c>
      <c r="K154">
        <v>0</v>
      </c>
      <c r="L154">
        <v>4661.3999999999996</v>
      </c>
      <c r="M154">
        <v>4844.3999999999996</v>
      </c>
      <c r="N154">
        <v>9406.1</v>
      </c>
      <c r="O154">
        <v>1615.3</v>
      </c>
      <c r="P154">
        <v>7804.8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2.94</v>
      </c>
      <c r="W154">
        <v>0</v>
      </c>
      <c r="X154">
        <v>0</v>
      </c>
      <c r="Y154">
        <v>2.940000057220459</v>
      </c>
      <c r="Z154">
        <v>0</v>
      </c>
      <c r="AA154">
        <v>0</v>
      </c>
      <c r="AB154">
        <v>2.0399999618530269</v>
      </c>
      <c r="AC154">
        <v>0.80000001192092896</v>
      </c>
      <c r="AD154">
        <v>0.10000000149011611</v>
      </c>
      <c r="AE154">
        <v>2.0399999618530269</v>
      </c>
      <c r="AF154">
        <v>0.90000001341104507</v>
      </c>
      <c r="AG154">
        <v>0.69387754388324219</v>
      </c>
      <c r="AH154">
        <v>0.30612245611675781</v>
      </c>
      <c r="AI154">
        <v>150</v>
      </c>
      <c r="AJ154">
        <v>0</v>
      </c>
      <c r="AK154">
        <v>2.0399999618530269</v>
      </c>
      <c r="AL154">
        <v>0.80000001192092896</v>
      </c>
      <c r="AM154">
        <v>0.10000000149011611</v>
      </c>
      <c r="AN154">
        <v>1</v>
      </c>
      <c r="AO154">
        <v>1</v>
      </c>
      <c r="AP154">
        <v>2023</v>
      </c>
      <c r="AQ154">
        <v>3</v>
      </c>
      <c r="AR154">
        <v>0</v>
      </c>
      <c r="AS154">
        <v>0</v>
      </c>
      <c r="AT154">
        <v>0</v>
      </c>
      <c r="AU154">
        <v>0</v>
      </c>
      <c r="AV154">
        <f t="shared" si="34"/>
        <v>0</v>
      </c>
      <c r="AW154">
        <f t="shared" si="35"/>
        <v>3.4013605949019081E-2</v>
      </c>
      <c r="AX154">
        <f t="shared" si="36"/>
        <v>23.809524164313355</v>
      </c>
      <c r="AY154">
        <f t="shared" si="37"/>
        <v>0</v>
      </c>
      <c r="AZ154">
        <f t="shared" si="38"/>
        <v>0.10000000149011609</v>
      </c>
      <c r="BA154" t="str">
        <f t="shared" si="39"/>
        <v/>
      </c>
      <c r="BB154">
        <f t="shared" si="40"/>
        <v>0.69387754388324219</v>
      </c>
      <c r="BC154">
        <f>MATCH($B154,clean_historis!$B:$B,0)</f>
        <v>154</v>
      </c>
      <c r="BD154">
        <f>IFERROR(INDEX(clean_historis!$AF:$AF,$BC154)/INDEX(clean_historis!$V:$V,$BC154),0)</f>
        <v>0</v>
      </c>
      <c r="BE154">
        <f>IFERROR(INDEX(clean_historis!$AR:$AR,$BC154)/INDEX(clean_historis!$AH:$AH,$BC154),0)</f>
        <v>0</v>
      </c>
      <c r="BF154">
        <f t="shared" si="41"/>
        <v>3.4013605949019081E-2</v>
      </c>
      <c r="BG154">
        <f>MAX(IF(INDEX(clean_historis!$CL:$CL,$BC154)=1,2025,0),IF(INDEX(clean_historis!$CK:$CK,$BC154)=1,2024,0),IF(INDEX(clean_historis!$CJ:$CJ,$BC154)=1,2023,0),IF(INDEX(clean_historis!$CI:$CI,$BC154)=1,2022,0),IF(INDEX(clean_historis!$CH:$CH,$BC154)=1,2021,0))</f>
        <v>0</v>
      </c>
      <c r="BH154">
        <f t="shared" si="42"/>
        <v>0.30612245611675781</v>
      </c>
      <c r="BI154">
        <f t="shared" si="43"/>
        <v>214.28571928173048</v>
      </c>
      <c r="BJ154">
        <f t="shared" si="44"/>
        <v>0</v>
      </c>
      <c r="BK154">
        <f t="shared" si="45"/>
        <v>26.716700000000003</v>
      </c>
      <c r="BL154">
        <f t="shared" si="46"/>
        <v>0</v>
      </c>
      <c r="BM154">
        <f t="shared" si="47"/>
        <v>0</v>
      </c>
      <c r="BN154">
        <v>0</v>
      </c>
      <c r="BO154">
        <f t="shared" si="50"/>
        <v>0</v>
      </c>
      <c r="BP154">
        <f t="shared" si="48"/>
        <v>1</v>
      </c>
      <c r="BQ154">
        <f t="shared" si="49"/>
        <v>0</v>
      </c>
    </row>
    <row r="155" spans="1:69" x14ac:dyDescent="0.25">
      <c r="A155">
        <v>154</v>
      </c>
      <c r="B155" t="s">
        <v>711</v>
      </c>
      <c r="C155" t="s">
        <v>712</v>
      </c>
      <c r="D155" t="s">
        <v>713</v>
      </c>
      <c r="E155" t="s">
        <v>714</v>
      </c>
      <c r="F155" t="s">
        <v>310</v>
      </c>
      <c r="G155">
        <v>1</v>
      </c>
      <c r="H155">
        <v>1</v>
      </c>
      <c r="I155">
        <v>385</v>
      </c>
      <c r="J155">
        <v>1</v>
      </c>
      <c r="K155">
        <v>1</v>
      </c>
      <c r="L155">
        <v>21094.2</v>
      </c>
      <c r="M155">
        <v>8100.1</v>
      </c>
      <c r="N155">
        <v>23304.6</v>
      </c>
      <c r="O155">
        <v>219.7</v>
      </c>
      <c r="P155">
        <v>23207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0.38</v>
      </c>
      <c r="W155">
        <v>0.37999999523162842</v>
      </c>
      <c r="X155">
        <v>0</v>
      </c>
      <c r="Y155">
        <v>0</v>
      </c>
      <c r="Z155">
        <v>0</v>
      </c>
      <c r="AA155">
        <v>0</v>
      </c>
      <c r="AB155">
        <v>0.37999999523162842</v>
      </c>
      <c r="AC155">
        <v>0</v>
      </c>
      <c r="AD155">
        <v>0</v>
      </c>
      <c r="AE155">
        <v>0.37999999523162842</v>
      </c>
      <c r="AF155">
        <v>0</v>
      </c>
      <c r="AG155">
        <v>1</v>
      </c>
      <c r="AH155">
        <v>0</v>
      </c>
      <c r="AI155">
        <v>150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2021</v>
      </c>
      <c r="AQ155">
        <v>5</v>
      </c>
      <c r="AR155">
        <v>0</v>
      </c>
      <c r="AS155">
        <v>0</v>
      </c>
      <c r="AT155">
        <v>0</v>
      </c>
      <c r="AU155">
        <v>0</v>
      </c>
      <c r="AV155">
        <f t="shared" si="34"/>
        <v>0</v>
      </c>
      <c r="AW155">
        <f t="shared" si="35"/>
        <v>0</v>
      </c>
      <c r="AX155">
        <f t="shared" si="36"/>
        <v>0</v>
      </c>
      <c r="AY155">
        <f t="shared" si="37"/>
        <v>0</v>
      </c>
      <c r="AZ155">
        <f t="shared" si="38"/>
        <v>0</v>
      </c>
      <c r="BA155" t="str">
        <f t="shared" si="39"/>
        <v/>
      </c>
      <c r="BB155">
        <f t="shared" si="40"/>
        <v>1</v>
      </c>
      <c r="BC155">
        <f>MATCH($B155,clean_historis!$B:$B,0)</f>
        <v>155</v>
      </c>
      <c r="BD155">
        <f>IFERROR(INDEX(clean_historis!$AF:$AF,$BC155)/INDEX(clean_historis!$V:$V,$BC155),0)</f>
        <v>0</v>
      </c>
      <c r="BE155">
        <f>IFERROR(INDEX(clean_historis!$AR:$AR,$BC155)/INDEX(clean_historis!$AH:$AH,$BC155),0)</f>
        <v>0</v>
      </c>
      <c r="BF155">
        <f t="shared" si="41"/>
        <v>0</v>
      </c>
      <c r="BG155">
        <f>MAX(IF(INDEX(clean_historis!$CL:$CL,$BC155)=1,2025,0),IF(INDEX(clean_historis!$CK:$CK,$BC155)=1,2024,0),IF(INDEX(clean_historis!$CJ:$CJ,$BC155)=1,2023,0),IF(INDEX(clean_historis!$CI:$CI,$BC155)=1,2022,0),IF(INDEX(clean_historis!$CH:$CH,$BC155)=1,2021,0))</f>
        <v>0</v>
      </c>
      <c r="BH155">
        <f t="shared" si="42"/>
        <v>0</v>
      </c>
      <c r="BI155">
        <f t="shared" si="43"/>
        <v>0</v>
      </c>
      <c r="BJ155">
        <f t="shared" si="44"/>
        <v>0</v>
      </c>
      <c r="BK155">
        <f t="shared" si="45"/>
        <v>75.7059</v>
      </c>
      <c r="BL155">
        <f t="shared" si="46"/>
        <v>0</v>
      </c>
      <c r="BM155">
        <f t="shared" si="47"/>
        <v>0</v>
      </c>
      <c r="BN155">
        <v>0</v>
      </c>
      <c r="BO155">
        <f t="shared" si="50"/>
        <v>1</v>
      </c>
      <c r="BP155">
        <f t="shared" si="48"/>
        <v>1</v>
      </c>
      <c r="BQ155">
        <f t="shared" si="49"/>
        <v>1</v>
      </c>
    </row>
    <row r="156" spans="1:69" x14ac:dyDescent="0.25">
      <c r="A156">
        <v>155</v>
      </c>
      <c r="B156" t="s">
        <v>715</v>
      </c>
      <c r="C156" t="s">
        <v>716</v>
      </c>
      <c r="D156" t="s">
        <v>717</v>
      </c>
      <c r="E156" t="s">
        <v>685</v>
      </c>
      <c r="F156" t="s">
        <v>310</v>
      </c>
      <c r="G156">
        <v>1</v>
      </c>
      <c r="H156">
        <v>1</v>
      </c>
      <c r="I156">
        <v>138</v>
      </c>
      <c r="J156">
        <v>0</v>
      </c>
      <c r="K156">
        <v>0</v>
      </c>
      <c r="L156">
        <v>790352350</v>
      </c>
      <c r="M156">
        <v>79020185</v>
      </c>
      <c r="N156">
        <v>37445.478999999999</v>
      </c>
      <c r="O156">
        <v>413.67899999999997</v>
      </c>
      <c r="P156">
        <v>38542.800000000003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1.58</v>
      </c>
      <c r="W156">
        <v>1.580000042915344</v>
      </c>
      <c r="X156">
        <v>0</v>
      </c>
      <c r="Y156">
        <v>0</v>
      </c>
      <c r="Z156">
        <v>0</v>
      </c>
      <c r="AA156">
        <v>0</v>
      </c>
      <c r="AB156">
        <v>0.10000000149011611</v>
      </c>
      <c r="AC156">
        <v>1.4800000190734861</v>
      </c>
      <c r="AD156">
        <v>0</v>
      </c>
      <c r="AE156">
        <v>0.10000000149011611</v>
      </c>
      <c r="AF156">
        <v>1.4800000190734861</v>
      </c>
      <c r="AG156">
        <v>6.3291139359887533E-2</v>
      </c>
      <c r="AH156">
        <v>0.9367088606401125</v>
      </c>
      <c r="AI156">
        <v>150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R156">
        <v>0</v>
      </c>
      <c r="AS156">
        <v>0</v>
      </c>
      <c r="AT156">
        <v>0</v>
      </c>
      <c r="AU156">
        <v>0</v>
      </c>
      <c r="AV156">
        <f t="shared" si="34"/>
        <v>0</v>
      </c>
      <c r="AW156">
        <f t="shared" si="35"/>
        <v>0</v>
      </c>
      <c r="AX156">
        <f t="shared" si="36"/>
        <v>0</v>
      </c>
      <c r="AY156">
        <f t="shared" si="37"/>
        <v>0</v>
      </c>
      <c r="AZ156">
        <f t="shared" si="38"/>
        <v>0</v>
      </c>
      <c r="BA156" t="str">
        <f t="shared" si="39"/>
        <v/>
      </c>
      <c r="BB156">
        <f t="shared" si="40"/>
        <v>6.3291139359887533E-2</v>
      </c>
      <c r="BC156">
        <f>MATCH($B156,clean_historis!$B:$B,0)</f>
        <v>156</v>
      </c>
      <c r="BD156">
        <f>IFERROR(INDEX(clean_historis!$AF:$AF,$BC156)/INDEX(clean_historis!$V:$V,$BC156),0)</f>
        <v>0</v>
      </c>
      <c r="BE156">
        <f>IFERROR(INDEX(clean_historis!$AR:$AR,$BC156)/INDEX(clean_historis!$AH:$AH,$BC156),0)</f>
        <v>0</v>
      </c>
      <c r="BF156">
        <f t="shared" si="41"/>
        <v>0</v>
      </c>
      <c r="BG156">
        <f>MAX(IF(INDEX(clean_historis!$CL:$CL,$BC156)=1,2025,0),IF(INDEX(clean_historis!$CK:$CK,$BC156)=1,2024,0),IF(INDEX(clean_historis!$CJ:$CJ,$BC156)=1,2023,0),IF(INDEX(clean_historis!$CI:$CI,$BC156)=1,2022,0),IF(INDEX(clean_historis!$CH:$CH,$BC156)=1,2021,0))</f>
        <v>0</v>
      </c>
      <c r="BH156">
        <f t="shared" si="42"/>
        <v>0.9367088606401125</v>
      </c>
      <c r="BI156">
        <f t="shared" si="43"/>
        <v>129.26582276833551</v>
      </c>
      <c r="BJ156">
        <f t="shared" si="44"/>
        <v>0</v>
      </c>
      <c r="BK156">
        <f t="shared" si="45"/>
        <v>869448.52327899996</v>
      </c>
      <c r="BL156">
        <f t="shared" si="46"/>
        <v>0</v>
      </c>
      <c r="BM156">
        <f t="shared" si="47"/>
        <v>0</v>
      </c>
      <c r="BN156">
        <v>0</v>
      </c>
      <c r="BO156">
        <f t="shared" si="50"/>
        <v>0</v>
      </c>
      <c r="BP156">
        <f t="shared" si="48"/>
        <v>0</v>
      </c>
      <c r="BQ156">
        <f t="shared" si="49"/>
        <v>1</v>
      </c>
    </row>
    <row r="157" spans="1:69" x14ac:dyDescent="0.25">
      <c r="A157">
        <v>156</v>
      </c>
      <c r="B157" t="s">
        <v>718</v>
      </c>
      <c r="C157" t="s">
        <v>719</v>
      </c>
      <c r="D157" t="s">
        <v>720</v>
      </c>
      <c r="E157" t="s">
        <v>721</v>
      </c>
      <c r="F157" t="s">
        <v>127</v>
      </c>
      <c r="G157">
        <v>1</v>
      </c>
      <c r="H157">
        <v>1</v>
      </c>
      <c r="I157">
        <v>371</v>
      </c>
      <c r="J157">
        <v>0</v>
      </c>
      <c r="K157">
        <v>0</v>
      </c>
      <c r="L157">
        <v>18164.7</v>
      </c>
      <c r="M157">
        <v>14215</v>
      </c>
      <c r="N157">
        <v>20375.099999999999</v>
      </c>
      <c r="O157">
        <v>802.2</v>
      </c>
      <c r="P157">
        <v>20277.5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10.66</v>
      </c>
      <c r="W157">
        <v>1.360000014305115</v>
      </c>
      <c r="X157">
        <v>0</v>
      </c>
      <c r="Y157">
        <v>7.5999999046325684</v>
      </c>
      <c r="Z157">
        <v>0</v>
      </c>
      <c r="AA157">
        <v>6.4000000953674316</v>
      </c>
      <c r="AB157">
        <v>1.8999999761581421</v>
      </c>
      <c r="AC157">
        <v>0.20000000298023221</v>
      </c>
      <c r="AD157">
        <v>0.46000000834465032</v>
      </c>
      <c r="AE157">
        <v>8.3000000715255737</v>
      </c>
      <c r="AF157">
        <v>0.66000001132488251</v>
      </c>
      <c r="AG157">
        <v>0.92633928513146668</v>
      </c>
      <c r="AH157">
        <v>7.3660714868533331E-2</v>
      </c>
      <c r="AI157">
        <v>150</v>
      </c>
      <c r="AJ157">
        <v>5.4000000953674316</v>
      </c>
      <c r="AK157">
        <v>1.8999999761581421</v>
      </c>
      <c r="AL157">
        <v>0.20000000298023221</v>
      </c>
      <c r="AM157">
        <v>0.10000000149011611</v>
      </c>
      <c r="AN157">
        <v>1</v>
      </c>
      <c r="AO157">
        <v>2</v>
      </c>
      <c r="AP157">
        <v>2024</v>
      </c>
      <c r="AQ157">
        <v>2</v>
      </c>
      <c r="AR157">
        <v>1</v>
      </c>
      <c r="AS157">
        <v>0</v>
      </c>
      <c r="AT157">
        <v>1</v>
      </c>
      <c r="AU157">
        <v>0</v>
      </c>
      <c r="AV157">
        <f t="shared" si="34"/>
        <v>9.3808630393997228E-3</v>
      </c>
      <c r="AW157">
        <f t="shared" si="35"/>
        <v>-0.24390243824159014</v>
      </c>
      <c r="AX157">
        <f t="shared" si="36"/>
        <v>16.009381153458278</v>
      </c>
      <c r="AY157">
        <f t="shared" si="37"/>
        <v>0</v>
      </c>
      <c r="AZ157">
        <f t="shared" si="38"/>
        <v>0.46000000834465032</v>
      </c>
      <c r="BA157">
        <f t="shared" si="39"/>
        <v>2</v>
      </c>
      <c r="BB157">
        <f t="shared" si="40"/>
        <v>0.92633928513146668</v>
      </c>
      <c r="BC157">
        <f>MATCH($B157,clean_historis!$B:$B,0)</f>
        <v>157</v>
      </c>
      <c r="BD157">
        <f>IFERROR(INDEX(clean_historis!$AF:$AF,$BC157)/INDEX(clean_historis!$V:$V,$BC157),0)</f>
        <v>0.2776735459662289</v>
      </c>
      <c r="BE157">
        <f>IFERROR(INDEX(clean_historis!$AR:$AR,$BC157)/INDEX(clean_historis!$AH:$AH,$BC157),0)</f>
        <v>0.28705440900562862</v>
      </c>
      <c r="BF157">
        <f t="shared" si="41"/>
        <v>4.315197076403849E-2</v>
      </c>
      <c r="BG157">
        <f>MAX(IF(INDEX(clean_historis!$CL:$CL,$BC157)=1,2025,0),IF(INDEX(clean_historis!$CK:$CK,$BC157)=1,2024,0),IF(INDEX(clean_historis!$CJ:$CJ,$BC157)=1,2023,0),IF(INDEX(clean_historis!$CI:$CI,$BC157)=1,2022,0),IF(INDEX(clean_historis!$CH:$CH,$BC157)=1,2021,0))</f>
        <v>2023</v>
      </c>
      <c r="BH157">
        <f t="shared" si="42"/>
        <v>7.3660714868533317E-2</v>
      </c>
      <c r="BI157">
        <f t="shared" si="43"/>
        <v>27.32812521622586</v>
      </c>
      <c r="BJ157">
        <f t="shared" si="44"/>
        <v>0</v>
      </c>
      <c r="BK157">
        <f t="shared" si="45"/>
        <v>73.032299999999992</v>
      </c>
      <c r="BL157">
        <f t="shared" si="46"/>
        <v>0</v>
      </c>
      <c r="BM157">
        <f t="shared" si="47"/>
        <v>0</v>
      </c>
      <c r="BN157">
        <v>0</v>
      </c>
      <c r="BO157">
        <f t="shared" si="50"/>
        <v>0</v>
      </c>
      <c r="BP157">
        <f t="shared" si="48"/>
        <v>1</v>
      </c>
      <c r="BQ157">
        <f t="shared" si="49"/>
        <v>0</v>
      </c>
    </row>
    <row r="158" spans="1:69" x14ac:dyDescent="0.25">
      <c r="A158">
        <v>157</v>
      </c>
      <c r="B158" t="s">
        <v>722</v>
      </c>
      <c r="C158" t="s">
        <v>723</v>
      </c>
      <c r="D158" t="s">
        <v>724</v>
      </c>
      <c r="E158" t="s">
        <v>725</v>
      </c>
      <c r="F158" t="s">
        <v>127</v>
      </c>
      <c r="G158">
        <v>2</v>
      </c>
      <c r="H158">
        <v>1</v>
      </c>
      <c r="I158">
        <v>1090</v>
      </c>
      <c r="J158">
        <v>0</v>
      </c>
      <c r="K158">
        <v>0</v>
      </c>
      <c r="L158">
        <v>15110.7</v>
      </c>
      <c r="M158">
        <v>11161</v>
      </c>
      <c r="N158">
        <v>17321.099999999999</v>
      </c>
      <c r="O158">
        <v>858.1</v>
      </c>
      <c r="P158">
        <v>17223.5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4.57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150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R158">
        <v>0</v>
      </c>
      <c r="AS158">
        <v>0</v>
      </c>
      <c r="AT158">
        <v>0</v>
      </c>
      <c r="AU158">
        <v>0</v>
      </c>
      <c r="AV158">
        <f t="shared" si="34"/>
        <v>0</v>
      </c>
      <c r="AW158">
        <f t="shared" si="35"/>
        <v>-1</v>
      </c>
      <c r="AX158">
        <f t="shared" si="36"/>
        <v>0</v>
      </c>
      <c r="AY158">
        <f t="shared" si="37"/>
        <v>0</v>
      </c>
      <c r="AZ158">
        <f t="shared" si="38"/>
        <v>0</v>
      </c>
      <c r="BA158" t="str">
        <f t="shared" si="39"/>
        <v/>
      </c>
      <c r="BB158">
        <f t="shared" si="40"/>
        <v>0</v>
      </c>
      <c r="BC158">
        <f>MATCH($B158,clean_historis!$B:$B,0)</f>
        <v>158</v>
      </c>
      <c r="BD158">
        <f>IFERROR(INDEX(clean_historis!$AF:$AF,$BC158)/INDEX(clean_historis!$V:$V,$BC158),0)</f>
        <v>1</v>
      </c>
      <c r="BE158">
        <f>IFERROR(INDEX(clean_historis!$AR:$AR,$BC158)/INDEX(clean_historis!$AH:$AH,$BC158),0)</f>
        <v>1</v>
      </c>
      <c r="BF158">
        <f t="shared" si="41"/>
        <v>0</v>
      </c>
      <c r="BG158">
        <f>MAX(IF(INDEX(clean_historis!$CL:$CL,$BC158)=1,2025,0),IF(INDEX(clean_historis!$CK:$CK,$BC158)=1,2024,0),IF(INDEX(clean_historis!$CJ:$CJ,$BC158)=1,2023,0),IF(INDEX(clean_historis!$CI:$CI,$BC158)=1,2022,0),IF(INDEX(clean_historis!$CH:$CH,$BC158)=1,2021,0))</f>
        <v>0</v>
      </c>
      <c r="BH158">
        <f t="shared" si="42"/>
        <v>1</v>
      </c>
      <c r="BI158">
        <f t="shared" si="43"/>
        <v>1090</v>
      </c>
      <c r="BJ158">
        <f t="shared" si="44"/>
        <v>0</v>
      </c>
      <c r="BK158">
        <f t="shared" si="45"/>
        <v>60.816300000000005</v>
      </c>
      <c r="BL158">
        <f t="shared" si="46"/>
        <v>0</v>
      </c>
      <c r="BM158">
        <f t="shared" si="47"/>
        <v>0</v>
      </c>
      <c r="BN158">
        <v>0</v>
      </c>
      <c r="BO158">
        <f t="shared" si="50"/>
        <v>0</v>
      </c>
      <c r="BP158">
        <f t="shared" si="48"/>
        <v>0</v>
      </c>
      <c r="BQ158">
        <f t="shared" si="49"/>
        <v>1</v>
      </c>
    </row>
    <row r="159" spans="1:69" x14ac:dyDescent="0.25">
      <c r="A159">
        <v>158</v>
      </c>
      <c r="B159" t="s">
        <v>726</v>
      </c>
      <c r="C159" t="s">
        <v>727</v>
      </c>
      <c r="D159" t="s">
        <v>728</v>
      </c>
      <c r="E159" t="s">
        <v>729</v>
      </c>
      <c r="F159" t="s">
        <v>310</v>
      </c>
      <c r="G159">
        <v>2</v>
      </c>
      <c r="H159">
        <v>1</v>
      </c>
      <c r="I159">
        <v>746</v>
      </c>
      <c r="J159">
        <v>0</v>
      </c>
      <c r="K159">
        <v>1</v>
      </c>
      <c r="L159">
        <v>29795.599999999999</v>
      </c>
      <c r="M159">
        <v>3662.6</v>
      </c>
      <c r="N159">
        <v>32006</v>
      </c>
      <c r="O159">
        <v>2306.6</v>
      </c>
      <c r="P159">
        <v>31908.3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4.16</v>
      </c>
      <c r="W159">
        <v>1.200000047683716</v>
      </c>
      <c r="X159">
        <v>0</v>
      </c>
      <c r="Y159">
        <v>0</v>
      </c>
      <c r="Z159">
        <v>0</v>
      </c>
      <c r="AA159">
        <v>0</v>
      </c>
      <c r="AB159">
        <v>0.20000000298023221</v>
      </c>
      <c r="AC159">
        <v>0.69999998807907104</v>
      </c>
      <c r="AD159">
        <v>0.30000001192092901</v>
      </c>
      <c r="AE159">
        <v>0.20000000298023221</v>
      </c>
      <c r="AF159">
        <v>1</v>
      </c>
      <c r="AG159">
        <v>0.16666666873627239</v>
      </c>
      <c r="AH159">
        <v>0.83333333126372766</v>
      </c>
      <c r="AI159">
        <v>150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R159">
        <v>0</v>
      </c>
      <c r="AS159">
        <v>0</v>
      </c>
      <c r="AT159">
        <v>0</v>
      </c>
      <c r="AU159">
        <v>0</v>
      </c>
      <c r="AV159">
        <f t="shared" si="34"/>
        <v>4.8076923076923572E-2</v>
      </c>
      <c r="AW159">
        <f t="shared" si="35"/>
        <v>-0.78365384328823862</v>
      </c>
      <c r="AX159">
        <f t="shared" si="36"/>
        <v>53.798079060820449</v>
      </c>
      <c r="AY159">
        <f t="shared" si="37"/>
        <v>0</v>
      </c>
      <c r="AZ159">
        <f t="shared" si="38"/>
        <v>0.30000001192092901</v>
      </c>
      <c r="BA159" t="str">
        <f t="shared" si="39"/>
        <v/>
      </c>
      <c r="BB159">
        <f t="shared" si="40"/>
        <v>0.16666666873627239</v>
      </c>
      <c r="BC159">
        <f>MATCH($B159,clean_historis!$B:$B,0)</f>
        <v>159</v>
      </c>
      <c r="BD159">
        <f>IFERROR(INDEX(clean_historis!$AF:$AF,$BC159)/INDEX(clean_historis!$V:$V,$BC159),0)</f>
        <v>0.8076923076923076</v>
      </c>
      <c r="BE159">
        <f>IFERROR(INDEX(clean_historis!$AR:$AR,$BC159)/INDEX(clean_historis!$AH:$AH,$BC159),0)</f>
        <v>0.85576923076923117</v>
      </c>
      <c r="BF159">
        <f t="shared" si="41"/>
        <v>7.2115387480992554E-2</v>
      </c>
      <c r="BG159">
        <f>MAX(IF(INDEX(clean_historis!$CL:$CL,$BC159)=1,2025,0),IF(INDEX(clean_historis!$CK:$CK,$BC159)=1,2024,0),IF(INDEX(clean_historis!$CJ:$CJ,$BC159)=1,2023,0),IF(INDEX(clean_historis!$CI:$CI,$BC159)=1,2022,0),IF(INDEX(clean_historis!$CH:$CH,$BC159)=1,2021,0))</f>
        <v>0</v>
      </c>
      <c r="BH159">
        <f t="shared" si="42"/>
        <v>0.83333333126372766</v>
      </c>
      <c r="BI159">
        <f t="shared" si="43"/>
        <v>621.66666512274082</v>
      </c>
      <c r="BJ159">
        <f t="shared" si="44"/>
        <v>0</v>
      </c>
      <c r="BK159">
        <f t="shared" si="45"/>
        <v>97.372500000000002</v>
      </c>
      <c r="BL159">
        <f t="shared" si="46"/>
        <v>0</v>
      </c>
      <c r="BM159">
        <f t="shared" si="47"/>
        <v>0</v>
      </c>
      <c r="BN159">
        <v>0</v>
      </c>
      <c r="BO159">
        <f t="shared" si="50"/>
        <v>0</v>
      </c>
      <c r="BP159">
        <f t="shared" si="48"/>
        <v>0</v>
      </c>
      <c r="BQ159">
        <f t="shared" si="49"/>
        <v>1</v>
      </c>
    </row>
    <row r="160" spans="1:69" x14ac:dyDescent="0.25">
      <c r="A160">
        <v>159</v>
      </c>
      <c r="B160" t="s">
        <v>730</v>
      </c>
      <c r="C160" t="s">
        <v>731</v>
      </c>
      <c r="D160" t="s">
        <v>732</v>
      </c>
      <c r="E160" t="s">
        <v>733</v>
      </c>
      <c r="F160" t="s">
        <v>310</v>
      </c>
      <c r="G160">
        <v>3</v>
      </c>
      <c r="H160">
        <v>1</v>
      </c>
      <c r="I160">
        <v>826</v>
      </c>
      <c r="J160">
        <v>0</v>
      </c>
      <c r="K160">
        <v>1</v>
      </c>
      <c r="L160">
        <v>32644</v>
      </c>
      <c r="M160">
        <v>5566</v>
      </c>
      <c r="N160">
        <v>34854.400000000001</v>
      </c>
      <c r="O160">
        <v>5215.3999999999996</v>
      </c>
      <c r="P160">
        <v>34756.800000000003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9.4600000000000009</v>
      </c>
      <c r="W160">
        <v>0</v>
      </c>
      <c r="X160">
        <v>0</v>
      </c>
      <c r="Y160">
        <v>5</v>
      </c>
      <c r="Z160">
        <v>0</v>
      </c>
      <c r="AA160">
        <v>3</v>
      </c>
      <c r="AB160">
        <v>0.30000001192092901</v>
      </c>
      <c r="AC160">
        <v>0.5</v>
      </c>
      <c r="AD160">
        <v>1.200000047683716</v>
      </c>
      <c r="AE160">
        <v>3.300000011920929</v>
      </c>
      <c r="AF160">
        <v>1.700000047683716</v>
      </c>
      <c r="AG160">
        <v>0.6599999945163727</v>
      </c>
      <c r="AH160">
        <v>0.34000000548362719</v>
      </c>
      <c r="AI160">
        <v>150</v>
      </c>
      <c r="AJ160">
        <v>3</v>
      </c>
      <c r="AK160">
        <v>0.30000001192092901</v>
      </c>
      <c r="AL160">
        <v>0.5</v>
      </c>
      <c r="AM160">
        <v>1.200000047683716</v>
      </c>
      <c r="AN160">
        <v>1</v>
      </c>
      <c r="AO160">
        <v>2</v>
      </c>
      <c r="AP160">
        <v>2025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f t="shared" si="34"/>
        <v>1.0570824524312739E-2</v>
      </c>
      <c r="AW160">
        <f t="shared" si="35"/>
        <v>-0.37632134802497696</v>
      </c>
      <c r="AX160">
        <f t="shared" si="36"/>
        <v>104.77801684849359</v>
      </c>
      <c r="AY160">
        <f t="shared" si="37"/>
        <v>0</v>
      </c>
      <c r="AZ160">
        <f t="shared" si="38"/>
        <v>1.200000047683716</v>
      </c>
      <c r="BA160">
        <f t="shared" si="39"/>
        <v>0</v>
      </c>
      <c r="BB160">
        <f t="shared" si="40"/>
        <v>0.6599999945163727</v>
      </c>
      <c r="BC160">
        <f>MATCH($B160,clean_historis!$B:$B,0)</f>
        <v>160</v>
      </c>
      <c r="BD160">
        <f>IFERROR(INDEX(clean_historis!$AF:$AF,$BC160)/INDEX(clean_historis!$V:$V,$BC160),0)</f>
        <v>0.49260042283298094</v>
      </c>
      <c r="BE160">
        <f>IFERROR(INDEX(clean_historis!$AR:$AR,$BC160)/INDEX(clean_historis!$AH:$AH,$BC160),0)</f>
        <v>0.50317124735729368</v>
      </c>
      <c r="BF160">
        <f t="shared" si="41"/>
        <v>0.12684989933231669</v>
      </c>
      <c r="BG160">
        <f>MAX(IF(INDEX(clean_historis!$CL:$CL,$BC160)=1,2025,0),IF(INDEX(clean_historis!$CK:$CK,$BC160)=1,2024,0),IF(INDEX(clean_historis!$CJ:$CJ,$BC160)=1,2023,0),IF(INDEX(clean_historis!$CI:$CI,$BC160)=1,2022,0),IF(INDEX(clean_historis!$CH:$CH,$BC160)=1,2021,0))</f>
        <v>2025</v>
      </c>
      <c r="BH160">
        <f t="shared" si="42"/>
        <v>0.3400000054836273</v>
      </c>
      <c r="BI160">
        <f t="shared" si="43"/>
        <v>280.84000452947618</v>
      </c>
      <c r="BJ160">
        <f t="shared" si="44"/>
        <v>0</v>
      </c>
      <c r="BK160">
        <f t="shared" si="45"/>
        <v>107.8212</v>
      </c>
      <c r="BL160">
        <f t="shared" si="46"/>
        <v>0</v>
      </c>
      <c r="BM160">
        <f t="shared" si="47"/>
        <v>0</v>
      </c>
      <c r="BN160">
        <v>0</v>
      </c>
      <c r="BO160">
        <f t="shared" si="50"/>
        <v>0</v>
      </c>
      <c r="BP160">
        <f t="shared" si="48"/>
        <v>1</v>
      </c>
      <c r="BQ160">
        <f t="shared" si="49"/>
        <v>0</v>
      </c>
    </row>
    <row r="161" spans="1:69" x14ac:dyDescent="0.25">
      <c r="A161">
        <v>160</v>
      </c>
      <c r="B161" t="s">
        <v>734</v>
      </c>
      <c r="C161" t="s">
        <v>735</v>
      </c>
      <c r="D161" t="s">
        <v>736</v>
      </c>
      <c r="E161" t="s">
        <v>737</v>
      </c>
      <c r="F161" t="s">
        <v>132</v>
      </c>
      <c r="G161">
        <v>3</v>
      </c>
      <c r="H161">
        <v>1</v>
      </c>
      <c r="I161">
        <v>1073</v>
      </c>
      <c r="J161">
        <v>0</v>
      </c>
      <c r="K161">
        <v>0</v>
      </c>
      <c r="L161">
        <v>3842.4</v>
      </c>
      <c r="M161">
        <v>3621.9</v>
      </c>
      <c r="N161">
        <v>13601.6</v>
      </c>
      <c r="O161">
        <v>722.9</v>
      </c>
      <c r="P161">
        <v>11738.7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2.86</v>
      </c>
      <c r="W161">
        <v>0</v>
      </c>
      <c r="X161">
        <v>0</v>
      </c>
      <c r="Y161">
        <v>2.8599998950958252</v>
      </c>
      <c r="Z161">
        <v>0</v>
      </c>
      <c r="AA161">
        <v>0</v>
      </c>
      <c r="AB161">
        <v>2.5999999046325679</v>
      </c>
      <c r="AC161">
        <v>0.25999999046325678</v>
      </c>
      <c r="AD161">
        <v>0</v>
      </c>
      <c r="AE161">
        <v>2.5999999046325679</v>
      </c>
      <c r="AF161">
        <v>0.25999999046325678</v>
      </c>
      <c r="AG161">
        <v>0.90909090909090906</v>
      </c>
      <c r="AH161">
        <v>9.0909090909090912E-2</v>
      </c>
      <c r="AI161">
        <v>150</v>
      </c>
      <c r="AJ161">
        <v>0</v>
      </c>
      <c r="AK161">
        <v>2.5999999046325679</v>
      </c>
      <c r="AL161">
        <v>0.25999999046325678</v>
      </c>
      <c r="AM161">
        <v>0</v>
      </c>
      <c r="AN161">
        <v>0</v>
      </c>
      <c r="AO161">
        <v>0</v>
      </c>
      <c r="AR161">
        <v>0</v>
      </c>
      <c r="AS161">
        <v>0</v>
      </c>
      <c r="AT161">
        <v>0</v>
      </c>
      <c r="AU161">
        <v>0</v>
      </c>
      <c r="AV161">
        <f t="shared" si="34"/>
        <v>0</v>
      </c>
      <c r="AW161">
        <f t="shared" si="35"/>
        <v>0</v>
      </c>
      <c r="AX161">
        <f t="shared" si="36"/>
        <v>0</v>
      </c>
      <c r="AY161">
        <f t="shared" si="37"/>
        <v>0</v>
      </c>
      <c r="AZ161">
        <f t="shared" si="38"/>
        <v>0</v>
      </c>
      <c r="BA161" t="str">
        <f t="shared" si="39"/>
        <v/>
      </c>
      <c r="BB161">
        <f t="shared" si="40"/>
        <v>0.90909090909090906</v>
      </c>
      <c r="BC161">
        <f>MATCH($B161,clean_historis!$B:$B,0)</f>
        <v>161</v>
      </c>
      <c r="BD161">
        <f>IFERROR(INDEX(clean_historis!$AF:$AF,$BC161)/INDEX(clean_historis!$V:$V,$BC161),0)</f>
        <v>0</v>
      </c>
      <c r="BE161">
        <f>IFERROR(INDEX(clean_historis!$AR:$AR,$BC161)/INDEX(clean_historis!$AH:$AH,$BC161),0)</f>
        <v>0</v>
      </c>
      <c r="BF161">
        <f t="shared" si="41"/>
        <v>0</v>
      </c>
      <c r="BG161">
        <f>MAX(IF(INDEX(clean_historis!$CL:$CL,$BC161)=1,2025,0),IF(INDEX(clean_historis!$CK:$CK,$BC161)=1,2024,0),IF(INDEX(clean_historis!$CJ:$CJ,$BC161)=1,2023,0),IF(INDEX(clean_historis!$CI:$CI,$BC161)=1,2022,0),IF(INDEX(clean_historis!$CH:$CH,$BC161)=1,2021,0))</f>
        <v>0</v>
      </c>
      <c r="BH161">
        <f t="shared" si="42"/>
        <v>9.0909090909090939E-2</v>
      </c>
      <c r="BI161">
        <f t="shared" si="43"/>
        <v>97.545454545454575</v>
      </c>
      <c r="BJ161">
        <f t="shared" si="44"/>
        <v>0</v>
      </c>
      <c r="BK161">
        <f t="shared" si="45"/>
        <v>32.804600000000001</v>
      </c>
      <c r="BL161">
        <f t="shared" si="46"/>
        <v>0</v>
      </c>
      <c r="BM161">
        <f t="shared" si="47"/>
        <v>0</v>
      </c>
      <c r="BN161">
        <v>0</v>
      </c>
      <c r="BO161">
        <f t="shared" si="50"/>
        <v>0</v>
      </c>
      <c r="BP161">
        <f t="shared" si="48"/>
        <v>0</v>
      </c>
      <c r="BQ161">
        <f t="shared" si="49"/>
        <v>0</v>
      </c>
    </row>
    <row r="162" spans="1:69" x14ac:dyDescent="0.25">
      <c r="A162">
        <v>161</v>
      </c>
      <c r="B162" t="s">
        <v>738</v>
      </c>
      <c r="C162" t="s">
        <v>739</v>
      </c>
      <c r="D162" t="s">
        <v>740</v>
      </c>
      <c r="E162" t="s">
        <v>741</v>
      </c>
      <c r="F162" t="s">
        <v>127</v>
      </c>
      <c r="G162">
        <v>2</v>
      </c>
      <c r="H162">
        <v>1</v>
      </c>
      <c r="I162">
        <v>1167</v>
      </c>
      <c r="J162">
        <v>0</v>
      </c>
      <c r="K162">
        <v>1</v>
      </c>
      <c r="L162">
        <v>6152.3</v>
      </c>
      <c r="M162">
        <v>6491.7</v>
      </c>
      <c r="N162">
        <v>10897</v>
      </c>
      <c r="O162">
        <v>231.7</v>
      </c>
      <c r="P162">
        <v>9295.7000000000007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5.82</v>
      </c>
      <c r="W162">
        <v>0</v>
      </c>
      <c r="X162">
        <v>0</v>
      </c>
      <c r="Y162">
        <v>5.820000171661377</v>
      </c>
      <c r="Z162">
        <v>0</v>
      </c>
      <c r="AA162">
        <v>0</v>
      </c>
      <c r="AB162">
        <v>2.9200000762939449</v>
      </c>
      <c r="AC162">
        <v>1.799999952316284</v>
      </c>
      <c r="AD162">
        <v>1.1000000238418579</v>
      </c>
      <c r="AE162">
        <v>2.9200000762939449</v>
      </c>
      <c r="AF162">
        <v>2.8999999761581421</v>
      </c>
      <c r="AG162">
        <v>0.50171822164566615</v>
      </c>
      <c r="AH162">
        <v>0.49828177835433379</v>
      </c>
      <c r="AI162">
        <v>150</v>
      </c>
      <c r="AJ162">
        <v>0</v>
      </c>
      <c r="AK162">
        <v>2.9200000762939449</v>
      </c>
      <c r="AL162">
        <v>1.799999952316284</v>
      </c>
      <c r="AM162">
        <v>1.1000000238418579</v>
      </c>
      <c r="AN162">
        <v>1</v>
      </c>
      <c r="AO162">
        <v>2</v>
      </c>
      <c r="AP162">
        <v>2025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f t="shared" si="34"/>
        <v>-8.5910652920962213E-2</v>
      </c>
      <c r="AW162">
        <f t="shared" si="35"/>
        <v>0.13745704877007869</v>
      </c>
      <c r="AX162">
        <f t="shared" si="36"/>
        <v>220.56701508993956</v>
      </c>
      <c r="AY162">
        <f t="shared" si="37"/>
        <v>0</v>
      </c>
      <c r="AZ162">
        <f t="shared" si="38"/>
        <v>1.1000000238418579</v>
      </c>
      <c r="BA162" t="str">
        <f t="shared" si="39"/>
        <v/>
      </c>
      <c r="BB162">
        <f t="shared" si="40"/>
        <v>0.50171822164566615</v>
      </c>
      <c r="BC162">
        <f>MATCH($B162,clean_historis!$B:$B,0)</f>
        <v>162</v>
      </c>
      <c r="BD162">
        <f>IFERROR(INDEX(clean_historis!$AF:$AF,$BC162)/INDEX(clean_historis!$V:$V,$BC162),0)</f>
        <v>0.13745704467353953</v>
      </c>
      <c r="BE162">
        <f>IFERROR(INDEX(clean_historis!$AR:$AR,$BC162)/INDEX(clean_historis!$AH:$AH,$BC162),0)</f>
        <v>5.1546391752577317E-2</v>
      </c>
      <c r="BF162">
        <f t="shared" si="41"/>
        <v>0.189003440522656</v>
      </c>
      <c r="BG162">
        <f>MAX(IF(INDEX(clean_historis!$CL:$CL,$BC162)=1,2025,0),IF(INDEX(clean_historis!$CK:$CK,$BC162)=1,2024,0),IF(INDEX(clean_historis!$CJ:$CJ,$BC162)=1,2023,0),IF(INDEX(clean_historis!$CI:$CI,$BC162)=1,2022,0),IF(INDEX(clean_historis!$CH:$CH,$BC162)=1,2021,0))</f>
        <v>0</v>
      </c>
      <c r="BH162">
        <f t="shared" si="42"/>
        <v>0.49828177835433385</v>
      </c>
      <c r="BI162">
        <f t="shared" si="43"/>
        <v>581.49483533950763</v>
      </c>
      <c r="BJ162">
        <f t="shared" si="44"/>
        <v>0</v>
      </c>
      <c r="BK162">
        <f t="shared" si="45"/>
        <v>32.8367</v>
      </c>
      <c r="BL162">
        <f t="shared" si="46"/>
        <v>0</v>
      </c>
      <c r="BM162">
        <f t="shared" si="47"/>
        <v>0</v>
      </c>
      <c r="BN162">
        <v>0</v>
      </c>
      <c r="BO162">
        <f t="shared" si="50"/>
        <v>0</v>
      </c>
      <c r="BP162">
        <f t="shared" si="48"/>
        <v>1</v>
      </c>
      <c r="BQ162">
        <f t="shared" si="49"/>
        <v>0</v>
      </c>
    </row>
    <row r="163" spans="1:69" x14ac:dyDescent="0.25">
      <c r="A163">
        <v>162</v>
      </c>
      <c r="B163" t="s">
        <v>742</v>
      </c>
      <c r="C163" t="s">
        <v>743</v>
      </c>
      <c r="D163" t="s">
        <v>744</v>
      </c>
      <c r="E163" t="s">
        <v>745</v>
      </c>
      <c r="F163" t="s">
        <v>105</v>
      </c>
      <c r="G163">
        <v>2</v>
      </c>
      <c r="H163">
        <v>1</v>
      </c>
      <c r="I163">
        <v>1333</v>
      </c>
      <c r="J163">
        <v>0</v>
      </c>
      <c r="K163">
        <v>0</v>
      </c>
      <c r="L163">
        <v>5072.3</v>
      </c>
      <c r="M163">
        <v>2739.5</v>
      </c>
      <c r="N163">
        <v>6781.3</v>
      </c>
      <c r="O163">
        <v>1099.5</v>
      </c>
      <c r="P163">
        <v>6945.9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0.69</v>
      </c>
      <c r="W163">
        <v>0</v>
      </c>
      <c r="X163">
        <v>0</v>
      </c>
      <c r="Y163">
        <v>0.68999999761581421</v>
      </c>
      <c r="Z163">
        <v>0</v>
      </c>
      <c r="AA163">
        <v>0.68999999761581421</v>
      </c>
      <c r="AB163">
        <v>0</v>
      </c>
      <c r="AC163">
        <v>0</v>
      </c>
      <c r="AD163">
        <v>0</v>
      </c>
      <c r="AE163">
        <v>0.68999999761581421</v>
      </c>
      <c r="AF163">
        <v>0</v>
      </c>
      <c r="AG163">
        <v>1</v>
      </c>
      <c r="AH163">
        <v>0</v>
      </c>
      <c r="AI163">
        <v>150</v>
      </c>
      <c r="AJ163">
        <v>0.68999999761581421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2024</v>
      </c>
      <c r="AQ163">
        <v>2</v>
      </c>
      <c r="AR163">
        <v>0</v>
      </c>
      <c r="AS163">
        <v>0</v>
      </c>
      <c r="AT163">
        <v>0</v>
      </c>
      <c r="AU163">
        <v>0</v>
      </c>
      <c r="AV163">
        <f t="shared" si="34"/>
        <v>-1</v>
      </c>
      <c r="AW163">
        <f t="shared" si="35"/>
        <v>0</v>
      </c>
      <c r="AX163">
        <f t="shared" si="36"/>
        <v>0</v>
      </c>
      <c r="AY163">
        <f t="shared" si="37"/>
        <v>0</v>
      </c>
      <c r="AZ163">
        <f t="shared" si="38"/>
        <v>0</v>
      </c>
      <c r="BA163">
        <f t="shared" si="39"/>
        <v>1</v>
      </c>
      <c r="BB163">
        <f t="shared" si="40"/>
        <v>1</v>
      </c>
      <c r="BC163">
        <f>MATCH($B163,clean_historis!$B:$B,0)</f>
        <v>163</v>
      </c>
      <c r="BD163">
        <f>IFERROR(INDEX(clean_historis!$AF:$AF,$BC163)/INDEX(clean_historis!$V:$V,$BC163),0)</f>
        <v>1</v>
      </c>
      <c r="BE163">
        <f>IFERROR(INDEX(clean_historis!$AR:$AR,$BC163)/INDEX(clean_historis!$AH:$AH,$BC163),0)</f>
        <v>0</v>
      </c>
      <c r="BF163">
        <f t="shared" si="41"/>
        <v>0</v>
      </c>
      <c r="BG163">
        <f>MAX(IF(INDEX(clean_historis!$CL:$CL,$BC163)=1,2025,0),IF(INDEX(clean_historis!$CK:$CK,$BC163)=1,2024,0),IF(INDEX(clean_historis!$CJ:$CJ,$BC163)=1,2023,0),IF(INDEX(clean_historis!$CI:$CI,$BC163)=1,2022,0),IF(INDEX(clean_historis!$CH:$CH,$BC163)=1,2021,0))</f>
        <v>2024</v>
      </c>
      <c r="BH163">
        <f t="shared" si="42"/>
        <v>0</v>
      </c>
      <c r="BI163">
        <f t="shared" si="43"/>
        <v>0</v>
      </c>
      <c r="BJ163">
        <f t="shared" si="44"/>
        <v>0</v>
      </c>
      <c r="BK163">
        <f t="shared" si="45"/>
        <v>21.539000000000001</v>
      </c>
      <c r="BL163">
        <f t="shared" si="46"/>
        <v>0</v>
      </c>
      <c r="BM163">
        <f t="shared" si="47"/>
        <v>0</v>
      </c>
      <c r="BN163">
        <v>0</v>
      </c>
      <c r="BO163">
        <f t="shared" si="50"/>
        <v>1</v>
      </c>
      <c r="BP163">
        <f t="shared" si="48"/>
        <v>1</v>
      </c>
      <c r="BQ163">
        <f t="shared" si="49"/>
        <v>1</v>
      </c>
    </row>
    <row r="164" spans="1:69" x14ac:dyDescent="0.25">
      <c r="A164">
        <v>163</v>
      </c>
      <c r="B164" t="s">
        <v>746</v>
      </c>
      <c r="C164" t="s">
        <v>747</v>
      </c>
      <c r="D164" t="s">
        <v>748</v>
      </c>
      <c r="E164" t="s">
        <v>749</v>
      </c>
      <c r="F164" t="s">
        <v>176</v>
      </c>
      <c r="G164">
        <v>2</v>
      </c>
      <c r="H164">
        <v>1</v>
      </c>
      <c r="I164">
        <v>699</v>
      </c>
      <c r="J164">
        <v>0</v>
      </c>
      <c r="K164">
        <v>1</v>
      </c>
      <c r="L164">
        <v>4079.9</v>
      </c>
      <c r="M164">
        <v>4049.2</v>
      </c>
      <c r="N164">
        <v>9016.5</v>
      </c>
      <c r="O164">
        <v>1953.1</v>
      </c>
      <c r="P164">
        <v>10688.3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4.0999999999999996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150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R164">
        <v>0</v>
      </c>
      <c r="AS164">
        <v>0</v>
      </c>
      <c r="AT164">
        <v>0</v>
      </c>
      <c r="AU164">
        <v>0</v>
      </c>
      <c r="AV164">
        <f t="shared" si="34"/>
        <v>4.4408920985006262E-16</v>
      </c>
      <c r="AW164">
        <f t="shared" si="35"/>
        <v>-1.0000000000000004</v>
      </c>
      <c r="AX164">
        <f t="shared" si="36"/>
        <v>0</v>
      </c>
      <c r="AY164">
        <f t="shared" si="37"/>
        <v>0</v>
      </c>
      <c r="AZ164">
        <f t="shared" si="38"/>
        <v>0</v>
      </c>
      <c r="BA164" t="str">
        <f t="shared" si="39"/>
        <v/>
      </c>
      <c r="BB164">
        <f t="shared" si="40"/>
        <v>0</v>
      </c>
      <c r="BC164">
        <f>MATCH($B164,clean_historis!$B:$B,0)</f>
        <v>164</v>
      </c>
      <c r="BD164">
        <f>IFERROR(INDEX(clean_historis!$AF:$AF,$BC164)/INDEX(clean_historis!$V:$V,$BC164),0)</f>
        <v>1</v>
      </c>
      <c r="BE164">
        <f>IFERROR(INDEX(clean_historis!$AR:$AR,$BC164)/INDEX(clean_historis!$AH:$AH,$BC164),0)</f>
        <v>1.0000000000000004</v>
      </c>
      <c r="BF164">
        <f t="shared" si="41"/>
        <v>0</v>
      </c>
      <c r="BG164">
        <f>MAX(IF(INDEX(clean_historis!$CL:$CL,$BC164)=1,2025,0),IF(INDEX(clean_historis!$CK:$CK,$BC164)=1,2024,0),IF(INDEX(clean_historis!$CJ:$CJ,$BC164)=1,2023,0),IF(INDEX(clean_historis!$CI:$CI,$BC164)=1,2022,0),IF(INDEX(clean_historis!$CH:$CH,$BC164)=1,2021,0))</f>
        <v>0</v>
      </c>
      <c r="BH164">
        <f t="shared" si="42"/>
        <v>1</v>
      </c>
      <c r="BI164">
        <f t="shared" si="43"/>
        <v>699</v>
      </c>
      <c r="BJ164">
        <f t="shared" si="44"/>
        <v>0</v>
      </c>
      <c r="BK164">
        <f t="shared" si="45"/>
        <v>27.833899999999996</v>
      </c>
      <c r="BL164">
        <f t="shared" si="46"/>
        <v>0</v>
      </c>
      <c r="BM164">
        <f t="shared" si="47"/>
        <v>0</v>
      </c>
      <c r="BN164">
        <v>0</v>
      </c>
      <c r="BO164">
        <f t="shared" si="50"/>
        <v>0</v>
      </c>
      <c r="BP164">
        <f t="shared" si="48"/>
        <v>0</v>
      </c>
      <c r="BQ164">
        <f t="shared" si="49"/>
        <v>1</v>
      </c>
    </row>
    <row r="165" spans="1:69" x14ac:dyDescent="0.25">
      <c r="A165">
        <v>164</v>
      </c>
      <c r="B165" t="s">
        <v>750</v>
      </c>
      <c r="C165" t="s">
        <v>751</v>
      </c>
      <c r="D165" t="s">
        <v>752</v>
      </c>
      <c r="E165" t="s">
        <v>753</v>
      </c>
      <c r="F165" t="s">
        <v>176</v>
      </c>
      <c r="G165">
        <v>3</v>
      </c>
      <c r="H165">
        <v>1</v>
      </c>
      <c r="I165">
        <v>918</v>
      </c>
      <c r="J165">
        <v>0</v>
      </c>
      <c r="K165">
        <v>0</v>
      </c>
      <c r="L165">
        <v>3496.7</v>
      </c>
      <c r="M165">
        <v>2643.3</v>
      </c>
      <c r="N165">
        <v>9580.6</v>
      </c>
      <c r="O165">
        <v>1024</v>
      </c>
      <c r="P165">
        <v>10979.2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1.28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150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2024</v>
      </c>
      <c r="AQ165">
        <v>2</v>
      </c>
      <c r="AR165">
        <v>0</v>
      </c>
      <c r="AS165">
        <v>0</v>
      </c>
      <c r="AT165">
        <v>0</v>
      </c>
      <c r="AU165">
        <v>1</v>
      </c>
      <c r="AV165">
        <f t="shared" si="34"/>
        <v>0</v>
      </c>
      <c r="AW165">
        <f t="shared" si="35"/>
        <v>-1</v>
      </c>
      <c r="AX165">
        <f t="shared" si="36"/>
        <v>0</v>
      </c>
      <c r="AY165">
        <f t="shared" si="37"/>
        <v>0</v>
      </c>
      <c r="AZ165">
        <f t="shared" si="38"/>
        <v>0</v>
      </c>
      <c r="BA165">
        <f t="shared" si="39"/>
        <v>1</v>
      </c>
      <c r="BB165">
        <f t="shared" si="40"/>
        <v>0</v>
      </c>
      <c r="BC165">
        <f>MATCH($B165,clean_historis!$B:$B,0)</f>
        <v>165</v>
      </c>
      <c r="BD165">
        <f>IFERROR(INDEX(clean_historis!$AF:$AF,$BC165)/INDEX(clean_historis!$V:$V,$BC165),0)</f>
        <v>1</v>
      </c>
      <c r="BE165">
        <f>IFERROR(INDEX(clean_historis!$AR:$AR,$BC165)/INDEX(clean_historis!$AH:$AH,$BC165),0)</f>
        <v>1</v>
      </c>
      <c r="BF165">
        <f t="shared" si="41"/>
        <v>0</v>
      </c>
      <c r="BG165">
        <f>MAX(IF(INDEX(clean_historis!$CL:$CL,$BC165)=1,2025,0),IF(INDEX(clean_historis!$CK:$CK,$BC165)=1,2024,0),IF(INDEX(clean_historis!$CJ:$CJ,$BC165)=1,2023,0),IF(INDEX(clean_historis!$CI:$CI,$BC165)=1,2022,0),IF(INDEX(clean_historis!$CH:$CH,$BC165)=1,2021,0))</f>
        <v>2024</v>
      </c>
      <c r="BH165">
        <f t="shared" si="42"/>
        <v>1</v>
      </c>
      <c r="BI165">
        <f t="shared" si="43"/>
        <v>918</v>
      </c>
      <c r="BJ165">
        <f t="shared" si="44"/>
        <v>0</v>
      </c>
      <c r="BK165">
        <f t="shared" si="45"/>
        <v>26.6998</v>
      </c>
      <c r="BL165">
        <f t="shared" si="46"/>
        <v>0</v>
      </c>
      <c r="BM165">
        <f t="shared" si="47"/>
        <v>0</v>
      </c>
      <c r="BN165">
        <v>0</v>
      </c>
      <c r="BO165">
        <f t="shared" si="50"/>
        <v>0</v>
      </c>
      <c r="BP165">
        <f t="shared" si="48"/>
        <v>1</v>
      </c>
      <c r="BQ165">
        <f t="shared" si="49"/>
        <v>1</v>
      </c>
    </row>
    <row r="166" spans="1:69" x14ac:dyDescent="0.25">
      <c r="A166">
        <v>165</v>
      </c>
      <c r="B166" t="s">
        <v>754</v>
      </c>
      <c r="C166" t="s">
        <v>755</v>
      </c>
      <c r="D166" t="s">
        <v>756</v>
      </c>
      <c r="E166" t="s">
        <v>582</v>
      </c>
      <c r="F166" t="s">
        <v>176</v>
      </c>
      <c r="G166">
        <v>1</v>
      </c>
      <c r="H166">
        <v>1</v>
      </c>
      <c r="I166">
        <v>393</v>
      </c>
      <c r="J166">
        <v>0</v>
      </c>
      <c r="K166">
        <v>1</v>
      </c>
      <c r="L166">
        <v>4487.8999999999996</v>
      </c>
      <c r="M166">
        <v>1607.4</v>
      </c>
      <c r="N166">
        <v>3210.8</v>
      </c>
      <c r="O166">
        <v>580.70000000000005</v>
      </c>
      <c r="P166">
        <v>4882.7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0.7</v>
      </c>
      <c r="W166">
        <v>0</v>
      </c>
      <c r="X166">
        <v>0</v>
      </c>
      <c r="Y166">
        <v>0.69999998807907104</v>
      </c>
      <c r="Z166">
        <v>0</v>
      </c>
      <c r="AA166">
        <v>0</v>
      </c>
      <c r="AB166">
        <v>0.69999998807907104</v>
      </c>
      <c r="AC166">
        <v>0</v>
      </c>
      <c r="AD166">
        <v>0</v>
      </c>
      <c r="AE166">
        <v>0.69999998807907104</v>
      </c>
      <c r="AF166">
        <v>0</v>
      </c>
      <c r="AG166">
        <v>1</v>
      </c>
      <c r="AH166">
        <v>0</v>
      </c>
      <c r="AI166">
        <v>150</v>
      </c>
      <c r="AJ166">
        <v>0</v>
      </c>
      <c r="AK166">
        <v>0.69999998807907104</v>
      </c>
      <c r="AL166">
        <v>0</v>
      </c>
      <c r="AM166">
        <v>0</v>
      </c>
      <c r="AN166">
        <v>1</v>
      </c>
      <c r="AO166">
        <v>1</v>
      </c>
      <c r="AP166">
        <v>2023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f t="shared" si="34"/>
        <v>0</v>
      </c>
      <c r="AW166">
        <f t="shared" si="35"/>
        <v>0</v>
      </c>
      <c r="AX166">
        <f t="shared" si="36"/>
        <v>0</v>
      </c>
      <c r="AY166">
        <f t="shared" si="37"/>
        <v>0</v>
      </c>
      <c r="AZ166">
        <f t="shared" si="38"/>
        <v>0</v>
      </c>
      <c r="BA166" t="str">
        <f t="shared" si="39"/>
        <v/>
      </c>
      <c r="BB166">
        <f t="shared" si="40"/>
        <v>1</v>
      </c>
      <c r="BC166">
        <f>MATCH($B166,clean_historis!$B:$B,0)</f>
        <v>166</v>
      </c>
      <c r="BD166">
        <f>IFERROR(INDEX(clean_historis!$AF:$AF,$BC166)/INDEX(clean_historis!$V:$V,$BC166),0)</f>
        <v>0</v>
      </c>
      <c r="BE166">
        <f>IFERROR(INDEX(clean_historis!$AR:$AR,$BC166)/INDEX(clean_historis!$AH:$AH,$BC166),0)</f>
        <v>0</v>
      </c>
      <c r="BF166">
        <f t="shared" si="41"/>
        <v>0</v>
      </c>
      <c r="BG166">
        <f>MAX(IF(INDEX(clean_historis!$CL:$CL,$BC166)=1,2025,0),IF(INDEX(clean_historis!$CK:$CK,$BC166)=1,2024,0),IF(INDEX(clean_historis!$CJ:$CJ,$BC166)=1,2023,0),IF(INDEX(clean_historis!$CI:$CI,$BC166)=1,2022,0),IF(INDEX(clean_historis!$CH:$CH,$BC166)=1,2021,0))</f>
        <v>0</v>
      </c>
      <c r="BH166">
        <f t="shared" si="42"/>
        <v>0</v>
      </c>
      <c r="BI166">
        <f t="shared" si="43"/>
        <v>0</v>
      </c>
      <c r="BJ166">
        <f t="shared" si="44"/>
        <v>1</v>
      </c>
      <c r="BK166">
        <f t="shared" si="45"/>
        <v>14.188799999999997</v>
      </c>
      <c r="BL166">
        <f t="shared" si="46"/>
        <v>0</v>
      </c>
      <c r="BM166">
        <f t="shared" si="47"/>
        <v>0</v>
      </c>
      <c r="BN166">
        <v>0</v>
      </c>
      <c r="BO166">
        <f t="shared" si="50"/>
        <v>1</v>
      </c>
      <c r="BP166">
        <f t="shared" si="48"/>
        <v>1</v>
      </c>
      <c r="BQ166">
        <f t="shared" si="49"/>
        <v>1</v>
      </c>
    </row>
    <row r="167" spans="1:69" x14ac:dyDescent="0.25">
      <c r="A167">
        <v>166</v>
      </c>
      <c r="B167" t="s">
        <v>757</v>
      </c>
      <c r="C167" t="s">
        <v>758</v>
      </c>
      <c r="D167" t="s">
        <v>759</v>
      </c>
      <c r="E167" t="s">
        <v>257</v>
      </c>
      <c r="F167" t="s">
        <v>176</v>
      </c>
      <c r="G167">
        <v>1</v>
      </c>
      <c r="H167">
        <v>1</v>
      </c>
      <c r="I167">
        <v>668</v>
      </c>
      <c r="J167">
        <v>0</v>
      </c>
      <c r="K167">
        <v>0</v>
      </c>
      <c r="L167">
        <v>4563</v>
      </c>
      <c r="M167">
        <v>3628.5</v>
      </c>
      <c r="N167">
        <v>2936.3</v>
      </c>
      <c r="O167">
        <v>1004.3</v>
      </c>
      <c r="P167">
        <v>4608.1000000000004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0.42</v>
      </c>
      <c r="W167">
        <v>0</v>
      </c>
      <c r="X167">
        <v>0</v>
      </c>
      <c r="Y167">
        <v>0.41999998688697809</v>
      </c>
      <c r="Z167">
        <v>0</v>
      </c>
      <c r="AA167">
        <v>0.41999998688697809</v>
      </c>
      <c r="AB167">
        <v>0</v>
      </c>
      <c r="AC167">
        <v>0</v>
      </c>
      <c r="AD167">
        <v>0</v>
      </c>
      <c r="AE167">
        <v>0.41999998688697809</v>
      </c>
      <c r="AF167">
        <v>0</v>
      </c>
      <c r="AG167">
        <v>1</v>
      </c>
      <c r="AH167">
        <v>0</v>
      </c>
      <c r="AI167">
        <v>150</v>
      </c>
      <c r="AJ167">
        <v>0.41999998688697809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2024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f t="shared" si="34"/>
        <v>-1</v>
      </c>
      <c r="AW167">
        <f t="shared" si="35"/>
        <v>0</v>
      </c>
      <c r="AX167">
        <f t="shared" si="36"/>
        <v>0</v>
      </c>
      <c r="AY167">
        <f t="shared" si="37"/>
        <v>0</v>
      </c>
      <c r="AZ167">
        <f t="shared" si="38"/>
        <v>0</v>
      </c>
      <c r="BA167">
        <f t="shared" si="39"/>
        <v>1</v>
      </c>
      <c r="BB167">
        <f t="shared" si="40"/>
        <v>1</v>
      </c>
      <c r="BC167">
        <f>MATCH($B167,clean_historis!$B:$B,0)</f>
        <v>167</v>
      </c>
      <c r="BD167">
        <f>IFERROR(INDEX(clean_historis!$AF:$AF,$BC167)/INDEX(clean_historis!$V:$V,$BC167),0)</f>
        <v>1</v>
      </c>
      <c r="BE167">
        <f>IFERROR(INDEX(clean_historis!$AR:$AR,$BC167)/INDEX(clean_historis!$AH:$AH,$BC167),0)</f>
        <v>0</v>
      </c>
      <c r="BF167">
        <f t="shared" si="41"/>
        <v>0</v>
      </c>
      <c r="BG167">
        <f>MAX(IF(INDEX(clean_historis!$CL:$CL,$BC167)=1,2025,0),IF(INDEX(clean_historis!$CK:$CK,$BC167)=1,2024,0),IF(INDEX(clean_historis!$CJ:$CJ,$BC167)=1,2023,0),IF(INDEX(clean_historis!$CI:$CI,$BC167)=1,2022,0),IF(INDEX(clean_historis!$CH:$CH,$BC167)=1,2021,0))</f>
        <v>2024</v>
      </c>
      <c r="BH167">
        <f t="shared" si="42"/>
        <v>0</v>
      </c>
      <c r="BI167">
        <f t="shared" si="43"/>
        <v>0</v>
      </c>
      <c r="BJ167">
        <f t="shared" si="44"/>
        <v>1</v>
      </c>
      <c r="BK167">
        <f t="shared" si="45"/>
        <v>15.735900000000001</v>
      </c>
      <c r="BL167">
        <f t="shared" si="46"/>
        <v>0</v>
      </c>
      <c r="BM167">
        <f t="shared" si="47"/>
        <v>0</v>
      </c>
      <c r="BN167">
        <v>0</v>
      </c>
      <c r="BO167">
        <f t="shared" si="50"/>
        <v>1</v>
      </c>
      <c r="BP167">
        <f t="shared" si="48"/>
        <v>1</v>
      </c>
      <c r="BQ167">
        <f t="shared" si="49"/>
        <v>1</v>
      </c>
    </row>
    <row r="168" spans="1:69" x14ac:dyDescent="0.25">
      <c r="A168">
        <v>167</v>
      </c>
      <c r="B168" t="s">
        <v>760</v>
      </c>
      <c r="C168" t="s">
        <v>761</v>
      </c>
      <c r="D168" t="s">
        <v>762</v>
      </c>
      <c r="E168" t="s">
        <v>763</v>
      </c>
      <c r="F168" t="s">
        <v>710</v>
      </c>
      <c r="G168">
        <v>4</v>
      </c>
      <c r="H168">
        <v>2</v>
      </c>
      <c r="I168">
        <v>1371</v>
      </c>
      <c r="J168">
        <v>0</v>
      </c>
      <c r="K168">
        <v>1</v>
      </c>
      <c r="L168">
        <v>17414.7</v>
      </c>
      <c r="M168">
        <v>13372</v>
      </c>
      <c r="N168">
        <v>19625.099999999999</v>
      </c>
      <c r="O168">
        <v>15.7</v>
      </c>
      <c r="P168">
        <v>19527.5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14.22</v>
      </c>
      <c r="W168">
        <v>0</v>
      </c>
      <c r="X168">
        <v>0</v>
      </c>
      <c r="Y168">
        <v>14.22000026702881</v>
      </c>
      <c r="Z168">
        <v>0</v>
      </c>
      <c r="AA168">
        <v>0</v>
      </c>
      <c r="AB168">
        <v>8.119999885559082</v>
      </c>
      <c r="AC168">
        <v>4.5999999046325684</v>
      </c>
      <c r="AD168">
        <v>1.5</v>
      </c>
      <c r="AE168">
        <v>8.119999885559082</v>
      </c>
      <c r="AF168">
        <v>6.0999999046325684</v>
      </c>
      <c r="AG168">
        <v>0.57102672330276061</v>
      </c>
      <c r="AH168">
        <v>0.42897327669723928</v>
      </c>
      <c r="AI168">
        <v>150</v>
      </c>
      <c r="AJ168">
        <v>0</v>
      </c>
      <c r="AK168">
        <v>8.119999885559082</v>
      </c>
      <c r="AL168">
        <v>4.5999999046325684</v>
      </c>
      <c r="AM168">
        <v>1.5</v>
      </c>
      <c r="AN168">
        <v>1</v>
      </c>
      <c r="AO168">
        <v>4</v>
      </c>
      <c r="AP168">
        <v>2025</v>
      </c>
      <c r="AQ168">
        <v>1</v>
      </c>
      <c r="AR168">
        <v>0</v>
      </c>
      <c r="AS168">
        <v>0</v>
      </c>
      <c r="AT168">
        <v>0</v>
      </c>
      <c r="AU168">
        <v>1</v>
      </c>
      <c r="AV168">
        <f t="shared" si="34"/>
        <v>-7.032348804500696E-3</v>
      </c>
      <c r="AW168">
        <f t="shared" si="35"/>
        <v>2.8129395218002798E-2</v>
      </c>
      <c r="AX168">
        <f t="shared" si="36"/>
        <v>144.62025316455694</v>
      </c>
      <c r="AY168">
        <f t="shared" si="37"/>
        <v>0</v>
      </c>
      <c r="AZ168">
        <f t="shared" si="38"/>
        <v>1.5</v>
      </c>
      <c r="BA168" t="str">
        <f t="shared" si="39"/>
        <v/>
      </c>
      <c r="BB168">
        <f t="shared" si="40"/>
        <v>0.57102672330276061</v>
      </c>
      <c r="BC168">
        <f>MATCH($B168,clean_historis!$B:$B,0)</f>
        <v>168</v>
      </c>
      <c r="BD168">
        <f>IFERROR(INDEX(clean_historis!$AF:$AF,$BC168)/INDEX(clean_historis!$V:$V,$BC168),0)</f>
        <v>8.4388185654008435E-2</v>
      </c>
      <c r="BE168">
        <f>IFERROR(INDEX(clean_historis!$AR:$AR,$BC168)/INDEX(clean_historis!$AH:$AH,$BC168),0)</f>
        <v>7.7355836849507739E-2</v>
      </c>
      <c r="BF168">
        <f t="shared" si="41"/>
        <v>0.10548523206751054</v>
      </c>
      <c r="BG168">
        <f>MAX(IF(INDEX(clean_historis!$CL:$CL,$BC168)=1,2025,0),IF(INDEX(clean_historis!$CK:$CK,$BC168)=1,2024,0),IF(INDEX(clean_historis!$CJ:$CJ,$BC168)=1,2023,0),IF(INDEX(clean_historis!$CI:$CI,$BC168)=1,2022,0),IF(INDEX(clean_historis!$CH:$CH,$BC168)=1,2021,0))</f>
        <v>0</v>
      </c>
      <c r="BH168">
        <f t="shared" si="42"/>
        <v>0.42897327669723939</v>
      </c>
      <c r="BI168">
        <f t="shared" si="43"/>
        <v>588.12236235191517</v>
      </c>
      <c r="BJ168">
        <f t="shared" si="44"/>
        <v>0</v>
      </c>
      <c r="BK168">
        <f t="shared" si="45"/>
        <v>69.939299999999989</v>
      </c>
      <c r="BL168">
        <f t="shared" si="46"/>
        <v>0</v>
      </c>
      <c r="BM168">
        <f t="shared" si="47"/>
        <v>0</v>
      </c>
      <c r="BN168">
        <v>1</v>
      </c>
      <c r="BO168">
        <f t="shared" si="50"/>
        <v>0</v>
      </c>
      <c r="BP168">
        <f t="shared" si="48"/>
        <v>1</v>
      </c>
      <c r="BQ168">
        <f t="shared" si="49"/>
        <v>0</v>
      </c>
    </row>
    <row r="169" spans="1:69" x14ac:dyDescent="0.25">
      <c r="A169">
        <v>168</v>
      </c>
      <c r="B169" t="s">
        <v>764</v>
      </c>
      <c r="C169" t="s">
        <v>765</v>
      </c>
      <c r="D169" t="s">
        <v>766</v>
      </c>
      <c r="E169" t="s">
        <v>767</v>
      </c>
      <c r="F169" t="s">
        <v>127</v>
      </c>
      <c r="G169">
        <v>2</v>
      </c>
      <c r="H169">
        <v>1</v>
      </c>
      <c r="I169">
        <v>1137</v>
      </c>
      <c r="J169">
        <v>0</v>
      </c>
      <c r="K169">
        <v>1</v>
      </c>
      <c r="L169">
        <v>10447.4</v>
      </c>
      <c r="M169">
        <v>6404.7</v>
      </c>
      <c r="N169">
        <v>12657.8</v>
      </c>
      <c r="O169">
        <v>712</v>
      </c>
      <c r="P169">
        <v>12560.2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2.35</v>
      </c>
      <c r="W169">
        <v>0</v>
      </c>
      <c r="X169">
        <v>0</v>
      </c>
      <c r="Y169">
        <v>2.3499999046325679</v>
      </c>
      <c r="Z169">
        <v>0</v>
      </c>
      <c r="AA169">
        <v>0.10000000149011611</v>
      </c>
      <c r="AB169">
        <v>1.1499999761581421</v>
      </c>
      <c r="AC169">
        <v>1</v>
      </c>
      <c r="AD169">
        <v>0.10000000149011611</v>
      </c>
      <c r="AE169">
        <v>1.249999977648258</v>
      </c>
      <c r="AF169">
        <v>1.1000000014901159</v>
      </c>
      <c r="AG169">
        <v>0.53191488882760318</v>
      </c>
      <c r="AH169">
        <v>0.46808511117239682</v>
      </c>
      <c r="AI169">
        <v>150</v>
      </c>
      <c r="AJ169">
        <v>0.10000000149011611</v>
      </c>
      <c r="AK169">
        <v>1.1499999761581421</v>
      </c>
      <c r="AL169">
        <v>1</v>
      </c>
      <c r="AM169">
        <v>0.10000000149011611</v>
      </c>
      <c r="AN169">
        <v>1</v>
      </c>
      <c r="AO169">
        <v>3</v>
      </c>
      <c r="AP169">
        <v>2023</v>
      </c>
      <c r="AQ169">
        <v>3</v>
      </c>
      <c r="AR169">
        <v>0</v>
      </c>
      <c r="AS169">
        <v>0</v>
      </c>
      <c r="AT169">
        <v>0</v>
      </c>
      <c r="AU169">
        <v>0</v>
      </c>
      <c r="AV169">
        <f t="shared" si="34"/>
        <v>0</v>
      </c>
      <c r="AW169">
        <f t="shared" si="35"/>
        <v>4.2553192123453661E-2</v>
      </c>
      <c r="AX169">
        <f t="shared" si="36"/>
        <v>48.382979444366811</v>
      </c>
      <c r="AY169">
        <f t="shared" si="37"/>
        <v>0</v>
      </c>
      <c r="AZ169">
        <f t="shared" si="38"/>
        <v>0.10000000149011611</v>
      </c>
      <c r="BA169" t="str">
        <f t="shared" si="39"/>
        <v/>
      </c>
      <c r="BB169">
        <f t="shared" si="40"/>
        <v>0.53191488882760318</v>
      </c>
      <c r="BC169">
        <f>MATCH($B169,clean_historis!$B:$B,0)</f>
        <v>169</v>
      </c>
      <c r="BD169">
        <f>IFERROR(INDEX(clean_historis!$AF:$AF,$BC169)/INDEX(clean_historis!$V:$V,$BC169),0)</f>
        <v>0</v>
      </c>
      <c r="BE169">
        <f>IFERROR(INDEX(clean_historis!$AR:$AR,$BC169)/INDEX(clean_historis!$AH:$AH,$BC169),0)</f>
        <v>0</v>
      </c>
      <c r="BF169">
        <f t="shared" si="41"/>
        <v>4.2553192123453661E-2</v>
      </c>
      <c r="BG169">
        <f>MAX(IF(INDEX(clean_historis!$CL:$CL,$BC169)=1,2025,0),IF(INDEX(clean_historis!$CK:$CK,$BC169)=1,2024,0),IF(INDEX(clean_historis!$CJ:$CJ,$BC169)=1,2023,0),IF(INDEX(clean_historis!$CI:$CI,$BC169)=1,2022,0),IF(INDEX(clean_historis!$CH:$CH,$BC169)=1,2021,0))</f>
        <v>0</v>
      </c>
      <c r="BH169">
        <f t="shared" si="42"/>
        <v>0.46808511117239682</v>
      </c>
      <c r="BI169">
        <f t="shared" si="43"/>
        <v>532.21277140301515</v>
      </c>
      <c r="BJ169">
        <f t="shared" si="44"/>
        <v>0</v>
      </c>
      <c r="BK169">
        <f t="shared" si="45"/>
        <v>42.070099999999989</v>
      </c>
      <c r="BL169">
        <f t="shared" si="46"/>
        <v>0</v>
      </c>
      <c r="BM169">
        <f t="shared" si="47"/>
        <v>0</v>
      </c>
      <c r="BN169">
        <v>0</v>
      </c>
      <c r="BO169">
        <f t="shared" si="50"/>
        <v>0</v>
      </c>
      <c r="BP169">
        <f t="shared" si="48"/>
        <v>1</v>
      </c>
      <c r="BQ169">
        <f t="shared" si="49"/>
        <v>0</v>
      </c>
    </row>
    <row r="170" spans="1:69" x14ac:dyDescent="0.25">
      <c r="A170">
        <v>169</v>
      </c>
      <c r="B170" t="s">
        <v>768</v>
      </c>
      <c r="C170" t="s">
        <v>769</v>
      </c>
      <c r="D170" t="s">
        <v>770</v>
      </c>
      <c r="E170" t="s">
        <v>367</v>
      </c>
      <c r="F170" t="s">
        <v>100</v>
      </c>
      <c r="G170">
        <v>1</v>
      </c>
      <c r="H170">
        <v>1</v>
      </c>
      <c r="I170">
        <v>1142</v>
      </c>
      <c r="J170">
        <v>0</v>
      </c>
      <c r="K170">
        <v>0</v>
      </c>
      <c r="L170">
        <v>1047.5999999999999</v>
      </c>
      <c r="M170">
        <v>523.79999999999995</v>
      </c>
      <c r="N170">
        <v>2745.9</v>
      </c>
      <c r="O170">
        <v>76.8</v>
      </c>
      <c r="P170">
        <v>29136.3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0.23</v>
      </c>
      <c r="W170">
        <v>0</v>
      </c>
      <c r="X170">
        <v>0</v>
      </c>
      <c r="Y170">
        <v>0.23000000417232511</v>
      </c>
      <c r="Z170">
        <v>0</v>
      </c>
      <c r="AA170">
        <v>0</v>
      </c>
      <c r="AB170">
        <v>0.23000000417232511</v>
      </c>
      <c r="AC170">
        <v>0</v>
      </c>
      <c r="AD170">
        <v>0</v>
      </c>
      <c r="AE170">
        <v>0.23000000417232511</v>
      </c>
      <c r="AF170">
        <v>0</v>
      </c>
      <c r="AG170">
        <v>1</v>
      </c>
      <c r="AH170">
        <v>0</v>
      </c>
      <c r="AI170">
        <v>150</v>
      </c>
      <c r="AJ170">
        <v>0</v>
      </c>
      <c r="AK170">
        <v>0.23000000417232511</v>
      </c>
      <c r="AL170">
        <v>0</v>
      </c>
      <c r="AM170">
        <v>0</v>
      </c>
      <c r="AN170">
        <v>1</v>
      </c>
      <c r="AO170">
        <v>1</v>
      </c>
      <c r="AP170">
        <v>2023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f t="shared" si="34"/>
        <v>0</v>
      </c>
      <c r="AW170">
        <f t="shared" si="35"/>
        <v>0</v>
      </c>
      <c r="AX170">
        <f t="shared" si="36"/>
        <v>0</v>
      </c>
      <c r="AY170">
        <f t="shared" si="37"/>
        <v>0</v>
      </c>
      <c r="AZ170">
        <f t="shared" si="38"/>
        <v>0</v>
      </c>
      <c r="BA170">
        <f t="shared" si="39"/>
        <v>2</v>
      </c>
      <c r="BB170">
        <f t="shared" si="40"/>
        <v>1</v>
      </c>
      <c r="BC170">
        <f>MATCH($B170,clean_historis!$B:$B,0)</f>
        <v>170</v>
      </c>
      <c r="BD170">
        <f>IFERROR(INDEX(clean_historis!$AF:$AF,$BC170)/INDEX(clean_historis!$V:$V,$BC170),0)</f>
        <v>0</v>
      </c>
      <c r="BE170">
        <f>IFERROR(INDEX(clean_historis!$AR:$AR,$BC170)/INDEX(clean_historis!$AH:$AH,$BC170),0)</f>
        <v>0</v>
      </c>
      <c r="BF170">
        <f t="shared" si="41"/>
        <v>0</v>
      </c>
      <c r="BG170">
        <f>MAX(IF(INDEX(clean_historis!$CL:$CL,$BC170)=1,2025,0),IF(INDEX(clean_historis!$CK:$CK,$BC170)=1,2024,0),IF(INDEX(clean_historis!$CJ:$CJ,$BC170)=1,2023,0),IF(INDEX(clean_historis!$CI:$CI,$BC170)=1,2022,0),IF(INDEX(clean_historis!$CH:$CH,$BC170)=1,2021,0))</f>
        <v>2023</v>
      </c>
      <c r="BH170">
        <f t="shared" si="42"/>
        <v>0</v>
      </c>
      <c r="BI170">
        <f t="shared" si="43"/>
        <v>0</v>
      </c>
      <c r="BJ170">
        <f t="shared" si="44"/>
        <v>1</v>
      </c>
      <c r="BK170">
        <f t="shared" si="45"/>
        <v>33.453600000000002</v>
      </c>
      <c r="BL170">
        <f t="shared" si="46"/>
        <v>0</v>
      </c>
      <c r="BM170">
        <f t="shared" si="47"/>
        <v>0</v>
      </c>
      <c r="BN170">
        <v>0</v>
      </c>
      <c r="BO170">
        <f t="shared" si="50"/>
        <v>1</v>
      </c>
      <c r="BP170">
        <f t="shared" si="48"/>
        <v>1</v>
      </c>
      <c r="BQ170">
        <f t="shared" si="49"/>
        <v>1</v>
      </c>
    </row>
    <row r="171" spans="1:69" x14ac:dyDescent="0.25">
      <c r="A171">
        <v>170</v>
      </c>
      <c r="B171" t="s">
        <v>771</v>
      </c>
      <c r="C171" t="s">
        <v>772</v>
      </c>
      <c r="D171" t="s">
        <v>773</v>
      </c>
      <c r="E171" t="s">
        <v>448</v>
      </c>
      <c r="F171" t="s">
        <v>315</v>
      </c>
      <c r="G171">
        <v>1</v>
      </c>
      <c r="H171">
        <v>1</v>
      </c>
      <c r="I171">
        <v>706</v>
      </c>
      <c r="J171">
        <v>0</v>
      </c>
      <c r="K171">
        <v>0</v>
      </c>
      <c r="L171">
        <v>1399.3</v>
      </c>
      <c r="M171">
        <v>205.3</v>
      </c>
      <c r="N171">
        <v>2523.1999999999998</v>
      </c>
      <c r="O171">
        <v>248.6</v>
      </c>
      <c r="P171">
        <v>883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0.27</v>
      </c>
      <c r="W171">
        <v>0</v>
      </c>
      <c r="X171">
        <v>0</v>
      </c>
      <c r="Y171">
        <v>0.27000001072883612</v>
      </c>
      <c r="Z171">
        <v>0</v>
      </c>
      <c r="AA171">
        <v>0</v>
      </c>
      <c r="AB171">
        <v>0</v>
      </c>
      <c r="AC171">
        <v>0.27000001072883612</v>
      </c>
      <c r="AD171">
        <v>0</v>
      </c>
      <c r="AE171">
        <v>0</v>
      </c>
      <c r="AF171">
        <v>0.27000001072883612</v>
      </c>
      <c r="AG171">
        <v>0</v>
      </c>
      <c r="AH171">
        <v>1</v>
      </c>
      <c r="AI171">
        <v>150</v>
      </c>
      <c r="AJ171">
        <v>0</v>
      </c>
      <c r="AK171">
        <v>0</v>
      </c>
      <c r="AL171">
        <v>0.27000001072883612</v>
      </c>
      <c r="AM171">
        <v>0</v>
      </c>
      <c r="AN171">
        <v>0</v>
      </c>
      <c r="AO171">
        <v>0</v>
      </c>
      <c r="AR171">
        <v>0</v>
      </c>
      <c r="AS171">
        <v>0</v>
      </c>
      <c r="AT171">
        <v>0</v>
      </c>
      <c r="AU171">
        <v>0</v>
      </c>
      <c r="AV171">
        <f t="shared" si="34"/>
        <v>0</v>
      </c>
      <c r="AW171">
        <f t="shared" si="35"/>
        <v>0</v>
      </c>
      <c r="AX171">
        <f t="shared" si="36"/>
        <v>0</v>
      </c>
      <c r="AY171">
        <f t="shared" si="37"/>
        <v>0</v>
      </c>
      <c r="AZ171">
        <f t="shared" si="38"/>
        <v>0</v>
      </c>
      <c r="BA171" t="str">
        <f t="shared" si="39"/>
        <v/>
      </c>
      <c r="BB171">
        <f t="shared" si="40"/>
        <v>0</v>
      </c>
      <c r="BC171">
        <f>MATCH($B171,clean_historis!$B:$B,0)</f>
        <v>171</v>
      </c>
      <c r="BD171">
        <f>IFERROR(INDEX(clean_historis!$AF:$AF,$BC171)/INDEX(clean_historis!$V:$V,$BC171),0)</f>
        <v>0</v>
      </c>
      <c r="BE171">
        <f>IFERROR(INDEX(clean_historis!$AR:$AR,$BC171)/INDEX(clean_historis!$AH:$AH,$BC171),0)</f>
        <v>0</v>
      </c>
      <c r="BF171">
        <f t="shared" si="41"/>
        <v>0</v>
      </c>
      <c r="BG171">
        <f>MAX(IF(INDEX(clean_historis!$CL:$CL,$BC171)=1,2025,0),IF(INDEX(clean_historis!$CK:$CK,$BC171)=1,2024,0),IF(INDEX(clean_historis!$CJ:$CJ,$BC171)=1,2023,0),IF(INDEX(clean_historis!$CI:$CI,$BC171)=1,2022,0),IF(INDEX(clean_historis!$CH:$CH,$BC171)=1,2021,0))</f>
        <v>0</v>
      </c>
      <c r="BH171">
        <f t="shared" si="42"/>
        <v>1</v>
      </c>
      <c r="BI171">
        <f t="shared" si="43"/>
        <v>706</v>
      </c>
      <c r="BJ171">
        <f t="shared" si="44"/>
        <v>1</v>
      </c>
      <c r="BK171">
        <f t="shared" si="45"/>
        <v>5.0108000000000006</v>
      </c>
      <c r="BL171">
        <f t="shared" si="46"/>
        <v>0</v>
      </c>
      <c r="BM171">
        <f t="shared" si="47"/>
        <v>0</v>
      </c>
      <c r="BN171">
        <v>0</v>
      </c>
      <c r="BO171">
        <f t="shared" si="50"/>
        <v>1</v>
      </c>
      <c r="BP171">
        <f t="shared" si="48"/>
        <v>0</v>
      </c>
      <c r="BQ171">
        <f t="shared" si="49"/>
        <v>1</v>
      </c>
    </row>
    <row r="172" spans="1:69" x14ac:dyDescent="0.25">
      <c r="A172">
        <v>171</v>
      </c>
      <c r="B172" t="s">
        <v>774</v>
      </c>
      <c r="C172" t="s">
        <v>775</v>
      </c>
      <c r="D172" t="s">
        <v>776</v>
      </c>
      <c r="E172" t="s">
        <v>777</v>
      </c>
      <c r="F172" t="s">
        <v>100</v>
      </c>
      <c r="G172">
        <v>3</v>
      </c>
      <c r="H172">
        <v>1</v>
      </c>
      <c r="I172">
        <v>1887</v>
      </c>
      <c r="J172">
        <v>1</v>
      </c>
      <c r="K172">
        <v>0</v>
      </c>
      <c r="L172">
        <v>4729.7</v>
      </c>
      <c r="M172">
        <v>3206.6</v>
      </c>
      <c r="N172">
        <v>6491.3</v>
      </c>
      <c r="O172">
        <v>314.10000000000002</v>
      </c>
      <c r="P172">
        <v>4628.3999999999996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0.40000000596046448</v>
      </c>
      <c r="AC172">
        <v>0.60000002384185791</v>
      </c>
      <c r="AD172">
        <v>0</v>
      </c>
      <c r="AE172">
        <v>0.40000000596046448</v>
      </c>
      <c r="AF172">
        <v>0.60000002384185791</v>
      </c>
      <c r="AG172">
        <v>0.39999999403953568</v>
      </c>
      <c r="AH172">
        <v>0.60000000596046432</v>
      </c>
      <c r="AI172">
        <v>150</v>
      </c>
      <c r="AJ172">
        <v>0</v>
      </c>
      <c r="AK172">
        <v>0.40000000596046448</v>
      </c>
      <c r="AL172">
        <v>0.60000002384185791</v>
      </c>
      <c r="AM172">
        <v>0</v>
      </c>
      <c r="AN172">
        <v>0</v>
      </c>
      <c r="AO172">
        <v>0</v>
      </c>
      <c r="AR172">
        <v>0</v>
      </c>
      <c r="AS172">
        <v>0</v>
      </c>
      <c r="AT172">
        <v>0</v>
      </c>
      <c r="AU172">
        <v>0</v>
      </c>
      <c r="AV172">
        <f t="shared" si="34"/>
        <v>0</v>
      </c>
      <c r="AW172">
        <f t="shared" si="35"/>
        <v>0</v>
      </c>
      <c r="AX172">
        <f t="shared" si="36"/>
        <v>0</v>
      </c>
      <c r="AY172">
        <f t="shared" si="37"/>
        <v>0</v>
      </c>
      <c r="AZ172">
        <f t="shared" si="38"/>
        <v>0</v>
      </c>
      <c r="BA172" t="str">
        <f t="shared" si="39"/>
        <v/>
      </c>
      <c r="BB172">
        <f t="shared" si="40"/>
        <v>0.39999999403953568</v>
      </c>
      <c r="BC172">
        <f>MATCH($B172,clean_historis!$B:$B,0)</f>
        <v>172</v>
      </c>
      <c r="BD172">
        <f>IFERROR(INDEX(clean_historis!$AF:$AF,$BC172)/INDEX(clean_historis!$V:$V,$BC172),0)</f>
        <v>0</v>
      </c>
      <c r="BE172">
        <f>IFERROR(INDEX(clean_historis!$AR:$AR,$BC172)/INDEX(clean_historis!$AH:$AH,$BC172),0)</f>
        <v>0</v>
      </c>
      <c r="BF172">
        <f t="shared" si="41"/>
        <v>0</v>
      </c>
      <c r="BG172">
        <f>MAX(IF(INDEX(clean_historis!$CL:$CL,$BC172)=1,2025,0),IF(INDEX(clean_historis!$CK:$CK,$BC172)=1,2024,0),IF(INDEX(clean_historis!$CJ:$CJ,$BC172)=1,2023,0),IF(INDEX(clean_historis!$CI:$CI,$BC172)=1,2022,0),IF(INDEX(clean_historis!$CH:$CH,$BC172)=1,2021,0))</f>
        <v>0</v>
      </c>
      <c r="BH172">
        <f t="shared" si="42"/>
        <v>0.60000000596046432</v>
      </c>
      <c r="BI172">
        <f t="shared" si="43"/>
        <v>1132.2000112473961</v>
      </c>
      <c r="BJ172">
        <f t="shared" si="44"/>
        <v>1</v>
      </c>
      <c r="BK172">
        <f t="shared" si="45"/>
        <v>19.055999999999997</v>
      </c>
      <c r="BL172">
        <f t="shared" si="46"/>
        <v>0</v>
      </c>
      <c r="BM172">
        <f t="shared" si="47"/>
        <v>0</v>
      </c>
      <c r="BN172">
        <v>0</v>
      </c>
      <c r="BO172">
        <f t="shared" si="50"/>
        <v>0</v>
      </c>
      <c r="BP172">
        <f t="shared" si="48"/>
        <v>0</v>
      </c>
      <c r="BQ172">
        <f t="shared" si="49"/>
        <v>1</v>
      </c>
    </row>
    <row r="173" spans="1:69" x14ac:dyDescent="0.25">
      <c r="A173">
        <v>172</v>
      </c>
      <c r="B173" t="s">
        <v>778</v>
      </c>
      <c r="C173" t="s">
        <v>779</v>
      </c>
      <c r="D173" t="s">
        <v>780</v>
      </c>
      <c r="E173" t="s">
        <v>721</v>
      </c>
      <c r="F173" t="s">
        <v>127</v>
      </c>
      <c r="G173">
        <v>1</v>
      </c>
      <c r="H173">
        <v>1</v>
      </c>
      <c r="I173">
        <v>371</v>
      </c>
      <c r="J173">
        <v>0</v>
      </c>
      <c r="K173">
        <v>0</v>
      </c>
      <c r="L173">
        <v>12975.4</v>
      </c>
      <c r="M173">
        <v>9025.7000000000007</v>
      </c>
      <c r="N173">
        <v>15185.8</v>
      </c>
      <c r="O173">
        <v>305.10000000000002</v>
      </c>
      <c r="P173">
        <v>15088.2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0.45</v>
      </c>
      <c r="W173">
        <v>0</v>
      </c>
      <c r="X173">
        <v>0</v>
      </c>
      <c r="Y173">
        <v>0.44999998807907099</v>
      </c>
      <c r="Z173">
        <v>0</v>
      </c>
      <c r="AA173">
        <v>0</v>
      </c>
      <c r="AB173">
        <v>0.34999999403953552</v>
      </c>
      <c r="AC173">
        <v>0.10000000149011611</v>
      </c>
      <c r="AD173">
        <v>0</v>
      </c>
      <c r="AE173">
        <v>0.34999999403953552</v>
      </c>
      <c r="AF173">
        <v>0.10000000149011611</v>
      </c>
      <c r="AG173">
        <v>0.77777777225882916</v>
      </c>
      <c r="AH173">
        <v>0.2222222277411709</v>
      </c>
      <c r="AI173">
        <v>150</v>
      </c>
      <c r="AJ173">
        <v>0</v>
      </c>
      <c r="AK173">
        <v>0.34999999403953552</v>
      </c>
      <c r="AL173">
        <v>0.10000000149011611</v>
      </c>
      <c r="AM173">
        <v>0</v>
      </c>
      <c r="AN173">
        <v>0</v>
      </c>
      <c r="AO173">
        <v>0</v>
      </c>
      <c r="AR173">
        <v>0</v>
      </c>
      <c r="AS173">
        <v>0</v>
      </c>
      <c r="AT173">
        <v>0</v>
      </c>
      <c r="AU173">
        <v>0</v>
      </c>
      <c r="AV173">
        <f t="shared" si="34"/>
        <v>0</v>
      </c>
      <c r="AW173">
        <f t="shared" si="35"/>
        <v>0</v>
      </c>
      <c r="AX173">
        <f t="shared" si="36"/>
        <v>0</v>
      </c>
      <c r="AY173">
        <f t="shared" si="37"/>
        <v>0</v>
      </c>
      <c r="AZ173">
        <f t="shared" si="38"/>
        <v>0</v>
      </c>
      <c r="BA173" t="str">
        <f t="shared" si="39"/>
        <v/>
      </c>
      <c r="BB173">
        <f t="shared" si="40"/>
        <v>0.77777777225882916</v>
      </c>
      <c r="BC173">
        <f>MATCH($B173,clean_historis!$B:$B,0)</f>
        <v>173</v>
      </c>
      <c r="BD173">
        <f>IFERROR(INDEX(clean_historis!$AF:$AF,$BC173)/INDEX(clean_historis!$V:$V,$BC173),0)</f>
        <v>0</v>
      </c>
      <c r="BE173">
        <f>IFERROR(INDEX(clean_historis!$AR:$AR,$BC173)/INDEX(clean_historis!$AH:$AH,$BC173),0)</f>
        <v>0</v>
      </c>
      <c r="BF173">
        <f t="shared" si="41"/>
        <v>0</v>
      </c>
      <c r="BG173">
        <f>MAX(IF(INDEX(clean_historis!$CL:$CL,$BC173)=1,2025,0),IF(INDEX(clean_historis!$CK:$CK,$BC173)=1,2024,0),IF(INDEX(clean_historis!$CJ:$CJ,$BC173)=1,2023,0),IF(INDEX(clean_historis!$CI:$CI,$BC173)=1,2022,0),IF(INDEX(clean_historis!$CH:$CH,$BC173)=1,2021,0))</f>
        <v>0</v>
      </c>
      <c r="BH173">
        <f t="shared" si="42"/>
        <v>0.22222222774117084</v>
      </c>
      <c r="BI173">
        <f t="shared" si="43"/>
        <v>82.444446491974375</v>
      </c>
      <c r="BJ173">
        <f t="shared" si="44"/>
        <v>0</v>
      </c>
      <c r="BK173">
        <f t="shared" si="45"/>
        <v>52.275099999999995</v>
      </c>
      <c r="BL173">
        <f t="shared" si="46"/>
        <v>0</v>
      </c>
      <c r="BM173">
        <f t="shared" si="47"/>
        <v>0</v>
      </c>
      <c r="BN173">
        <v>0</v>
      </c>
      <c r="BO173">
        <f t="shared" si="50"/>
        <v>1</v>
      </c>
      <c r="BP173">
        <f t="shared" si="48"/>
        <v>0</v>
      </c>
      <c r="BQ173">
        <f t="shared" si="49"/>
        <v>1</v>
      </c>
    </row>
    <row r="174" spans="1:69" x14ac:dyDescent="0.25">
      <c r="A174">
        <v>173</v>
      </c>
      <c r="B174" t="s">
        <v>781</v>
      </c>
      <c r="C174" t="s">
        <v>782</v>
      </c>
      <c r="D174" t="s">
        <v>783</v>
      </c>
      <c r="E174" t="s">
        <v>99</v>
      </c>
      <c r="F174" t="s">
        <v>100</v>
      </c>
      <c r="G174">
        <v>1</v>
      </c>
      <c r="H174">
        <v>1</v>
      </c>
      <c r="I174">
        <v>1377</v>
      </c>
      <c r="J174">
        <v>0</v>
      </c>
      <c r="K174">
        <v>1</v>
      </c>
      <c r="L174">
        <v>1857.9</v>
      </c>
      <c r="M174">
        <v>2008</v>
      </c>
      <c r="N174">
        <v>2128.1</v>
      </c>
      <c r="O174">
        <v>1110.0999999999999</v>
      </c>
      <c r="P174">
        <v>2176.1999999999998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0.28999999999999998</v>
      </c>
      <c r="W174">
        <v>0</v>
      </c>
      <c r="X174">
        <v>0</v>
      </c>
      <c r="Y174">
        <v>0.28999999165534968</v>
      </c>
      <c r="Z174">
        <v>0</v>
      </c>
      <c r="AA174">
        <v>0</v>
      </c>
      <c r="AB174">
        <v>0.28999999165534968</v>
      </c>
      <c r="AC174">
        <v>0</v>
      </c>
      <c r="AD174">
        <v>0</v>
      </c>
      <c r="AE174">
        <v>0.28999999165534968</v>
      </c>
      <c r="AF174">
        <v>0</v>
      </c>
      <c r="AG174">
        <v>1</v>
      </c>
      <c r="AH174">
        <v>0</v>
      </c>
      <c r="AI174">
        <v>600</v>
      </c>
      <c r="AJ174">
        <v>0</v>
      </c>
      <c r="AK174">
        <v>0.28999999165534968</v>
      </c>
      <c r="AL174">
        <v>0</v>
      </c>
      <c r="AM174">
        <v>0</v>
      </c>
      <c r="AN174">
        <v>1</v>
      </c>
      <c r="AO174">
        <v>2</v>
      </c>
      <c r="AP174">
        <v>2022</v>
      </c>
      <c r="AQ174">
        <v>4</v>
      </c>
      <c r="AR174">
        <v>1</v>
      </c>
      <c r="AS174">
        <v>0</v>
      </c>
      <c r="AT174">
        <v>1</v>
      </c>
      <c r="AU174">
        <v>0</v>
      </c>
      <c r="AV174">
        <f t="shared" si="34"/>
        <v>0</v>
      </c>
      <c r="AW174">
        <f t="shared" si="35"/>
        <v>0</v>
      </c>
      <c r="AX174">
        <f t="shared" si="36"/>
        <v>0</v>
      </c>
      <c r="AY174">
        <f t="shared" si="37"/>
        <v>0</v>
      </c>
      <c r="AZ174">
        <f t="shared" si="38"/>
        <v>0</v>
      </c>
      <c r="BA174">
        <f t="shared" si="39"/>
        <v>3</v>
      </c>
      <c r="BB174">
        <f t="shared" si="40"/>
        <v>1</v>
      </c>
      <c r="BC174">
        <f>MATCH($B174,clean_historis!$B:$B,0)</f>
        <v>174</v>
      </c>
      <c r="BD174">
        <f>IFERROR(INDEX(clean_historis!$AF:$AF,$BC174)/INDEX(clean_historis!$V:$V,$BC174),0)</f>
        <v>0</v>
      </c>
      <c r="BE174">
        <f>IFERROR(INDEX(clean_historis!$AR:$AR,$BC174)/INDEX(clean_historis!$AH:$AH,$BC174),0)</f>
        <v>0</v>
      </c>
      <c r="BF174">
        <f t="shared" si="41"/>
        <v>0</v>
      </c>
      <c r="BG174">
        <f>MAX(IF(INDEX(clean_historis!$CL:$CL,$BC174)=1,2025,0),IF(INDEX(clean_historis!$CK:$CK,$BC174)=1,2024,0),IF(INDEX(clean_historis!$CJ:$CJ,$BC174)=1,2023,0),IF(INDEX(clean_historis!$CI:$CI,$BC174)=1,2022,0),IF(INDEX(clean_historis!$CH:$CH,$BC174)=1,2021,0))</f>
        <v>2022</v>
      </c>
      <c r="BH174">
        <f t="shared" si="42"/>
        <v>0</v>
      </c>
      <c r="BI174">
        <f t="shared" si="43"/>
        <v>0</v>
      </c>
      <c r="BJ174">
        <f t="shared" si="44"/>
        <v>1</v>
      </c>
      <c r="BK174">
        <f t="shared" si="45"/>
        <v>8.1701999999999995</v>
      </c>
      <c r="BL174">
        <f t="shared" si="46"/>
        <v>1</v>
      </c>
      <c r="BM174">
        <f t="shared" si="47"/>
        <v>0</v>
      </c>
      <c r="BN174">
        <v>0</v>
      </c>
      <c r="BO174">
        <f t="shared" si="50"/>
        <v>1</v>
      </c>
      <c r="BP174">
        <f t="shared" si="48"/>
        <v>1</v>
      </c>
      <c r="BQ174">
        <f t="shared" si="49"/>
        <v>1</v>
      </c>
    </row>
    <row r="175" spans="1:69" x14ac:dyDescent="0.25">
      <c r="A175">
        <v>174</v>
      </c>
      <c r="B175" t="s">
        <v>784</v>
      </c>
      <c r="C175" t="s">
        <v>785</v>
      </c>
      <c r="D175" t="s">
        <v>786</v>
      </c>
      <c r="E175" t="s">
        <v>140</v>
      </c>
      <c r="F175" t="s">
        <v>100</v>
      </c>
      <c r="G175">
        <v>2</v>
      </c>
      <c r="H175">
        <v>1</v>
      </c>
      <c r="I175">
        <v>4331</v>
      </c>
      <c r="J175">
        <v>0</v>
      </c>
      <c r="K175">
        <v>1</v>
      </c>
      <c r="L175">
        <v>675.3</v>
      </c>
      <c r="M175">
        <v>916.5</v>
      </c>
      <c r="N175">
        <v>2386.1</v>
      </c>
      <c r="O175">
        <v>315.89999999999998</v>
      </c>
      <c r="P175">
        <v>523.20000000000005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0.82</v>
      </c>
      <c r="W175">
        <v>0</v>
      </c>
      <c r="X175">
        <v>0</v>
      </c>
      <c r="Y175">
        <v>0.81999999284744263</v>
      </c>
      <c r="Z175">
        <v>0</v>
      </c>
      <c r="AA175">
        <v>0.81999999284744263</v>
      </c>
      <c r="AB175">
        <v>0</v>
      </c>
      <c r="AC175">
        <v>0</v>
      </c>
      <c r="AD175">
        <v>0</v>
      </c>
      <c r="AE175">
        <v>0.81999999284744263</v>
      </c>
      <c r="AF175">
        <v>0</v>
      </c>
      <c r="AG175">
        <v>1</v>
      </c>
      <c r="AH175">
        <v>0</v>
      </c>
      <c r="AI175">
        <v>150</v>
      </c>
      <c r="AJ175">
        <v>0.81999999284744263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2024</v>
      </c>
      <c r="AQ175">
        <v>2</v>
      </c>
      <c r="AR175">
        <v>0</v>
      </c>
      <c r="AS175">
        <v>0</v>
      </c>
      <c r="AT175">
        <v>0</v>
      </c>
      <c r="AU175">
        <v>0</v>
      </c>
      <c r="AV175">
        <f t="shared" si="34"/>
        <v>0</v>
      </c>
      <c r="AW175">
        <f t="shared" si="35"/>
        <v>0</v>
      </c>
      <c r="AX175">
        <f t="shared" si="36"/>
        <v>0</v>
      </c>
      <c r="AY175">
        <f t="shared" si="37"/>
        <v>0</v>
      </c>
      <c r="AZ175">
        <f t="shared" si="38"/>
        <v>0</v>
      </c>
      <c r="BA175">
        <f t="shared" si="39"/>
        <v>1</v>
      </c>
      <c r="BB175">
        <f t="shared" si="40"/>
        <v>1</v>
      </c>
      <c r="BC175">
        <f>MATCH($B175,clean_historis!$B:$B,0)</f>
        <v>175</v>
      </c>
      <c r="BD175">
        <f>IFERROR(INDEX(clean_historis!$AF:$AF,$BC175)/INDEX(clean_historis!$V:$V,$BC175),0)</f>
        <v>0</v>
      </c>
      <c r="BE175">
        <f>IFERROR(INDEX(clean_historis!$AR:$AR,$BC175)/INDEX(clean_historis!$AH:$AH,$BC175),0)</f>
        <v>0</v>
      </c>
      <c r="BF175">
        <f t="shared" si="41"/>
        <v>0</v>
      </c>
      <c r="BG175">
        <f>MAX(IF(INDEX(clean_historis!$CL:$CL,$BC175)=1,2025,0),IF(INDEX(clean_historis!$CK:$CK,$BC175)=1,2024,0),IF(INDEX(clean_historis!$CJ:$CJ,$BC175)=1,2023,0),IF(INDEX(clean_historis!$CI:$CI,$BC175)=1,2022,0),IF(INDEX(clean_historis!$CH:$CH,$BC175)=1,2021,0))</f>
        <v>2024</v>
      </c>
      <c r="BH175">
        <f t="shared" si="42"/>
        <v>0</v>
      </c>
      <c r="BI175">
        <f t="shared" si="43"/>
        <v>0</v>
      </c>
      <c r="BJ175">
        <f t="shared" si="44"/>
        <v>1</v>
      </c>
      <c r="BK175">
        <f t="shared" si="45"/>
        <v>4.5011000000000001</v>
      </c>
      <c r="BL175">
        <f t="shared" si="46"/>
        <v>0</v>
      </c>
      <c r="BM175">
        <f t="shared" si="47"/>
        <v>0</v>
      </c>
      <c r="BN175">
        <v>0</v>
      </c>
      <c r="BO175">
        <f t="shared" si="50"/>
        <v>1</v>
      </c>
      <c r="BP175">
        <f t="shared" si="48"/>
        <v>1</v>
      </c>
      <c r="BQ175">
        <f t="shared" si="49"/>
        <v>1</v>
      </c>
    </row>
    <row r="176" spans="1:69" x14ac:dyDescent="0.25">
      <c r="A176">
        <v>175</v>
      </c>
      <c r="B176" t="s">
        <v>787</v>
      </c>
      <c r="C176" t="s">
        <v>788</v>
      </c>
      <c r="D176" t="s">
        <v>789</v>
      </c>
      <c r="E176" t="s">
        <v>425</v>
      </c>
      <c r="F176" t="s">
        <v>100</v>
      </c>
      <c r="G176">
        <v>1</v>
      </c>
      <c r="H176">
        <v>1</v>
      </c>
      <c r="I176">
        <v>630</v>
      </c>
      <c r="J176">
        <v>0</v>
      </c>
      <c r="K176">
        <v>1</v>
      </c>
      <c r="L176">
        <v>1844.4</v>
      </c>
      <c r="M176">
        <v>1994.5</v>
      </c>
      <c r="N176">
        <v>2203.5</v>
      </c>
      <c r="O176">
        <v>572.6</v>
      </c>
      <c r="P176">
        <v>1699.5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0.21</v>
      </c>
      <c r="W176">
        <v>0</v>
      </c>
      <c r="X176">
        <v>0</v>
      </c>
      <c r="Y176">
        <v>0.2099999934434891</v>
      </c>
      <c r="Z176">
        <v>0</v>
      </c>
      <c r="AA176">
        <v>0</v>
      </c>
      <c r="AB176">
        <v>0.2099999934434891</v>
      </c>
      <c r="AC176">
        <v>0</v>
      </c>
      <c r="AD176">
        <v>0</v>
      </c>
      <c r="AE176">
        <v>0.2099999934434891</v>
      </c>
      <c r="AF176">
        <v>0</v>
      </c>
      <c r="AG176">
        <v>1</v>
      </c>
      <c r="AH176">
        <v>0</v>
      </c>
      <c r="AI176">
        <v>150</v>
      </c>
      <c r="AJ176">
        <v>0</v>
      </c>
      <c r="AK176">
        <v>0.2099999934434891</v>
      </c>
      <c r="AL176">
        <v>0</v>
      </c>
      <c r="AM176">
        <v>0</v>
      </c>
      <c r="AN176">
        <v>0</v>
      </c>
      <c r="AO176">
        <v>0</v>
      </c>
      <c r="AR176">
        <v>0</v>
      </c>
      <c r="AS176">
        <v>0</v>
      </c>
      <c r="AT176">
        <v>0</v>
      </c>
      <c r="AU176">
        <v>0</v>
      </c>
      <c r="AV176">
        <f t="shared" si="34"/>
        <v>0</v>
      </c>
      <c r="AW176">
        <f t="shared" si="35"/>
        <v>0</v>
      </c>
      <c r="AX176">
        <f t="shared" si="36"/>
        <v>0</v>
      </c>
      <c r="AY176">
        <f t="shared" si="37"/>
        <v>0</v>
      </c>
      <c r="AZ176">
        <f t="shared" si="38"/>
        <v>0</v>
      </c>
      <c r="BA176" t="str">
        <f t="shared" si="39"/>
        <v/>
      </c>
      <c r="BB176">
        <f t="shared" si="40"/>
        <v>1</v>
      </c>
      <c r="BC176">
        <f>MATCH($B176,clean_historis!$B:$B,0)</f>
        <v>176</v>
      </c>
      <c r="BD176">
        <f>IFERROR(INDEX(clean_historis!$AF:$AF,$BC176)/INDEX(clean_historis!$V:$V,$BC176),0)</f>
        <v>0</v>
      </c>
      <c r="BE176">
        <f>IFERROR(INDEX(clean_historis!$AR:$AR,$BC176)/INDEX(clean_historis!$AH:$AH,$BC176),0)</f>
        <v>0</v>
      </c>
      <c r="BF176">
        <f t="shared" si="41"/>
        <v>0</v>
      </c>
      <c r="BG176">
        <f>MAX(IF(INDEX(clean_historis!$CL:$CL,$BC176)=1,2025,0),IF(INDEX(clean_historis!$CK:$CK,$BC176)=1,2024,0),IF(INDEX(clean_historis!$CJ:$CJ,$BC176)=1,2023,0),IF(INDEX(clean_historis!$CI:$CI,$BC176)=1,2022,0),IF(INDEX(clean_historis!$CH:$CH,$BC176)=1,2021,0))</f>
        <v>0</v>
      </c>
      <c r="BH176">
        <f t="shared" si="42"/>
        <v>0</v>
      </c>
      <c r="BI176">
        <f t="shared" si="43"/>
        <v>0</v>
      </c>
      <c r="BJ176">
        <f t="shared" si="44"/>
        <v>1</v>
      </c>
      <c r="BK176">
        <f t="shared" si="45"/>
        <v>7.7418999999999993</v>
      </c>
      <c r="BL176">
        <f t="shared" si="46"/>
        <v>0</v>
      </c>
      <c r="BM176">
        <f t="shared" si="47"/>
        <v>0</v>
      </c>
      <c r="BN176">
        <v>0</v>
      </c>
      <c r="BO176">
        <f t="shared" si="50"/>
        <v>1</v>
      </c>
      <c r="BP176">
        <f t="shared" si="48"/>
        <v>0</v>
      </c>
      <c r="BQ176">
        <f t="shared" si="49"/>
        <v>1</v>
      </c>
    </row>
    <row r="177" spans="1:69" x14ac:dyDescent="0.25">
      <c r="A177">
        <v>176</v>
      </c>
      <c r="B177" t="s">
        <v>790</v>
      </c>
      <c r="C177" t="s">
        <v>791</v>
      </c>
      <c r="D177" t="s">
        <v>792</v>
      </c>
      <c r="E177" t="s">
        <v>793</v>
      </c>
      <c r="F177" t="s">
        <v>363</v>
      </c>
      <c r="G177">
        <v>2</v>
      </c>
      <c r="H177">
        <v>1</v>
      </c>
      <c r="I177">
        <v>1018</v>
      </c>
      <c r="J177">
        <v>0</v>
      </c>
      <c r="K177">
        <v>0</v>
      </c>
      <c r="L177">
        <v>3011.5</v>
      </c>
      <c r="M177">
        <v>2376.1999999999998</v>
      </c>
      <c r="N177">
        <v>4230.3999999999996</v>
      </c>
      <c r="O177">
        <v>719.4</v>
      </c>
      <c r="P177">
        <v>30843.5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0.3</v>
      </c>
      <c r="W177">
        <v>0</v>
      </c>
      <c r="X177">
        <v>0</v>
      </c>
      <c r="Y177">
        <v>0.10000000149011611</v>
      </c>
      <c r="Z177">
        <v>0</v>
      </c>
      <c r="AA177">
        <v>0</v>
      </c>
      <c r="AB177">
        <v>0.10000000149011611</v>
      </c>
      <c r="AC177">
        <v>0</v>
      </c>
      <c r="AD177">
        <v>0</v>
      </c>
      <c r="AE177">
        <v>0.10000000149011611</v>
      </c>
      <c r="AF177">
        <v>0</v>
      </c>
      <c r="AG177">
        <v>1</v>
      </c>
      <c r="AH177">
        <v>0</v>
      </c>
      <c r="AI177">
        <v>150</v>
      </c>
      <c r="AJ177">
        <v>0</v>
      </c>
      <c r="AK177">
        <v>0.10000000149011611</v>
      </c>
      <c r="AL177">
        <v>0</v>
      </c>
      <c r="AM177">
        <v>0</v>
      </c>
      <c r="AN177">
        <v>0</v>
      </c>
      <c r="AO177">
        <v>0</v>
      </c>
      <c r="AR177">
        <v>0</v>
      </c>
      <c r="AS177">
        <v>0</v>
      </c>
      <c r="AT177">
        <v>0</v>
      </c>
      <c r="AU177">
        <v>0</v>
      </c>
      <c r="AV177">
        <f t="shared" si="34"/>
        <v>-0.33333333333333326</v>
      </c>
      <c r="AW177">
        <f t="shared" si="35"/>
        <v>-0.66666666666666674</v>
      </c>
      <c r="AX177">
        <f t="shared" si="36"/>
        <v>0</v>
      </c>
      <c r="AY177">
        <f t="shared" si="37"/>
        <v>0</v>
      </c>
      <c r="AZ177">
        <f t="shared" si="38"/>
        <v>0</v>
      </c>
      <c r="BA177" t="str">
        <f t="shared" si="39"/>
        <v/>
      </c>
      <c r="BB177">
        <f t="shared" si="40"/>
        <v>1</v>
      </c>
      <c r="BC177">
        <f>MATCH($B177,clean_historis!$B:$B,0)</f>
        <v>177</v>
      </c>
      <c r="BD177">
        <f>IFERROR(INDEX(clean_historis!$AF:$AF,$BC177)/INDEX(clean_historis!$V:$V,$BC177),0)</f>
        <v>1</v>
      </c>
      <c r="BE177">
        <f>IFERROR(INDEX(clean_historis!$AR:$AR,$BC177)/INDEX(clean_historis!$AH:$AH,$BC177),0)</f>
        <v>0.66666666666666674</v>
      </c>
      <c r="BF177">
        <f t="shared" si="41"/>
        <v>0</v>
      </c>
      <c r="BG177">
        <f>MAX(IF(INDEX(clean_historis!$CL:$CL,$BC177)=1,2025,0),IF(INDEX(clean_historis!$CK:$CK,$BC177)=1,2024,0),IF(INDEX(clean_historis!$CJ:$CJ,$BC177)=1,2023,0),IF(INDEX(clean_historis!$CI:$CI,$BC177)=1,2022,0),IF(INDEX(clean_historis!$CH:$CH,$BC177)=1,2021,0))</f>
        <v>0</v>
      </c>
      <c r="BH177">
        <f t="shared" si="42"/>
        <v>0</v>
      </c>
      <c r="BI177">
        <f t="shared" si="43"/>
        <v>0</v>
      </c>
      <c r="BJ177">
        <f t="shared" si="44"/>
        <v>0</v>
      </c>
      <c r="BK177">
        <f t="shared" si="45"/>
        <v>40.461599999999997</v>
      </c>
      <c r="BL177">
        <f t="shared" si="46"/>
        <v>0</v>
      </c>
      <c r="BM177">
        <f t="shared" si="47"/>
        <v>0</v>
      </c>
      <c r="BN177">
        <v>0</v>
      </c>
      <c r="BO177">
        <f t="shared" si="50"/>
        <v>1</v>
      </c>
      <c r="BP177">
        <f t="shared" si="48"/>
        <v>0</v>
      </c>
      <c r="BQ177">
        <f t="shared" si="49"/>
        <v>1</v>
      </c>
    </row>
    <row r="178" spans="1:69" x14ac:dyDescent="0.25">
      <c r="A178">
        <v>177</v>
      </c>
      <c r="B178" t="s">
        <v>794</v>
      </c>
      <c r="C178" t="s">
        <v>795</v>
      </c>
      <c r="D178" t="s">
        <v>796</v>
      </c>
      <c r="E178" t="s">
        <v>745</v>
      </c>
      <c r="F178" t="s">
        <v>105</v>
      </c>
      <c r="G178">
        <v>2</v>
      </c>
      <c r="H178">
        <v>1</v>
      </c>
      <c r="I178">
        <v>1333</v>
      </c>
      <c r="J178">
        <v>0</v>
      </c>
      <c r="K178">
        <v>0</v>
      </c>
      <c r="L178">
        <v>5003.7</v>
      </c>
      <c r="M178">
        <v>2670.9</v>
      </c>
      <c r="N178">
        <v>6712.7</v>
      </c>
      <c r="O178">
        <v>1226.5</v>
      </c>
      <c r="P178">
        <v>6877.3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1.86</v>
      </c>
      <c r="W178">
        <v>0</v>
      </c>
      <c r="X178">
        <v>0</v>
      </c>
      <c r="Y178">
        <v>1.860000014305115</v>
      </c>
      <c r="Z178">
        <v>0</v>
      </c>
      <c r="AA178">
        <v>0</v>
      </c>
      <c r="AB178">
        <v>1.860000014305115</v>
      </c>
      <c r="AC178">
        <v>0</v>
      </c>
      <c r="AD178">
        <v>0</v>
      </c>
      <c r="AE178">
        <v>1.860000014305115</v>
      </c>
      <c r="AF178">
        <v>0</v>
      </c>
      <c r="AG178">
        <v>1</v>
      </c>
      <c r="AH178">
        <v>0</v>
      </c>
      <c r="AI178">
        <v>150</v>
      </c>
      <c r="AJ178">
        <v>0</v>
      </c>
      <c r="AK178">
        <v>1.860000014305115</v>
      </c>
      <c r="AL178">
        <v>0</v>
      </c>
      <c r="AM178">
        <v>0</v>
      </c>
      <c r="AN178">
        <v>1</v>
      </c>
      <c r="AO178">
        <v>1</v>
      </c>
      <c r="AP178">
        <v>2022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f t="shared" si="34"/>
        <v>0</v>
      </c>
      <c r="AW178">
        <f t="shared" si="35"/>
        <v>0</v>
      </c>
      <c r="AX178">
        <f t="shared" si="36"/>
        <v>0</v>
      </c>
      <c r="AY178">
        <f t="shared" si="37"/>
        <v>0</v>
      </c>
      <c r="AZ178">
        <f t="shared" si="38"/>
        <v>0</v>
      </c>
      <c r="BA178" t="str">
        <f t="shared" si="39"/>
        <v/>
      </c>
      <c r="BB178">
        <f t="shared" si="40"/>
        <v>1</v>
      </c>
      <c r="BC178">
        <f>MATCH($B178,clean_historis!$B:$B,0)</f>
        <v>178</v>
      </c>
      <c r="BD178">
        <f>IFERROR(INDEX(clean_historis!$AF:$AF,$BC178)/INDEX(clean_historis!$V:$V,$BC178),0)</f>
        <v>0</v>
      </c>
      <c r="BE178">
        <f>IFERROR(INDEX(clean_historis!$AR:$AR,$BC178)/INDEX(clean_historis!$AH:$AH,$BC178),0)</f>
        <v>0</v>
      </c>
      <c r="BF178">
        <f t="shared" si="41"/>
        <v>0</v>
      </c>
      <c r="BG178">
        <f>MAX(IF(INDEX(clean_historis!$CL:$CL,$BC178)=1,2025,0),IF(INDEX(clean_historis!$CK:$CK,$BC178)=1,2024,0),IF(INDEX(clean_historis!$CJ:$CJ,$BC178)=1,2023,0),IF(INDEX(clean_historis!$CI:$CI,$BC178)=1,2022,0),IF(INDEX(clean_historis!$CH:$CH,$BC178)=1,2021,0))</f>
        <v>0</v>
      </c>
      <c r="BH178">
        <f t="shared" si="42"/>
        <v>0</v>
      </c>
      <c r="BI178">
        <f t="shared" si="43"/>
        <v>0</v>
      </c>
      <c r="BJ178">
        <f t="shared" si="44"/>
        <v>0</v>
      </c>
      <c r="BK178">
        <f t="shared" si="45"/>
        <v>21.264600000000002</v>
      </c>
      <c r="BL178">
        <f t="shared" si="46"/>
        <v>0</v>
      </c>
      <c r="BM178">
        <f t="shared" si="47"/>
        <v>0</v>
      </c>
      <c r="BN178">
        <v>0</v>
      </c>
      <c r="BO178">
        <f t="shared" si="50"/>
        <v>0</v>
      </c>
      <c r="BP178">
        <f t="shared" si="48"/>
        <v>1</v>
      </c>
      <c r="BQ178">
        <f t="shared" si="49"/>
        <v>0</v>
      </c>
    </row>
    <row r="179" spans="1:69" x14ac:dyDescent="0.25">
      <c r="A179">
        <v>178</v>
      </c>
      <c r="B179" t="s">
        <v>797</v>
      </c>
      <c r="C179" t="s">
        <v>798</v>
      </c>
      <c r="D179" t="s">
        <v>799</v>
      </c>
      <c r="E179" t="s">
        <v>800</v>
      </c>
      <c r="F179" t="s">
        <v>127</v>
      </c>
      <c r="G179">
        <v>1</v>
      </c>
      <c r="H179">
        <v>1</v>
      </c>
      <c r="I179">
        <v>719</v>
      </c>
      <c r="J179">
        <v>0</v>
      </c>
      <c r="K179">
        <v>0</v>
      </c>
      <c r="L179">
        <v>7867.5</v>
      </c>
      <c r="M179">
        <v>3824.8</v>
      </c>
      <c r="N179">
        <v>10077.9</v>
      </c>
      <c r="O179">
        <v>1206.5999999999999</v>
      </c>
      <c r="P179">
        <v>9980.2999999999993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0.06</v>
      </c>
      <c r="W179">
        <v>0</v>
      </c>
      <c r="X179">
        <v>0</v>
      </c>
      <c r="Y179">
        <v>5.9999998658895493E-2</v>
      </c>
      <c r="Z179">
        <v>0</v>
      </c>
      <c r="AA179">
        <v>5.9999998658895493E-2</v>
      </c>
      <c r="AB179">
        <v>0</v>
      </c>
      <c r="AC179">
        <v>0</v>
      </c>
      <c r="AD179">
        <v>0</v>
      </c>
      <c r="AE179">
        <v>5.9999998658895493E-2</v>
      </c>
      <c r="AF179">
        <v>0</v>
      </c>
      <c r="AG179">
        <v>1</v>
      </c>
      <c r="AH179">
        <v>0</v>
      </c>
      <c r="AI179">
        <v>150</v>
      </c>
      <c r="AJ179">
        <v>5.9999998658895493E-2</v>
      </c>
      <c r="AK179">
        <v>0</v>
      </c>
      <c r="AL179">
        <v>0</v>
      </c>
      <c r="AM179">
        <v>0</v>
      </c>
      <c r="AN179">
        <v>0</v>
      </c>
      <c r="AO179">
        <v>0</v>
      </c>
      <c r="AR179">
        <v>0</v>
      </c>
      <c r="AS179">
        <v>0</v>
      </c>
      <c r="AT179">
        <v>0</v>
      </c>
      <c r="AU179">
        <v>0</v>
      </c>
      <c r="AV179">
        <f t="shared" si="34"/>
        <v>0</v>
      </c>
      <c r="AW179">
        <f t="shared" si="35"/>
        <v>0</v>
      </c>
      <c r="AX179">
        <f t="shared" si="36"/>
        <v>0</v>
      </c>
      <c r="AY179">
        <f t="shared" si="37"/>
        <v>0</v>
      </c>
      <c r="AZ179">
        <f t="shared" si="38"/>
        <v>0</v>
      </c>
      <c r="BA179" t="str">
        <f t="shared" si="39"/>
        <v/>
      </c>
      <c r="BB179">
        <f t="shared" si="40"/>
        <v>1</v>
      </c>
      <c r="BC179">
        <f>MATCH($B179,clean_historis!$B:$B,0)</f>
        <v>179</v>
      </c>
      <c r="BD179">
        <f>IFERROR(INDEX(clean_historis!$AF:$AF,$BC179)/INDEX(clean_historis!$V:$V,$BC179),0)</f>
        <v>0</v>
      </c>
      <c r="BE179">
        <f>IFERROR(INDEX(clean_historis!$AR:$AR,$BC179)/INDEX(clean_historis!$AH:$AH,$BC179),0)</f>
        <v>0</v>
      </c>
      <c r="BF179">
        <f t="shared" si="41"/>
        <v>0</v>
      </c>
      <c r="BG179">
        <f>MAX(IF(INDEX(clean_historis!$CL:$CL,$BC179)=1,2025,0),IF(INDEX(clean_historis!$CK:$CK,$BC179)=1,2024,0),IF(INDEX(clean_historis!$CJ:$CJ,$BC179)=1,2023,0),IF(INDEX(clean_historis!$CI:$CI,$BC179)=1,2022,0),IF(INDEX(clean_historis!$CH:$CH,$BC179)=1,2021,0))</f>
        <v>0</v>
      </c>
      <c r="BH179">
        <f t="shared" si="42"/>
        <v>0</v>
      </c>
      <c r="BI179">
        <f t="shared" si="43"/>
        <v>0</v>
      </c>
      <c r="BJ179">
        <f t="shared" si="44"/>
        <v>0</v>
      </c>
      <c r="BK179">
        <f t="shared" si="45"/>
        <v>31.750499999999995</v>
      </c>
      <c r="BL179">
        <f t="shared" si="46"/>
        <v>0</v>
      </c>
      <c r="BM179">
        <f t="shared" si="47"/>
        <v>0</v>
      </c>
      <c r="BN179">
        <v>0</v>
      </c>
      <c r="BO179">
        <f t="shared" si="50"/>
        <v>1</v>
      </c>
      <c r="BP179">
        <f t="shared" si="48"/>
        <v>0</v>
      </c>
      <c r="BQ179">
        <f t="shared" si="49"/>
        <v>1</v>
      </c>
    </row>
    <row r="180" spans="1:69" x14ac:dyDescent="0.25">
      <c r="A180">
        <v>179</v>
      </c>
      <c r="B180" t="s">
        <v>801</v>
      </c>
      <c r="C180" t="s">
        <v>802</v>
      </c>
      <c r="D180" t="s">
        <v>803</v>
      </c>
      <c r="E180" t="s">
        <v>804</v>
      </c>
      <c r="F180" t="s">
        <v>213</v>
      </c>
      <c r="G180">
        <v>2</v>
      </c>
      <c r="H180">
        <v>2</v>
      </c>
      <c r="I180">
        <v>3708</v>
      </c>
      <c r="J180">
        <v>0</v>
      </c>
      <c r="K180">
        <v>1</v>
      </c>
      <c r="L180">
        <v>2252.4</v>
      </c>
      <c r="M180">
        <v>1999.5</v>
      </c>
      <c r="N180">
        <v>3967.4</v>
      </c>
      <c r="O180">
        <v>1087.9000000000001</v>
      </c>
      <c r="P180">
        <v>2366.1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1.59</v>
      </c>
      <c r="W180">
        <v>0</v>
      </c>
      <c r="X180">
        <v>0</v>
      </c>
      <c r="Y180">
        <v>1.5900000333786011</v>
      </c>
      <c r="Z180">
        <v>0</v>
      </c>
      <c r="AA180">
        <v>0</v>
      </c>
      <c r="AB180">
        <v>1.5900000333786011</v>
      </c>
      <c r="AC180">
        <v>0</v>
      </c>
      <c r="AD180">
        <v>0</v>
      </c>
      <c r="AE180">
        <v>1.5900000333786011</v>
      </c>
      <c r="AF180">
        <v>0</v>
      </c>
      <c r="AG180">
        <v>1</v>
      </c>
      <c r="AH180">
        <v>0</v>
      </c>
      <c r="AI180">
        <v>150</v>
      </c>
      <c r="AJ180">
        <v>0</v>
      </c>
      <c r="AK180">
        <v>1.5900000333786011</v>
      </c>
      <c r="AL180">
        <v>0</v>
      </c>
      <c r="AM180">
        <v>0</v>
      </c>
      <c r="AN180">
        <v>0</v>
      </c>
      <c r="AO180">
        <v>0</v>
      </c>
      <c r="AR180">
        <v>0</v>
      </c>
      <c r="AS180">
        <v>0</v>
      </c>
      <c r="AT180">
        <v>0</v>
      </c>
      <c r="AU180">
        <v>0</v>
      </c>
      <c r="AV180">
        <f t="shared" si="34"/>
        <v>0</v>
      </c>
      <c r="AW180">
        <f t="shared" si="35"/>
        <v>0</v>
      </c>
      <c r="AX180">
        <f t="shared" si="36"/>
        <v>0</v>
      </c>
      <c r="AY180">
        <f t="shared" si="37"/>
        <v>0</v>
      </c>
      <c r="AZ180">
        <f t="shared" si="38"/>
        <v>0</v>
      </c>
      <c r="BA180" t="str">
        <f t="shared" si="39"/>
        <v/>
      </c>
      <c r="BB180">
        <f t="shared" si="40"/>
        <v>1</v>
      </c>
      <c r="BC180">
        <f>MATCH($B180,clean_historis!$B:$B,0)</f>
        <v>180</v>
      </c>
      <c r="BD180">
        <f>IFERROR(INDEX(clean_historis!$AF:$AF,$BC180)/INDEX(clean_historis!$V:$V,$BC180),0)</f>
        <v>0</v>
      </c>
      <c r="BE180">
        <f>IFERROR(INDEX(clean_historis!$AR:$AR,$BC180)/INDEX(clean_historis!$AH:$AH,$BC180),0)</f>
        <v>0</v>
      </c>
      <c r="BF180">
        <f t="shared" si="41"/>
        <v>0</v>
      </c>
      <c r="BG180">
        <f>MAX(IF(INDEX(clean_historis!$CL:$CL,$BC180)=1,2025,0),IF(INDEX(clean_historis!$CK:$CK,$BC180)=1,2024,0),IF(INDEX(clean_historis!$CJ:$CJ,$BC180)=1,2023,0),IF(INDEX(clean_historis!$CI:$CI,$BC180)=1,2022,0),IF(INDEX(clean_historis!$CH:$CH,$BC180)=1,2021,0))</f>
        <v>0</v>
      </c>
      <c r="BH180">
        <f t="shared" si="42"/>
        <v>0</v>
      </c>
      <c r="BI180">
        <f t="shared" si="43"/>
        <v>0</v>
      </c>
      <c r="BJ180">
        <f t="shared" si="44"/>
        <v>1</v>
      </c>
      <c r="BK180">
        <f t="shared" si="45"/>
        <v>10.5854</v>
      </c>
      <c r="BL180">
        <f t="shared" si="46"/>
        <v>0</v>
      </c>
      <c r="BM180">
        <f t="shared" si="47"/>
        <v>0</v>
      </c>
      <c r="BN180">
        <v>0</v>
      </c>
      <c r="BO180">
        <f t="shared" si="50"/>
        <v>0</v>
      </c>
      <c r="BP180">
        <f t="shared" si="48"/>
        <v>0</v>
      </c>
      <c r="BQ180">
        <f t="shared" si="49"/>
        <v>0</v>
      </c>
    </row>
    <row r="181" spans="1:69" x14ac:dyDescent="0.25">
      <c r="A181">
        <v>180</v>
      </c>
      <c r="B181" t="s">
        <v>805</v>
      </c>
      <c r="C181" t="s">
        <v>806</v>
      </c>
      <c r="D181" t="s">
        <v>807</v>
      </c>
      <c r="E181" t="s">
        <v>808</v>
      </c>
      <c r="F181" t="s">
        <v>809</v>
      </c>
      <c r="G181">
        <v>2</v>
      </c>
      <c r="H181">
        <v>2</v>
      </c>
      <c r="I181">
        <v>1022</v>
      </c>
      <c r="J181">
        <v>0</v>
      </c>
      <c r="K181">
        <v>0</v>
      </c>
      <c r="L181">
        <v>12390.8</v>
      </c>
      <c r="M181">
        <v>8348.1</v>
      </c>
      <c r="N181">
        <v>14601.2</v>
      </c>
      <c r="O181">
        <v>2435.3000000000002</v>
      </c>
      <c r="P181">
        <v>14503.6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0.40000000596046448</v>
      </c>
      <c r="X181">
        <v>0.30000001192092901</v>
      </c>
      <c r="Y181">
        <v>0</v>
      </c>
      <c r="Z181">
        <v>0</v>
      </c>
      <c r="AA181">
        <v>0</v>
      </c>
      <c r="AB181">
        <v>0.30000001192092901</v>
      </c>
      <c r="AC181">
        <v>0</v>
      </c>
      <c r="AD181">
        <v>0.40000000596046448</v>
      </c>
      <c r="AE181">
        <v>0.30000001192092901</v>
      </c>
      <c r="AF181">
        <v>0.40000000596046448</v>
      </c>
      <c r="AG181">
        <v>0.42857143465353498</v>
      </c>
      <c r="AH181">
        <v>0.57142856534646502</v>
      </c>
      <c r="AI181">
        <v>150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2023</v>
      </c>
      <c r="AQ181">
        <v>3</v>
      </c>
      <c r="AR181">
        <v>0</v>
      </c>
      <c r="AS181">
        <v>0</v>
      </c>
      <c r="AT181">
        <v>0</v>
      </c>
      <c r="AU181">
        <v>0</v>
      </c>
      <c r="AV181">
        <f t="shared" si="34"/>
        <v>4.4408920985006262E-16</v>
      </c>
      <c r="AW181">
        <f t="shared" si="35"/>
        <v>-0.82499999850988437</v>
      </c>
      <c r="AX181">
        <f t="shared" si="36"/>
        <v>102.20000152289867</v>
      </c>
      <c r="AY181">
        <f t="shared" si="37"/>
        <v>0</v>
      </c>
      <c r="AZ181">
        <f t="shared" si="38"/>
        <v>0.40000000596046448</v>
      </c>
      <c r="BA181" t="str">
        <f t="shared" si="39"/>
        <v/>
      </c>
      <c r="BB181">
        <f t="shared" si="40"/>
        <v>0.42857143465353498</v>
      </c>
      <c r="BC181">
        <f>MATCH($B181,clean_historis!$B:$B,0)</f>
        <v>181</v>
      </c>
      <c r="BD181">
        <f>IFERROR(INDEX(clean_historis!$AF:$AF,$BC181)/INDEX(clean_historis!$V:$V,$BC181),0)</f>
        <v>0.92500000000000004</v>
      </c>
      <c r="BE181">
        <f>IFERROR(INDEX(clean_historis!$AR:$AR,$BC181)/INDEX(clean_historis!$AH:$AH,$BC181),0)</f>
        <v>0.92500000000000049</v>
      </c>
      <c r="BF181">
        <f t="shared" si="41"/>
        <v>0.10000000149011612</v>
      </c>
      <c r="BG181">
        <f>MAX(IF(INDEX(clean_historis!$CL:$CL,$BC181)=1,2025,0),IF(INDEX(clean_historis!$CK:$CK,$BC181)=1,2024,0),IF(INDEX(clean_historis!$CJ:$CJ,$BC181)=1,2023,0),IF(INDEX(clean_historis!$CI:$CI,$BC181)=1,2022,0),IF(INDEX(clean_historis!$CH:$CH,$BC181)=1,2021,0))</f>
        <v>0</v>
      </c>
      <c r="BH181">
        <f t="shared" si="42"/>
        <v>0.57142856534646502</v>
      </c>
      <c r="BI181">
        <f t="shared" si="43"/>
        <v>583.99999378408722</v>
      </c>
      <c r="BJ181">
        <f t="shared" si="44"/>
        <v>0</v>
      </c>
      <c r="BK181">
        <f t="shared" si="45"/>
        <v>49.843700000000005</v>
      </c>
      <c r="BL181">
        <f t="shared" si="46"/>
        <v>0</v>
      </c>
      <c r="BM181">
        <f t="shared" si="47"/>
        <v>0</v>
      </c>
      <c r="BN181">
        <v>0</v>
      </c>
      <c r="BO181">
        <f t="shared" si="50"/>
        <v>0</v>
      </c>
      <c r="BP181">
        <f t="shared" si="48"/>
        <v>1</v>
      </c>
      <c r="BQ181">
        <f t="shared" si="49"/>
        <v>1</v>
      </c>
    </row>
    <row r="182" spans="1:69" x14ac:dyDescent="0.25">
      <c r="A182">
        <v>181</v>
      </c>
      <c r="B182" t="s">
        <v>810</v>
      </c>
      <c r="C182" t="s">
        <v>811</v>
      </c>
      <c r="D182" t="s">
        <v>812</v>
      </c>
      <c r="E182" t="s">
        <v>714</v>
      </c>
      <c r="F182" t="s">
        <v>310</v>
      </c>
      <c r="G182">
        <v>1</v>
      </c>
      <c r="H182">
        <v>1</v>
      </c>
      <c r="I182">
        <v>385</v>
      </c>
      <c r="J182">
        <v>0</v>
      </c>
      <c r="K182">
        <v>1</v>
      </c>
      <c r="L182">
        <v>21696.1</v>
      </c>
      <c r="M182">
        <v>7530</v>
      </c>
      <c r="N182">
        <v>23906.5</v>
      </c>
      <c r="O182">
        <v>558.6</v>
      </c>
      <c r="P182">
        <v>23808.9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0.43</v>
      </c>
      <c r="W182">
        <v>0</v>
      </c>
      <c r="X182">
        <v>0</v>
      </c>
      <c r="Y182">
        <v>0.43000000715255737</v>
      </c>
      <c r="Z182">
        <v>0</v>
      </c>
      <c r="AA182">
        <v>0</v>
      </c>
      <c r="AB182">
        <v>0.23000000417232511</v>
      </c>
      <c r="AC182">
        <v>0.20000000298023221</v>
      </c>
      <c r="AD182">
        <v>0</v>
      </c>
      <c r="AE182">
        <v>0.23000000417232511</v>
      </c>
      <c r="AF182">
        <v>0.20000000298023221</v>
      </c>
      <c r="AG182">
        <v>0.5348837217361363</v>
      </c>
      <c r="AH182">
        <v>0.46511627826386359</v>
      </c>
      <c r="AI182">
        <v>150</v>
      </c>
      <c r="AJ182">
        <v>0</v>
      </c>
      <c r="AK182">
        <v>0.23000000417232511</v>
      </c>
      <c r="AL182">
        <v>0.20000000298023221</v>
      </c>
      <c r="AM182">
        <v>0</v>
      </c>
      <c r="AN182">
        <v>1</v>
      </c>
      <c r="AO182">
        <v>1</v>
      </c>
      <c r="AP182">
        <v>2023</v>
      </c>
      <c r="AQ182">
        <v>3</v>
      </c>
      <c r="AR182">
        <v>0</v>
      </c>
      <c r="AS182">
        <v>0</v>
      </c>
      <c r="AT182">
        <v>0</v>
      </c>
      <c r="AU182">
        <v>0</v>
      </c>
      <c r="AV182">
        <f t="shared" si="34"/>
        <v>0</v>
      </c>
      <c r="AW182">
        <f t="shared" si="35"/>
        <v>0</v>
      </c>
      <c r="AX182">
        <f t="shared" si="36"/>
        <v>0</v>
      </c>
      <c r="AY182">
        <f t="shared" si="37"/>
        <v>0</v>
      </c>
      <c r="AZ182">
        <f t="shared" si="38"/>
        <v>0</v>
      </c>
      <c r="BA182" t="str">
        <f t="shared" si="39"/>
        <v/>
      </c>
      <c r="BB182">
        <f t="shared" si="40"/>
        <v>0.5348837217361363</v>
      </c>
      <c r="BC182">
        <f>MATCH($B182,clean_historis!$B:$B,0)</f>
        <v>182</v>
      </c>
      <c r="BD182">
        <f>IFERROR(INDEX(clean_historis!$AF:$AF,$BC182)/INDEX(clean_historis!$V:$V,$BC182),0)</f>
        <v>0</v>
      </c>
      <c r="BE182">
        <f>IFERROR(INDEX(clean_historis!$AR:$AR,$BC182)/INDEX(clean_historis!$AH:$AH,$BC182),0)</f>
        <v>0</v>
      </c>
      <c r="BF182">
        <f t="shared" si="41"/>
        <v>0</v>
      </c>
      <c r="BG182">
        <f>MAX(IF(INDEX(clean_historis!$CL:$CL,$BC182)=1,2025,0),IF(INDEX(clean_historis!$CK:$CK,$BC182)=1,2024,0),IF(INDEX(clean_historis!$CJ:$CJ,$BC182)=1,2023,0),IF(INDEX(clean_historis!$CI:$CI,$BC182)=1,2022,0),IF(INDEX(clean_historis!$CH:$CH,$BC182)=1,2021,0))</f>
        <v>0</v>
      </c>
      <c r="BH182">
        <f t="shared" si="42"/>
        <v>0.4651162782638637</v>
      </c>
      <c r="BI182">
        <f t="shared" si="43"/>
        <v>179.06976713158753</v>
      </c>
      <c r="BJ182">
        <f t="shared" si="44"/>
        <v>0</v>
      </c>
      <c r="BK182">
        <f t="shared" si="45"/>
        <v>76.941500000000005</v>
      </c>
      <c r="BL182">
        <f t="shared" si="46"/>
        <v>0</v>
      </c>
      <c r="BM182">
        <f t="shared" si="47"/>
        <v>0</v>
      </c>
      <c r="BN182">
        <v>0</v>
      </c>
      <c r="BO182">
        <f t="shared" si="50"/>
        <v>1</v>
      </c>
      <c r="BP182">
        <f t="shared" si="48"/>
        <v>1</v>
      </c>
      <c r="BQ182">
        <f t="shared" si="49"/>
        <v>1</v>
      </c>
    </row>
    <row r="183" spans="1:69" x14ac:dyDescent="0.25">
      <c r="A183">
        <v>182</v>
      </c>
      <c r="B183" t="s">
        <v>813</v>
      </c>
      <c r="C183" t="s">
        <v>814</v>
      </c>
      <c r="D183" t="s">
        <v>815</v>
      </c>
      <c r="E183" t="s">
        <v>305</v>
      </c>
      <c r="F183" t="s">
        <v>127</v>
      </c>
      <c r="G183">
        <v>1</v>
      </c>
      <c r="H183">
        <v>1</v>
      </c>
      <c r="I183">
        <v>507</v>
      </c>
      <c r="J183">
        <v>0</v>
      </c>
      <c r="K183">
        <v>0</v>
      </c>
      <c r="L183">
        <v>23282.2</v>
      </c>
      <c r="M183">
        <v>19332.400000000001</v>
      </c>
      <c r="N183">
        <v>25492.6</v>
      </c>
      <c r="O183">
        <v>37.200000000000003</v>
      </c>
      <c r="P183">
        <v>25394.9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4.6500000000000004</v>
      </c>
      <c r="W183">
        <v>0.89999997615814209</v>
      </c>
      <c r="X183">
        <v>0</v>
      </c>
      <c r="Y183">
        <v>0.60000002384185791</v>
      </c>
      <c r="Z183">
        <v>0</v>
      </c>
      <c r="AA183">
        <v>0</v>
      </c>
      <c r="AB183">
        <v>0</v>
      </c>
      <c r="AC183">
        <v>0.40000000596046448</v>
      </c>
      <c r="AD183">
        <v>1.1000000238418579</v>
      </c>
      <c r="AE183">
        <v>0</v>
      </c>
      <c r="AF183">
        <v>1.5000000298023219</v>
      </c>
      <c r="AG183">
        <v>0</v>
      </c>
      <c r="AH183">
        <v>1</v>
      </c>
      <c r="AI183">
        <v>150</v>
      </c>
      <c r="AJ183">
        <v>0</v>
      </c>
      <c r="AK183">
        <v>0</v>
      </c>
      <c r="AL183">
        <v>0.40000000596046448</v>
      </c>
      <c r="AM183">
        <v>0.20000000298023221</v>
      </c>
      <c r="AN183">
        <v>0</v>
      </c>
      <c r="AO183">
        <v>0</v>
      </c>
      <c r="AR183">
        <v>0</v>
      </c>
      <c r="AS183">
        <v>0</v>
      </c>
      <c r="AT183">
        <v>0</v>
      </c>
      <c r="AU183">
        <v>1</v>
      </c>
      <c r="AV183">
        <f t="shared" si="34"/>
        <v>0</v>
      </c>
      <c r="AW183">
        <f t="shared" si="35"/>
        <v>-0.72043010239960037</v>
      </c>
      <c r="AX183">
        <f t="shared" si="36"/>
        <v>119.93548647049934</v>
      </c>
      <c r="AY183">
        <f t="shared" si="37"/>
        <v>0</v>
      </c>
      <c r="AZ183">
        <f t="shared" si="38"/>
        <v>1.1000000238418579</v>
      </c>
      <c r="BA183" t="str">
        <f t="shared" si="39"/>
        <v/>
      </c>
      <c r="BB183">
        <f t="shared" si="40"/>
        <v>0</v>
      </c>
      <c r="BC183">
        <f>MATCH($B183,clean_historis!$B:$B,0)</f>
        <v>183</v>
      </c>
      <c r="BD183">
        <f>IFERROR(INDEX(clean_historis!$AF:$AF,$BC183)/INDEX(clean_historis!$V:$V,$BC183),0)</f>
        <v>0.95698924731182788</v>
      </c>
      <c r="BE183">
        <f>IFERROR(INDEX(clean_historis!$AR:$AR,$BC183)/INDEX(clean_historis!$AH:$AH,$BC183),0)</f>
        <v>0.95698924731182788</v>
      </c>
      <c r="BF183">
        <f t="shared" si="41"/>
        <v>0.23655914491222749</v>
      </c>
      <c r="BG183">
        <f>MAX(IF(INDEX(clean_historis!$CL:$CL,$BC183)=1,2025,0),IF(INDEX(clean_historis!$CK:$CK,$BC183)=1,2024,0),IF(INDEX(clean_historis!$CJ:$CJ,$BC183)=1,2023,0),IF(INDEX(clean_historis!$CI:$CI,$BC183)=1,2022,0),IF(INDEX(clean_historis!$CH:$CH,$BC183)=1,2021,0))</f>
        <v>0</v>
      </c>
      <c r="BH183">
        <f t="shared" si="42"/>
        <v>1</v>
      </c>
      <c r="BI183">
        <f t="shared" si="43"/>
        <v>507</v>
      </c>
      <c r="BJ183">
        <f t="shared" si="44"/>
        <v>0</v>
      </c>
      <c r="BK183">
        <f t="shared" si="45"/>
        <v>93.502100000000013</v>
      </c>
      <c r="BL183">
        <f t="shared" si="46"/>
        <v>0</v>
      </c>
      <c r="BM183">
        <f t="shared" si="47"/>
        <v>0</v>
      </c>
      <c r="BN183">
        <v>0</v>
      </c>
      <c r="BO183">
        <f t="shared" si="50"/>
        <v>0</v>
      </c>
      <c r="BP183">
        <f t="shared" si="48"/>
        <v>0</v>
      </c>
      <c r="BQ183">
        <f t="shared" si="49"/>
        <v>1</v>
      </c>
    </row>
    <row r="184" spans="1:69" x14ac:dyDescent="0.25">
      <c r="A184">
        <v>183</v>
      </c>
      <c r="B184" t="s">
        <v>816</v>
      </c>
      <c r="C184" t="s">
        <v>817</v>
      </c>
      <c r="D184" t="s">
        <v>818</v>
      </c>
      <c r="E184" t="s">
        <v>819</v>
      </c>
      <c r="F184" t="s">
        <v>176</v>
      </c>
      <c r="G184">
        <v>1</v>
      </c>
      <c r="H184">
        <v>1</v>
      </c>
      <c r="I184">
        <v>216</v>
      </c>
      <c r="J184">
        <v>0</v>
      </c>
      <c r="K184">
        <v>1</v>
      </c>
      <c r="L184">
        <v>2846.7</v>
      </c>
      <c r="M184">
        <v>2090.9</v>
      </c>
      <c r="N184">
        <v>6585.1</v>
      </c>
      <c r="O184">
        <v>910.7</v>
      </c>
      <c r="P184">
        <v>8256.9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0.46</v>
      </c>
      <c r="W184">
        <v>0</v>
      </c>
      <c r="X184">
        <v>0</v>
      </c>
      <c r="Y184">
        <v>0.46000000834465032</v>
      </c>
      <c r="Z184">
        <v>0</v>
      </c>
      <c r="AA184">
        <v>0.10000000149011611</v>
      </c>
      <c r="AB184">
        <v>0.36000001430511469</v>
      </c>
      <c r="AC184">
        <v>0</v>
      </c>
      <c r="AD184">
        <v>0</v>
      </c>
      <c r="AE184">
        <v>0.46000001579523092</v>
      </c>
      <c r="AF184">
        <v>0</v>
      </c>
      <c r="AG184">
        <v>1</v>
      </c>
      <c r="AH184">
        <v>0</v>
      </c>
      <c r="AI184">
        <v>150</v>
      </c>
      <c r="AJ184">
        <v>0.10000000149011611</v>
      </c>
      <c r="AK184">
        <v>0.36000001430511469</v>
      </c>
      <c r="AL184">
        <v>0</v>
      </c>
      <c r="AM184">
        <v>0</v>
      </c>
      <c r="AN184">
        <v>0</v>
      </c>
      <c r="AO184">
        <v>0</v>
      </c>
      <c r="AR184">
        <v>0</v>
      </c>
      <c r="AS184">
        <v>0</v>
      </c>
      <c r="AT184">
        <v>0</v>
      </c>
      <c r="AU184">
        <v>0</v>
      </c>
      <c r="AV184">
        <f t="shared" si="34"/>
        <v>0</v>
      </c>
      <c r="AW184">
        <f t="shared" si="35"/>
        <v>0</v>
      </c>
      <c r="AX184">
        <f t="shared" si="36"/>
        <v>0</v>
      </c>
      <c r="AY184">
        <f t="shared" si="37"/>
        <v>0</v>
      </c>
      <c r="AZ184">
        <f t="shared" si="38"/>
        <v>0</v>
      </c>
      <c r="BA184" t="str">
        <f t="shared" si="39"/>
        <v/>
      </c>
      <c r="BB184">
        <f t="shared" si="40"/>
        <v>1</v>
      </c>
      <c r="BC184">
        <f>MATCH($B184,clean_historis!$B:$B,0)</f>
        <v>184</v>
      </c>
      <c r="BD184">
        <f>IFERROR(INDEX(clean_historis!$AF:$AF,$BC184)/INDEX(clean_historis!$V:$V,$BC184),0)</f>
        <v>0</v>
      </c>
      <c r="BE184">
        <f>IFERROR(INDEX(clean_historis!$AR:$AR,$BC184)/INDEX(clean_historis!$AH:$AH,$BC184),0)</f>
        <v>0</v>
      </c>
      <c r="BF184">
        <f t="shared" si="41"/>
        <v>0</v>
      </c>
      <c r="BG184">
        <f>MAX(IF(INDEX(clean_historis!$CL:$CL,$BC184)=1,2025,0),IF(INDEX(clean_historis!$CK:$CK,$BC184)=1,2024,0),IF(INDEX(clean_historis!$CJ:$CJ,$BC184)=1,2023,0),IF(INDEX(clean_historis!$CI:$CI,$BC184)=1,2022,0),IF(INDEX(clean_historis!$CH:$CH,$BC184)=1,2021,0))</f>
        <v>0</v>
      </c>
      <c r="BH184">
        <f t="shared" si="42"/>
        <v>0</v>
      </c>
      <c r="BI184">
        <f t="shared" si="43"/>
        <v>0</v>
      </c>
      <c r="BJ184">
        <f t="shared" si="44"/>
        <v>0</v>
      </c>
      <c r="BK184">
        <f t="shared" si="45"/>
        <v>19.779599999999999</v>
      </c>
      <c r="BL184">
        <f t="shared" si="46"/>
        <v>0</v>
      </c>
      <c r="BM184">
        <f t="shared" si="47"/>
        <v>0</v>
      </c>
      <c r="BN184">
        <v>0</v>
      </c>
      <c r="BO184">
        <f t="shared" si="50"/>
        <v>1</v>
      </c>
      <c r="BP184">
        <f t="shared" si="48"/>
        <v>0</v>
      </c>
      <c r="BQ184">
        <f t="shared" si="49"/>
        <v>1</v>
      </c>
    </row>
    <row r="185" spans="1:69" x14ac:dyDescent="0.25">
      <c r="A185">
        <v>184</v>
      </c>
      <c r="B185" t="s">
        <v>820</v>
      </c>
      <c r="C185" t="s">
        <v>821</v>
      </c>
      <c r="D185" t="s">
        <v>822</v>
      </c>
      <c r="E185" t="s">
        <v>354</v>
      </c>
      <c r="F185" t="s">
        <v>176</v>
      </c>
      <c r="G185">
        <v>1</v>
      </c>
      <c r="H185">
        <v>1</v>
      </c>
      <c r="I185">
        <v>259</v>
      </c>
      <c r="J185">
        <v>0</v>
      </c>
      <c r="K185">
        <v>0</v>
      </c>
      <c r="L185">
        <v>5125.6000000000004</v>
      </c>
      <c r="M185">
        <v>5156.3</v>
      </c>
      <c r="N185">
        <v>12297.5</v>
      </c>
      <c r="O185">
        <v>431.3</v>
      </c>
      <c r="P185">
        <v>13969.3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0.71</v>
      </c>
      <c r="W185">
        <v>0</v>
      </c>
      <c r="X185">
        <v>0</v>
      </c>
      <c r="Y185">
        <v>0.70999997854232788</v>
      </c>
      <c r="Z185">
        <v>0</v>
      </c>
      <c r="AA185">
        <v>0</v>
      </c>
      <c r="AB185">
        <v>0.20000000298023221</v>
      </c>
      <c r="AC185">
        <v>0.50999999046325684</v>
      </c>
      <c r="AD185">
        <v>0</v>
      </c>
      <c r="AE185">
        <v>0.20000000298023221</v>
      </c>
      <c r="AF185">
        <v>0.50999999046325684</v>
      </c>
      <c r="AG185">
        <v>0.28169014764385458</v>
      </c>
      <c r="AH185">
        <v>0.71830985235614542</v>
      </c>
      <c r="AI185">
        <v>150</v>
      </c>
      <c r="AJ185">
        <v>0</v>
      </c>
      <c r="AK185">
        <v>0.20000000298023221</v>
      </c>
      <c r="AL185">
        <v>0.50999999046325684</v>
      </c>
      <c r="AM185">
        <v>0</v>
      </c>
      <c r="AN185">
        <v>0</v>
      </c>
      <c r="AO185">
        <v>0</v>
      </c>
      <c r="AR185">
        <v>0</v>
      </c>
      <c r="AS185">
        <v>0</v>
      </c>
      <c r="AT185">
        <v>0</v>
      </c>
      <c r="AU185">
        <v>0</v>
      </c>
      <c r="AV185">
        <f t="shared" si="34"/>
        <v>0</v>
      </c>
      <c r="AW185">
        <f t="shared" si="35"/>
        <v>0</v>
      </c>
      <c r="AX185">
        <f t="shared" si="36"/>
        <v>0</v>
      </c>
      <c r="AY185">
        <f t="shared" si="37"/>
        <v>0</v>
      </c>
      <c r="AZ185">
        <f t="shared" si="38"/>
        <v>0</v>
      </c>
      <c r="BA185" t="str">
        <f t="shared" si="39"/>
        <v/>
      </c>
      <c r="BB185">
        <f t="shared" si="40"/>
        <v>0.28169014764385458</v>
      </c>
      <c r="BC185">
        <f>MATCH($B185,clean_historis!$B:$B,0)</f>
        <v>185</v>
      </c>
      <c r="BD185">
        <f>IFERROR(INDEX(clean_historis!$AF:$AF,$BC185)/INDEX(clean_historis!$V:$V,$BC185),0)</f>
        <v>0</v>
      </c>
      <c r="BE185">
        <f>IFERROR(INDEX(clean_historis!$AR:$AR,$BC185)/INDEX(clean_historis!$AH:$AH,$BC185),0)</f>
        <v>0</v>
      </c>
      <c r="BF185">
        <f t="shared" si="41"/>
        <v>0</v>
      </c>
      <c r="BG185">
        <f>MAX(IF(INDEX(clean_historis!$CL:$CL,$BC185)=1,2025,0),IF(INDEX(clean_historis!$CK:$CK,$BC185)=1,2024,0),IF(INDEX(clean_historis!$CJ:$CJ,$BC185)=1,2023,0),IF(INDEX(clean_historis!$CI:$CI,$BC185)=1,2022,0),IF(INDEX(clean_historis!$CH:$CH,$BC185)=1,2021,0))</f>
        <v>0</v>
      </c>
      <c r="BH185">
        <f t="shared" si="42"/>
        <v>0.71830985235614542</v>
      </c>
      <c r="BI185">
        <f t="shared" si="43"/>
        <v>186.04225176024167</v>
      </c>
      <c r="BJ185">
        <f t="shared" si="44"/>
        <v>0</v>
      </c>
      <c r="BK185">
        <f t="shared" si="45"/>
        <v>36.548700000000004</v>
      </c>
      <c r="BL185">
        <f t="shared" si="46"/>
        <v>0</v>
      </c>
      <c r="BM185">
        <f t="shared" si="47"/>
        <v>0</v>
      </c>
      <c r="BN185">
        <v>0</v>
      </c>
      <c r="BO185">
        <f t="shared" si="50"/>
        <v>1</v>
      </c>
      <c r="BP185">
        <f t="shared" si="48"/>
        <v>0</v>
      </c>
      <c r="BQ185">
        <f t="shared" si="49"/>
        <v>1</v>
      </c>
    </row>
    <row r="186" spans="1:69" x14ac:dyDescent="0.25">
      <c r="A186">
        <v>185</v>
      </c>
      <c r="B186" t="s">
        <v>823</v>
      </c>
      <c r="C186" t="s">
        <v>824</v>
      </c>
      <c r="D186" t="s">
        <v>825</v>
      </c>
      <c r="E186" t="s">
        <v>826</v>
      </c>
      <c r="F186" t="s">
        <v>315</v>
      </c>
      <c r="G186">
        <v>2</v>
      </c>
      <c r="H186">
        <v>1</v>
      </c>
      <c r="I186">
        <v>1509</v>
      </c>
      <c r="J186">
        <v>1</v>
      </c>
      <c r="K186">
        <v>0</v>
      </c>
      <c r="O186">
        <v>2414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5.26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150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2021</v>
      </c>
      <c r="AQ186">
        <v>5</v>
      </c>
      <c r="AR186">
        <v>0</v>
      </c>
      <c r="AS186">
        <v>0</v>
      </c>
      <c r="AT186">
        <v>0</v>
      </c>
      <c r="AU186">
        <v>1</v>
      </c>
      <c r="AV186">
        <f t="shared" si="34"/>
        <v>-5.5511151231257827E-16</v>
      </c>
      <c r="AW186">
        <f t="shared" si="35"/>
        <v>-0.99999999999999944</v>
      </c>
      <c r="AX186">
        <f t="shared" si="36"/>
        <v>0</v>
      </c>
      <c r="AY186">
        <f t="shared" si="37"/>
        <v>4</v>
      </c>
      <c r="AZ186">
        <f t="shared" si="38"/>
        <v>0</v>
      </c>
      <c r="BA186">
        <f t="shared" si="39"/>
        <v>4</v>
      </c>
      <c r="BB186">
        <f t="shared" si="40"/>
        <v>0</v>
      </c>
      <c r="BC186">
        <f>MATCH($B186,clean_historis!$B:$B,0)</f>
        <v>186</v>
      </c>
      <c r="BD186">
        <f>IFERROR(INDEX(clean_historis!$AF:$AF,$BC186)/INDEX(clean_historis!$V:$V,$BC186),0)</f>
        <v>1</v>
      </c>
      <c r="BE186">
        <f>IFERROR(INDEX(clean_historis!$AR:$AR,$BC186)/INDEX(clean_historis!$AH:$AH,$BC186),0)</f>
        <v>0.99999999999999944</v>
      </c>
      <c r="BF186">
        <f t="shared" si="41"/>
        <v>0</v>
      </c>
      <c r="BG186">
        <f>MAX(IF(INDEX(clean_historis!$CL:$CL,$BC186)=1,2025,0),IF(INDEX(clean_historis!$CK:$CK,$BC186)=1,2024,0),IF(INDEX(clean_historis!$CJ:$CJ,$BC186)=1,2023,0),IF(INDEX(clean_historis!$CI:$CI,$BC186)=1,2022,0),IF(INDEX(clean_historis!$CH:$CH,$BC186)=1,2021,0))</f>
        <v>2021</v>
      </c>
      <c r="BH186">
        <f t="shared" si="42"/>
        <v>1</v>
      </c>
      <c r="BI186">
        <f t="shared" si="43"/>
        <v>1509</v>
      </c>
      <c r="BJ186">
        <f t="shared" si="44"/>
        <v>0</v>
      </c>
      <c r="BK186">
        <f t="shared" si="45"/>
        <v>0</v>
      </c>
      <c r="BL186">
        <f t="shared" si="46"/>
        <v>0</v>
      </c>
      <c r="BM186">
        <f t="shared" si="47"/>
        <v>0</v>
      </c>
      <c r="BN186">
        <v>0</v>
      </c>
      <c r="BO186">
        <f t="shared" si="50"/>
        <v>0</v>
      </c>
      <c r="BP186">
        <f t="shared" si="48"/>
        <v>1</v>
      </c>
      <c r="BQ186">
        <f t="shared" si="49"/>
        <v>1</v>
      </c>
    </row>
    <row r="187" spans="1:69" x14ac:dyDescent="0.25">
      <c r="A187">
        <v>186</v>
      </c>
      <c r="B187" t="s">
        <v>827</v>
      </c>
      <c r="C187" t="s">
        <v>828</v>
      </c>
      <c r="D187" t="s">
        <v>829</v>
      </c>
      <c r="E187" t="s">
        <v>830</v>
      </c>
      <c r="F187" t="s">
        <v>315</v>
      </c>
      <c r="G187">
        <v>2</v>
      </c>
      <c r="H187">
        <v>1</v>
      </c>
      <c r="I187">
        <v>702</v>
      </c>
      <c r="J187">
        <v>1</v>
      </c>
      <c r="K187">
        <v>0</v>
      </c>
      <c r="O187">
        <v>8055.3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17.11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150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2024</v>
      </c>
      <c r="AQ187">
        <v>2</v>
      </c>
      <c r="AR187">
        <v>0</v>
      </c>
      <c r="AS187">
        <v>0</v>
      </c>
      <c r="AT187">
        <v>0</v>
      </c>
      <c r="AU187">
        <v>1</v>
      </c>
      <c r="AV187">
        <f t="shared" si="34"/>
        <v>-1.6653345369377348E-15</v>
      </c>
      <c r="AW187">
        <f t="shared" si="35"/>
        <v>-0.99999999999999833</v>
      </c>
      <c r="AX187">
        <f t="shared" si="36"/>
        <v>0</v>
      </c>
      <c r="AY187">
        <f t="shared" si="37"/>
        <v>4</v>
      </c>
      <c r="AZ187">
        <f t="shared" si="38"/>
        <v>0</v>
      </c>
      <c r="BA187">
        <f t="shared" si="39"/>
        <v>1</v>
      </c>
      <c r="BB187">
        <f t="shared" si="40"/>
        <v>0</v>
      </c>
      <c r="BC187">
        <f>MATCH($B187,clean_historis!$B:$B,0)</f>
        <v>187</v>
      </c>
      <c r="BD187">
        <f>IFERROR(INDEX(clean_historis!$AF:$AF,$BC187)/INDEX(clean_historis!$V:$V,$BC187),0)</f>
        <v>1</v>
      </c>
      <c r="BE187">
        <f>IFERROR(INDEX(clean_historis!$AR:$AR,$BC187)/INDEX(clean_historis!$AH:$AH,$BC187),0)</f>
        <v>0.99999999999999833</v>
      </c>
      <c r="BF187">
        <f t="shared" si="41"/>
        <v>0</v>
      </c>
      <c r="BG187">
        <f>MAX(IF(INDEX(clean_historis!$CL:$CL,$BC187)=1,2025,0),IF(INDEX(clean_historis!$CK:$CK,$BC187)=1,2024,0),IF(INDEX(clean_historis!$CJ:$CJ,$BC187)=1,2023,0),IF(INDEX(clean_historis!$CI:$CI,$BC187)=1,2022,0),IF(INDEX(clean_historis!$CH:$CH,$BC187)=1,2021,0))</f>
        <v>2024</v>
      </c>
      <c r="BH187">
        <f t="shared" si="42"/>
        <v>1</v>
      </c>
      <c r="BI187">
        <f t="shared" si="43"/>
        <v>702</v>
      </c>
      <c r="BJ187">
        <f t="shared" si="44"/>
        <v>0</v>
      </c>
      <c r="BK187">
        <f t="shared" si="45"/>
        <v>0</v>
      </c>
      <c r="BL187">
        <f t="shared" si="46"/>
        <v>0</v>
      </c>
      <c r="BM187">
        <f t="shared" si="47"/>
        <v>0</v>
      </c>
      <c r="BN187">
        <v>0</v>
      </c>
      <c r="BO187">
        <f t="shared" si="50"/>
        <v>0</v>
      </c>
      <c r="BP187">
        <f t="shared" si="48"/>
        <v>1</v>
      </c>
      <c r="BQ187">
        <f t="shared" si="49"/>
        <v>1</v>
      </c>
    </row>
    <row r="188" spans="1:69" x14ac:dyDescent="0.25">
      <c r="A188">
        <v>187</v>
      </c>
      <c r="B188" t="s">
        <v>831</v>
      </c>
      <c r="C188" t="s">
        <v>832</v>
      </c>
      <c r="D188" t="s">
        <v>833</v>
      </c>
      <c r="E188" t="s">
        <v>834</v>
      </c>
      <c r="F188" t="s">
        <v>100</v>
      </c>
      <c r="G188">
        <v>2</v>
      </c>
      <c r="H188">
        <v>1</v>
      </c>
      <c r="I188">
        <v>5063</v>
      </c>
      <c r="J188">
        <v>0</v>
      </c>
      <c r="K188">
        <v>1</v>
      </c>
      <c r="L188">
        <v>868.8</v>
      </c>
      <c r="M188">
        <v>979.1</v>
      </c>
      <c r="N188">
        <v>2413.4</v>
      </c>
      <c r="O188">
        <v>126.3</v>
      </c>
      <c r="P188">
        <v>28513.599999999999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0.32</v>
      </c>
      <c r="W188">
        <v>0</v>
      </c>
      <c r="X188">
        <v>0</v>
      </c>
      <c r="Y188">
        <v>0.31999999284744263</v>
      </c>
      <c r="Z188">
        <v>0</v>
      </c>
      <c r="AA188">
        <v>0.10000000149011611</v>
      </c>
      <c r="AB188">
        <v>0.2199999988079071</v>
      </c>
      <c r="AC188">
        <v>0</v>
      </c>
      <c r="AD188">
        <v>0</v>
      </c>
      <c r="AE188">
        <v>0.32000000029802322</v>
      </c>
      <c r="AF188">
        <v>0</v>
      </c>
      <c r="AG188">
        <v>1</v>
      </c>
      <c r="AH188">
        <v>0</v>
      </c>
      <c r="AI188">
        <v>150</v>
      </c>
      <c r="AJ188">
        <v>0.10000000149011611</v>
      </c>
      <c r="AK188">
        <v>0.2199999988079071</v>
      </c>
      <c r="AL188">
        <v>0</v>
      </c>
      <c r="AM188">
        <v>0</v>
      </c>
      <c r="AN188">
        <v>0</v>
      </c>
      <c r="AO188">
        <v>0</v>
      </c>
      <c r="AR188">
        <v>0</v>
      </c>
      <c r="AS188">
        <v>0</v>
      </c>
      <c r="AT188">
        <v>0</v>
      </c>
      <c r="AU188">
        <v>0</v>
      </c>
      <c r="AV188">
        <f t="shared" si="34"/>
        <v>0</v>
      </c>
      <c r="AW188">
        <f t="shared" si="35"/>
        <v>0</v>
      </c>
      <c r="AX188">
        <f t="shared" si="36"/>
        <v>0</v>
      </c>
      <c r="AY188">
        <f t="shared" si="37"/>
        <v>0</v>
      </c>
      <c r="AZ188">
        <f t="shared" si="38"/>
        <v>0</v>
      </c>
      <c r="BA188" t="str">
        <f t="shared" si="39"/>
        <v/>
      </c>
      <c r="BB188">
        <f t="shared" si="40"/>
        <v>1</v>
      </c>
      <c r="BC188">
        <f>MATCH($B188,clean_historis!$B:$B,0)</f>
        <v>188</v>
      </c>
      <c r="BD188">
        <f>IFERROR(INDEX(clean_historis!$AF:$AF,$BC188)/INDEX(clean_historis!$V:$V,$BC188),0)</f>
        <v>0</v>
      </c>
      <c r="BE188">
        <f>IFERROR(INDEX(clean_historis!$AR:$AR,$BC188)/INDEX(clean_historis!$AH:$AH,$BC188),0)</f>
        <v>0</v>
      </c>
      <c r="BF188">
        <f t="shared" si="41"/>
        <v>0</v>
      </c>
      <c r="BG188">
        <f>MAX(IF(INDEX(clean_historis!$CL:$CL,$BC188)=1,2025,0),IF(INDEX(clean_historis!$CK:$CK,$BC188)=1,2024,0),IF(INDEX(clean_historis!$CJ:$CJ,$BC188)=1,2023,0),IF(INDEX(clean_historis!$CI:$CI,$BC188)=1,2022,0),IF(INDEX(clean_historis!$CH:$CH,$BC188)=1,2021,0))</f>
        <v>0</v>
      </c>
      <c r="BH188">
        <f t="shared" si="42"/>
        <v>0</v>
      </c>
      <c r="BI188">
        <f t="shared" si="43"/>
        <v>0</v>
      </c>
      <c r="BJ188">
        <f t="shared" si="44"/>
        <v>1</v>
      </c>
      <c r="BK188">
        <f t="shared" si="45"/>
        <v>32.774900000000002</v>
      </c>
      <c r="BL188">
        <f t="shared" si="46"/>
        <v>0</v>
      </c>
      <c r="BM188">
        <f t="shared" si="47"/>
        <v>0</v>
      </c>
      <c r="BN188">
        <v>0</v>
      </c>
      <c r="BO188">
        <f t="shared" si="50"/>
        <v>1</v>
      </c>
      <c r="BP188">
        <f t="shared" si="48"/>
        <v>0</v>
      </c>
      <c r="BQ188">
        <f t="shared" si="49"/>
        <v>1</v>
      </c>
    </row>
    <row r="189" spans="1:69" x14ac:dyDescent="0.25">
      <c r="A189">
        <v>188</v>
      </c>
      <c r="B189" t="s">
        <v>835</v>
      </c>
      <c r="C189" t="s">
        <v>836</v>
      </c>
      <c r="D189" t="s">
        <v>837</v>
      </c>
      <c r="E189" t="s">
        <v>624</v>
      </c>
      <c r="F189" t="s">
        <v>315</v>
      </c>
      <c r="G189">
        <v>1</v>
      </c>
      <c r="H189">
        <v>1</v>
      </c>
      <c r="I189">
        <v>923</v>
      </c>
      <c r="J189">
        <v>0</v>
      </c>
      <c r="K189">
        <v>0</v>
      </c>
      <c r="L189">
        <v>747.7</v>
      </c>
      <c r="M189">
        <v>826.7</v>
      </c>
      <c r="N189">
        <v>1900.4</v>
      </c>
      <c r="O189">
        <v>218.6</v>
      </c>
      <c r="P189">
        <v>550.5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0.41</v>
      </c>
      <c r="W189">
        <v>0</v>
      </c>
      <c r="X189">
        <v>0</v>
      </c>
      <c r="Y189">
        <v>0.40999999642372131</v>
      </c>
      <c r="Z189">
        <v>0</v>
      </c>
      <c r="AA189">
        <v>0.40999999642372131</v>
      </c>
      <c r="AB189">
        <v>0</v>
      </c>
      <c r="AC189">
        <v>0</v>
      </c>
      <c r="AD189">
        <v>0</v>
      </c>
      <c r="AE189">
        <v>0.40999999642372131</v>
      </c>
      <c r="AF189">
        <v>0</v>
      </c>
      <c r="AG189">
        <v>1</v>
      </c>
      <c r="AH189">
        <v>0</v>
      </c>
      <c r="AI189">
        <v>150</v>
      </c>
      <c r="AJ189">
        <v>0.40999999642372131</v>
      </c>
      <c r="AK189">
        <v>0</v>
      </c>
      <c r="AL189">
        <v>0</v>
      </c>
      <c r="AM189">
        <v>0</v>
      </c>
      <c r="AN189">
        <v>0</v>
      </c>
      <c r="AO189">
        <v>0</v>
      </c>
      <c r="AR189">
        <v>0</v>
      </c>
      <c r="AS189">
        <v>0</v>
      </c>
      <c r="AT189">
        <v>0</v>
      </c>
      <c r="AU189">
        <v>0</v>
      </c>
      <c r="AV189">
        <f t="shared" si="34"/>
        <v>0</v>
      </c>
      <c r="AW189">
        <f t="shared" si="35"/>
        <v>0</v>
      </c>
      <c r="AX189">
        <f t="shared" si="36"/>
        <v>0</v>
      </c>
      <c r="AY189">
        <f t="shared" si="37"/>
        <v>0</v>
      </c>
      <c r="AZ189">
        <f t="shared" si="38"/>
        <v>0</v>
      </c>
      <c r="BA189" t="str">
        <f t="shared" si="39"/>
        <v/>
      </c>
      <c r="BB189">
        <f t="shared" si="40"/>
        <v>1</v>
      </c>
      <c r="BC189">
        <f>MATCH($B189,clean_historis!$B:$B,0)</f>
        <v>189</v>
      </c>
      <c r="BD189">
        <f>IFERROR(INDEX(clean_historis!$AF:$AF,$BC189)/INDEX(clean_historis!$V:$V,$BC189),0)</f>
        <v>0</v>
      </c>
      <c r="BE189">
        <f>IFERROR(INDEX(clean_historis!$AR:$AR,$BC189)/INDEX(clean_historis!$AH:$AH,$BC189),0)</f>
        <v>0</v>
      </c>
      <c r="BF189">
        <f t="shared" si="41"/>
        <v>0</v>
      </c>
      <c r="BG189">
        <f>MAX(IF(INDEX(clean_historis!$CL:$CL,$BC189)=1,2025,0),IF(INDEX(clean_historis!$CK:$CK,$BC189)=1,2024,0),IF(INDEX(clean_historis!$CJ:$CJ,$BC189)=1,2023,0),IF(INDEX(clean_historis!$CI:$CI,$BC189)=1,2022,0),IF(INDEX(clean_historis!$CH:$CH,$BC189)=1,2021,0))</f>
        <v>0</v>
      </c>
      <c r="BH189">
        <f t="shared" si="42"/>
        <v>0</v>
      </c>
      <c r="BI189">
        <f t="shared" si="43"/>
        <v>0</v>
      </c>
      <c r="BJ189">
        <f t="shared" si="44"/>
        <v>1</v>
      </c>
      <c r="BK189">
        <f t="shared" si="45"/>
        <v>4.0253000000000005</v>
      </c>
      <c r="BL189">
        <f t="shared" si="46"/>
        <v>0</v>
      </c>
      <c r="BM189">
        <f t="shared" si="47"/>
        <v>0</v>
      </c>
      <c r="BN189">
        <v>0</v>
      </c>
      <c r="BO189">
        <f t="shared" si="50"/>
        <v>1</v>
      </c>
      <c r="BP189">
        <f t="shared" si="48"/>
        <v>0</v>
      </c>
      <c r="BQ189">
        <f t="shared" si="49"/>
        <v>1</v>
      </c>
    </row>
    <row r="190" spans="1:69" x14ac:dyDescent="0.25">
      <c r="A190">
        <v>189</v>
      </c>
      <c r="B190" t="s">
        <v>838</v>
      </c>
      <c r="C190" t="s">
        <v>839</v>
      </c>
      <c r="D190" t="s">
        <v>840</v>
      </c>
      <c r="E190" t="s">
        <v>841</v>
      </c>
      <c r="F190" t="s">
        <v>315</v>
      </c>
      <c r="G190">
        <v>2</v>
      </c>
      <c r="H190">
        <v>1</v>
      </c>
      <c r="I190">
        <v>1550</v>
      </c>
      <c r="J190">
        <v>1</v>
      </c>
      <c r="K190">
        <v>0</v>
      </c>
      <c r="L190">
        <v>0</v>
      </c>
      <c r="M190">
        <v>635.29999999999995</v>
      </c>
      <c r="N190">
        <v>1218.9000000000001</v>
      </c>
      <c r="O190">
        <v>374</v>
      </c>
      <c r="P190">
        <v>27832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0.53</v>
      </c>
      <c r="W190">
        <v>0</v>
      </c>
      <c r="X190">
        <v>0</v>
      </c>
      <c r="Y190">
        <v>0.52999997138977051</v>
      </c>
      <c r="Z190">
        <v>0</v>
      </c>
      <c r="AA190">
        <v>0.12999999523162839</v>
      </c>
      <c r="AB190">
        <v>0.30000001192092901</v>
      </c>
      <c r="AC190">
        <v>0.10000000149011611</v>
      </c>
      <c r="AD190">
        <v>0</v>
      </c>
      <c r="AE190">
        <v>0.43000000715255737</v>
      </c>
      <c r="AF190">
        <v>0.10000000149011611</v>
      </c>
      <c r="AG190">
        <v>0.81132075498222078</v>
      </c>
      <c r="AH190">
        <v>0.1886792450177793</v>
      </c>
      <c r="AI190">
        <v>150</v>
      </c>
      <c r="AJ190">
        <v>0.12999999523162839</v>
      </c>
      <c r="AK190">
        <v>0.30000001192092901</v>
      </c>
      <c r="AL190">
        <v>0.10000000149011611</v>
      </c>
      <c r="AM190">
        <v>0</v>
      </c>
      <c r="AN190">
        <v>0</v>
      </c>
      <c r="AO190">
        <v>0</v>
      </c>
      <c r="AR190">
        <v>0</v>
      </c>
      <c r="AS190">
        <v>0</v>
      </c>
      <c r="AT190">
        <v>0</v>
      </c>
      <c r="AU190">
        <v>0</v>
      </c>
      <c r="AV190">
        <f t="shared" si="34"/>
        <v>0</v>
      </c>
      <c r="AW190">
        <f t="shared" si="35"/>
        <v>0</v>
      </c>
      <c r="AX190">
        <f t="shared" si="36"/>
        <v>0</v>
      </c>
      <c r="AY190">
        <f t="shared" si="37"/>
        <v>0</v>
      </c>
      <c r="AZ190">
        <f t="shared" si="38"/>
        <v>0</v>
      </c>
      <c r="BA190" t="str">
        <f t="shared" si="39"/>
        <v/>
      </c>
      <c r="BB190">
        <f t="shared" si="40"/>
        <v>0.81132075498222078</v>
      </c>
      <c r="BC190">
        <f>MATCH($B190,clean_historis!$B:$B,0)</f>
        <v>190</v>
      </c>
      <c r="BD190">
        <f>IFERROR(INDEX(clean_historis!$AF:$AF,$BC190)/INDEX(clean_historis!$V:$V,$BC190),0)</f>
        <v>0</v>
      </c>
      <c r="BE190">
        <f>IFERROR(INDEX(clean_historis!$AR:$AR,$BC190)/INDEX(clean_historis!$AH:$AH,$BC190),0)</f>
        <v>0</v>
      </c>
      <c r="BF190">
        <f t="shared" si="41"/>
        <v>0</v>
      </c>
      <c r="BG190">
        <f>MAX(IF(INDEX(clean_historis!$CL:$CL,$BC190)=1,2025,0),IF(INDEX(clean_historis!$CK:$CK,$BC190)=1,2024,0),IF(INDEX(clean_historis!$CJ:$CJ,$BC190)=1,2023,0),IF(INDEX(clean_historis!$CI:$CI,$BC190)=1,2022,0),IF(INDEX(clean_historis!$CH:$CH,$BC190)=1,2021,0))</f>
        <v>0</v>
      </c>
      <c r="BH190">
        <f t="shared" si="42"/>
        <v>0.18867924501777922</v>
      </c>
      <c r="BI190">
        <f t="shared" si="43"/>
        <v>292.45282977755778</v>
      </c>
      <c r="BJ190">
        <f t="shared" si="44"/>
        <v>1</v>
      </c>
      <c r="BK190">
        <f t="shared" si="45"/>
        <v>29.686199999999999</v>
      </c>
      <c r="BL190">
        <f t="shared" si="46"/>
        <v>0</v>
      </c>
      <c r="BM190">
        <f t="shared" si="47"/>
        <v>0</v>
      </c>
      <c r="BN190">
        <v>0</v>
      </c>
      <c r="BO190">
        <f t="shared" si="50"/>
        <v>1</v>
      </c>
      <c r="BP190">
        <f t="shared" si="48"/>
        <v>0</v>
      </c>
      <c r="BQ190">
        <f t="shared" si="49"/>
        <v>1</v>
      </c>
    </row>
    <row r="191" spans="1:69" x14ac:dyDescent="0.25">
      <c r="A191">
        <v>190</v>
      </c>
      <c r="B191" t="s">
        <v>842</v>
      </c>
      <c r="C191" t="s">
        <v>843</v>
      </c>
      <c r="D191" t="s">
        <v>844</v>
      </c>
      <c r="E191" t="s">
        <v>401</v>
      </c>
      <c r="F191" t="s">
        <v>100</v>
      </c>
      <c r="G191">
        <v>1</v>
      </c>
      <c r="H191">
        <v>1</v>
      </c>
      <c r="I191">
        <v>775</v>
      </c>
      <c r="J191">
        <v>0</v>
      </c>
      <c r="K191">
        <v>1</v>
      </c>
      <c r="L191">
        <v>3005.6</v>
      </c>
      <c r="M191">
        <v>1468.3</v>
      </c>
      <c r="N191">
        <v>4799.3</v>
      </c>
      <c r="O191">
        <v>181.9</v>
      </c>
      <c r="P191">
        <v>2936.4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0.28999999999999998</v>
      </c>
      <c r="W191">
        <v>0</v>
      </c>
      <c r="X191">
        <v>0</v>
      </c>
      <c r="Y191">
        <v>0.28999999165534968</v>
      </c>
      <c r="Z191">
        <v>0</v>
      </c>
      <c r="AA191">
        <v>0.28999999165534968</v>
      </c>
      <c r="AB191">
        <v>0</v>
      </c>
      <c r="AC191">
        <v>0</v>
      </c>
      <c r="AD191">
        <v>0</v>
      </c>
      <c r="AE191">
        <v>0.28999999165534968</v>
      </c>
      <c r="AF191">
        <v>0</v>
      </c>
      <c r="AG191">
        <v>1</v>
      </c>
      <c r="AH191">
        <v>0</v>
      </c>
      <c r="AI191">
        <v>150</v>
      </c>
      <c r="AJ191">
        <v>0.28999999165534968</v>
      </c>
      <c r="AK191">
        <v>0</v>
      </c>
      <c r="AL191">
        <v>0</v>
      </c>
      <c r="AM191">
        <v>0</v>
      </c>
      <c r="AN191">
        <v>0</v>
      </c>
      <c r="AO191">
        <v>0</v>
      </c>
      <c r="AR191">
        <v>0</v>
      </c>
      <c r="AS191">
        <v>0</v>
      </c>
      <c r="AT191">
        <v>0</v>
      </c>
      <c r="AU191">
        <v>0</v>
      </c>
      <c r="AV191">
        <f t="shared" si="34"/>
        <v>0</v>
      </c>
      <c r="AW191">
        <f t="shared" si="35"/>
        <v>0</v>
      </c>
      <c r="AX191">
        <f t="shared" si="36"/>
        <v>0</v>
      </c>
      <c r="AY191">
        <f t="shared" si="37"/>
        <v>0</v>
      </c>
      <c r="AZ191">
        <f t="shared" si="38"/>
        <v>0</v>
      </c>
      <c r="BA191" t="str">
        <f t="shared" si="39"/>
        <v/>
      </c>
      <c r="BB191">
        <f t="shared" si="40"/>
        <v>1</v>
      </c>
      <c r="BC191">
        <f>MATCH($B191,clean_historis!$B:$B,0)</f>
        <v>191</v>
      </c>
      <c r="BD191">
        <f>IFERROR(INDEX(clean_historis!$AF:$AF,$BC191)/INDEX(clean_historis!$V:$V,$BC191),0)</f>
        <v>0</v>
      </c>
      <c r="BE191">
        <f>IFERROR(INDEX(clean_historis!$AR:$AR,$BC191)/INDEX(clean_historis!$AH:$AH,$BC191),0)</f>
        <v>0</v>
      </c>
      <c r="BF191">
        <f t="shared" si="41"/>
        <v>0</v>
      </c>
      <c r="BG191">
        <f>MAX(IF(INDEX(clean_historis!$CL:$CL,$BC191)=1,2025,0),IF(INDEX(clean_historis!$CK:$CK,$BC191)=1,2024,0),IF(INDEX(clean_historis!$CJ:$CJ,$BC191)=1,2023,0),IF(INDEX(clean_historis!$CI:$CI,$BC191)=1,2022,0),IF(INDEX(clean_historis!$CH:$CH,$BC191)=1,2021,0))</f>
        <v>0</v>
      </c>
      <c r="BH191">
        <f t="shared" si="42"/>
        <v>0</v>
      </c>
      <c r="BI191">
        <f t="shared" si="43"/>
        <v>0</v>
      </c>
      <c r="BJ191">
        <f t="shared" si="44"/>
        <v>1</v>
      </c>
      <c r="BK191">
        <f t="shared" si="45"/>
        <v>12.209599999999998</v>
      </c>
      <c r="BL191">
        <f t="shared" si="46"/>
        <v>0</v>
      </c>
      <c r="BM191">
        <f t="shared" si="47"/>
        <v>0</v>
      </c>
      <c r="BN191">
        <v>0</v>
      </c>
      <c r="BO191">
        <f t="shared" si="50"/>
        <v>1</v>
      </c>
      <c r="BP191">
        <f t="shared" si="48"/>
        <v>0</v>
      </c>
      <c r="BQ191">
        <f t="shared" si="49"/>
        <v>1</v>
      </c>
    </row>
    <row r="192" spans="1:69" x14ac:dyDescent="0.25">
      <c r="A192">
        <v>191</v>
      </c>
      <c r="B192" t="s">
        <v>845</v>
      </c>
      <c r="C192" t="s">
        <v>846</v>
      </c>
      <c r="D192" t="s">
        <v>847</v>
      </c>
      <c r="E192" t="s">
        <v>339</v>
      </c>
      <c r="F192" t="s">
        <v>310</v>
      </c>
      <c r="G192">
        <v>1</v>
      </c>
      <c r="H192">
        <v>1</v>
      </c>
      <c r="I192">
        <v>303</v>
      </c>
      <c r="J192">
        <v>0</v>
      </c>
      <c r="K192">
        <v>1</v>
      </c>
      <c r="L192">
        <v>13549.6</v>
      </c>
      <c r="M192">
        <v>9506.7999999999993</v>
      </c>
      <c r="N192">
        <v>15760</v>
      </c>
      <c r="O192">
        <v>3510.6</v>
      </c>
      <c r="P192">
        <v>15662.3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2.06</v>
      </c>
      <c r="W192">
        <v>0</v>
      </c>
      <c r="X192">
        <v>0</v>
      </c>
      <c r="Y192">
        <v>0.56000000238418579</v>
      </c>
      <c r="Z192">
        <v>0</v>
      </c>
      <c r="AA192">
        <v>0.56000000238418579</v>
      </c>
      <c r="AB192">
        <v>0</v>
      </c>
      <c r="AC192">
        <v>0</v>
      </c>
      <c r="AD192">
        <v>0</v>
      </c>
      <c r="AE192">
        <v>0.56000000238418579</v>
      </c>
      <c r="AF192">
        <v>0</v>
      </c>
      <c r="AG192">
        <v>1</v>
      </c>
      <c r="AH192">
        <v>0</v>
      </c>
      <c r="AI192">
        <v>150</v>
      </c>
      <c r="AJ192">
        <v>0.56000000238418579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2025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f t="shared" si="34"/>
        <v>0</v>
      </c>
      <c r="AW192">
        <f t="shared" si="35"/>
        <v>-7.7669902912621352E-2</v>
      </c>
      <c r="AX192">
        <f t="shared" si="36"/>
        <v>0</v>
      </c>
      <c r="AY192">
        <f t="shared" si="37"/>
        <v>0</v>
      </c>
      <c r="AZ192">
        <f t="shared" si="38"/>
        <v>0</v>
      </c>
      <c r="BA192">
        <f t="shared" si="39"/>
        <v>0</v>
      </c>
      <c r="BB192">
        <f t="shared" si="40"/>
        <v>1</v>
      </c>
      <c r="BC192">
        <f>MATCH($B192,clean_historis!$B:$B,0)</f>
        <v>192</v>
      </c>
      <c r="BD192">
        <f>IFERROR(INDEX(clean_historis!$AF:$AF,$BC192)/INDEX(clean_historis!$V:$V,$BC192),0)</f>
        <v>7.7669902912621352E-2</v>
      </c>
      <c r="BE192">
        <f>IFERROR(INDEX(clean_historis!$AR:$AR,$BC192)/INDEX(clean_historis!$AH:$AH,$BC192),0)</f>
        <v>7.7669902912621352E-2</v>
      </c>
      <c r="BF192">
        <f t="shared" si="41"/>
        <v>0</v>
      </c>
      <c r="BG192">
        <f>MAX(IF(INDEX(clean_historis!$CL:$CL,$BC192)=1,2025,0),IF(INDEX(clean_historis!$CK:$CK,$BC192)=1,2024,0),IF(INDEX(clean_historis!$CJ:$CJ,$BC192)=1,2023,0),IF(INDEX(clean_historis!$CI:$CI,$BC192)=1,2022,0),IF(INDEX(clean_historis!$CH:$CH,$BC192)=1,2021,0))</f>
        <v>2025</v>
      </c>
      <c r="BH192">
        <f t="shared" si="42"/>
        <v>0</v>
      </c>
      <c r="BI192">
        <f t="shared" si="43"/>
        <v>0</v>
      </c>
      <c r="BJ192">
        <f t="shared" si="44"/>
        <v>0</v>
      </c>
      <c r="BK192">
        <f t="shared" si="45"/>
        <v>54.478699999999996</v>
      </c>
      <c r="BL192">
        <f t="shared" si="46"/>
        <v>0</v>
      </c>
      <c r="BM192">
        <f t="shared" si="47"/>
        <v>0</v>
      </c>
      <c r="BN192">
        <v>0</v>
      </c>
      <c r="BO192">
        <f t="shared" si="50"/>
        <v>0</v>
      </c>
      <c r="BP192">
        <f t="shared" si="48"/>
        <v>1</v>
      </c>
      <c r="BQ192">
        <f t="shared" si="49"/>
        <v>0</v>
      </c>
    </row>
    <row r="193" spans="1:69" x14ac:dyDescent="0.25">
      <c r="A193">
        <v>192</v>
      </c>
      <c r="B193" t="s">
        <v>848</v>
      </c>
      <c r="C193" t="s">
        <v>849</v>
      </c>
      <c r="D193" t="s">
        <v>850</v>
      </c>
      <c r="E193" t="s">
        <v>851</v>
      </c>
      <c r="F193" t="s">
        <v>100</v>
      </c>
      <c r="G193">
        <v>2</v>
      </c>
      <c r="H193">
        <v>1</v>
      </c>
      <c r="I193">
        <v>5039</v>
      </c>
      <c r="J193">
        <v>0</v>
      </c>
      <c r="K193">
        <v>0</v>
      </c>
      <c r="L193">
        <v>1650.5</v>
      </c>
      <c r="M193">
        <v>975.7</v>
      </c>
      <c r="N193">
        <v>2943.6</v>
      </c>
      <c r="O193">
        <v>503.6</v>
      </c>
      <c r="P193">
        <v>1781.7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0.41</v>
      </c>
      <c r="W193">
        <v>0</v>
      </c>
      <c r="X193">
        <v>0</v>
      </c>
      <c r="Y193">
        <v>0.40999999642372131</v>
      </c>
      <c r="Z193">
        <v>0</v>
      </c>
      <c r="AA193">
        <v>0</v>
      </c>
      <c r="AB193">
        <v>0.40999999642372131</v>
      </c>
      <c r="AC193">
        <v>0</v>
      </c>
      <c r="AD193">
        <v>0</v>
      </c>
      <c r="AE193">
        <v>0.40999999642372131</v>
      </c>
      <c r="AF193">
        <v>0</v>
      </c>
      <c r="AG193">
        <v>1</v>
      </c>
      <c r="AH193">
        <v>0</v>
      </c>
      <c r="AI193">
        <v>150</v>
      </c>
      <c r="AJ193">
        <v>0</v>
      </c>
      <c r="AK193">
        <v>0.40999999642372131</v>
      </c>
      <c r="AL193">
        <v>0</v>
      </c>
      <c r="AM193">
        <v>0</v>
      </c>
      <c r="AN193">
        <v>0</v>
      </c>
      <c r="AO193">
        <v>0</v>
      </c>
      <c r="AR193">
        <v>0</v>
      </c>
      <c r="AS193">
        <v>0</v>
      </c>
      <c r="AT193">
        <v>0</v>
      </c>
      <c r="AU193">
        <v>0</v>
      </c>
      <c r="AV193">
        <f t="shared" si="34"/>
        <v>0</v>
      </c>
      <c r="AW193">
        <f t="shared" si="35"/>
        <v>0</v>
      </c>
      <c r="AX193">
        <f t="shared" si="36"/>
        <v>0</v>
      </c>
      <c r="AY193">
        <f t="shared" si="37"/>
        <v>0</v>
      </c>
      <c r="AZ193">
        <f t="shared" si="38"/>
        <v>0</v>
      </c>
      <c r="BA193" t="str">
        <f t="shared" si="39"/>
        <v/>
      </c>
      <c r="BB193">
        <f t="shared" si="40"/>
        <v>1</v>
      </c>
      <c r="BC193">
        <f>MATCH($B193,clean_historis!$B:$B,0)</f>
        <v>193</v>
      </c>
      <c r="BD193">
        <f>IFERROR(INDEX(clean_historis!$AF:$AF,$BC193)/INDEX(clean_historis!$V:$V,$BC193),0)</f>
        <v>0</v>
      </c>
      <c r="BE193">
        <f>IFERROR(INDEX(clean_historis!$AR:$AR,$BC193)/INDEX(clean_historis!$AH:$AH,$BC193),0)</f>
        <v>0</v>
      </c>
      <c r="BF193">
        <f t="shared" si="41"/>
        <v>0</v>
      </c>
      <c r="BG193">
        <f>MAX(IF(INDEX(clean_historis!$CL:$CL,$BC193)=1,2025,0),IF(INDEX(clean_historis!$CK:$CK,$BC193)=1,2024,0),IF(INDEX(clean_historis!$CJ:$CJ,$BC193)=1,2023,0),IF(INDEX(clean_historis!$CI:$CI,$BC193)=1,2022,0),IF(INDEX(clean_historis!$CH:$CH,$BC193)=1,2021,0))</f>
        <v>0</v>
      </c>
      <c r="BH193">
        <f t="shared" si="42"/>
        <v>0</v>
      </c>
      <c r="BI193">
        <f t="shared" si="43"/>
        <v>0</v>
      </c>
      <c r="BJ193">
        <f t="shared" si="44"/>
        <v>1</v>
      </c>
      <c r="BK193">
        <f t="shared" si="45"/>
        <v>7.3514999999999988</v>
      </c>
      <c r="BL193">
        <f t="shared" si="46"/>
        <v>0</v>
      </c>
      <c r="BM193">
        <f t="shared" si="47"/>
        <v>0</v>
      </c>
      <c r="BN193">
        <v>0</v>
      </c>
      <c r="BO193">
        <f t="shared" si="50"/>
        <v>1</v>
      </c>
      <c r="BP193">
        <f t="shared" si="48"/>
        <v>0</v>
      </c>
      <c r="BQ193">
        <f t="shared" si="49"/>
        <v>1</v>
      </c>
    </row>
    <row r="194" spans="1:69" x14ac:dyDescent="0.25">
      <c r="A194">
        <v>193</v>
      </c>
      <c r="B194" t="s">
        <v>852</v>
      </c>
      <c r="C194" t="s">
        <v>853</v>
      </c>
      <c r="D194" t="s">
        <v>854</v>
      </c>
      <c r="E194" t="s">
        <v>367</v>
      </c>
      <c r="F194" t="s">
        <v>100</v>
      </c>
      <c r="G194">
        <v>1</v>
      </c>
      <c r="H194">
        <v>1</v>
      </c>
      <c r="I194">
        <v>1142</v>
      </c>
      <c r="J194">
        <v>0</v>
      </c>
      <c r="K194">
        <v>0</v>
      </c>
      <c r="L194">
        <v>591.1</v>
      </c>
      <c r="M194">
        <v>980.3</v>
      </c>
      <c r="N194">
        <v>2783.1</v>
      </c>
      <c r="O194">
        <v>386.8</v>
      </c>
      <c r="P194">
        <v>920.2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0.38</v>
      </c>
      <c r="W194">
        <v>0</v>
      </c>
      <c r="X194">
        <v>0</v>
      </c>
      <c r="Y194">
        <v>0.37999999523162842</v>
      </c>
      <c r="Z194">
        <v>0</v>
      </c>
      <c r="AA194">
        <v>0.20000000298023221</v>
      </c>
      <c r="AB194">
        <v>0.1800000071525574</v>
      </c>
      <c r="AC194">
        <v>0</v>
      </c>
      <c r="AD194">
        <v>0</v>
      </c>
      <c r="AE194">
        <v>0.38000001013278961</v>
      </c>
      <c r="AF194">
        <v>0</v>
      </c>
      <c r="AG194">
        <v>1</v>
      </c>
      <c r="AH194">
        <v>0</v>
      </c>
      <c r="AI194">
        <v>150</v>
      </c>
      <c r="AJ194">
        <v>0.20000000298023221</v>
      </c>
      <c r="AK194">
        <v>0.1800000071525574</v>
      </c>
      <c r="AL194">
        <v>0</v>
      </c>
      <c r="AM194">
        <v>0</v>
      </c>
      <c r="AN194">
        <v>0</v>
      </c>
      <c r="AO194">
        <v>0</v>
      </c>
      <c r="AR194">
        <v>0</v>
      </c>
      <c r="AS194">
        <v>0</v>
      </c>
      <c r="AT194">
        <v>0</v>
      </c>
      <c r="AU194">
        <v>0</v>
      </c>
      <c r="AV194">
        <f t="shared" ref="AV194:AV257" si="51">IFERROR($BE194-$BD194,0)</f>
        <v>0</v>
      </c>
      <c r="AW194">
        <f t="shared" ref="AW194:AW257" si="52">IFERROR($BF194-$BE194,0)</f>
        <v>0</v>
      </c>
      <c r="AX194">
        <f t="shared" ref="AX194:AX257" si="53">IFERROR($BF194*$I194,0)</f>
        <v>0</v>
      </c>
      <c r="AY194">
        <f t="shared" ref="AY194:AY257" si="54">SUM($Q194:$U194)</f>
        <v>0</v>
      </c>
      <c r="AZ194">
        <f t="shared" ref="AZ194:AZ257" si="55">IFERROR($V194*$BF194,0)</f>
        <v>0</v>
      </c>
      <c r="BA194" t="str">
        <f t="shared" ref="BA194:BA257" si="56">IFERROR(IF($BG194=0,"",2025-$BG194),"")</f>
        <v/>
      </c>
      <c r="BB194">
        <f t="shared" ref="BB194:BB257" si="57">$AG194</f>
        <v>1</v>
      </c>
      <c r="BC194">
        <f>MATCH($B194,clean_historis!$B:$B,0)</f>
        <v>194</v>
      </c>
      <c r="BD194">
        <f>IFERROR(INDEX(clean_historis!$AF:$AF,$BC194)/INDEX(clean_historis!$V:$V,$BC194),0)</f>
        <v>0</v>
      </c>
      <c r="BE194">
        <f>IFERROR(INDEX(clean_historis!$AR:$AR,$BC194)/INDEX(clean_historis!$AH:$AH,$BC194),0)</f>
        <v>0</v>
      </c>
      <c r="BF194">
        <f t="shared" ref="BF194:BF257" si="58">IFERROR($AD194/$V194,0)</f>
        <v>0</v>
      </c>
      <c r="BG194">
        <f>MAX(IF(INDEX(clean_historis!$CL:$CL,$BC194)=1,2025,0),IF(INDEX(clean_historis!$CK:$CK,$BC194)=1,2024,0),IF(INDEX(clean_historis!$CJ:$CJ,$BC194)=1,2023,0),IF(INDEX(clean_historis!$CI:$CI,$BC194)=1,2022,0),IF(INDEX(clean_historis!$CH:$CH,$BC194)=1,2021,0))</f>
        <v>0</v>
      </c>
      <c r="BH194">
        <f t="shared" ref="BH194:BH257" si="59">IF($AG194&lt;&gt;"",1-$AG194,IF($BB194&lt;&gt;"",1-$BB194,IFERROR($AF194/$V194,0)))</f>
        <v>0</v>
      </c>
      <c r="BI194">
        <f t="shared" ref="BI194:BI257" si="60">IFERROR($BH194*$I194,0)</f>
        <v>0</v>
      </c>
      <c r="BJ194">
        <f t="shared" ref="BJ194:BJ257" si="61">IF(OR(AND($P194&lt;&gt;"",$P194&lt;=5000),AND($L194&lt;&gt;"",$L194&lt;=2000)),1,0)</f>
        <v>1</v>
      </c>
      <c r="BK194">
        <f t="shared" ref="BK194:BK257" si="62">IFERROR(($P194+$L194+$N194+$M194)/1000,0)</f>
        <v>5.2747000000000002</v>
      </c>
      <c r="BL194">
        <f t="shared" ref="BL194:BL257" si="63">IF(OR(ISNUMBER(SEARCH("stadion",$C194)),ISNUMBER(SEARCH("pasar",$C194)),ISNUMBER(SEARCH("pustu",$C194)),ISNUMBER(SEARCH("puskesmas",$C194)),ISNUMBER(SEARCH("sekolah",$C194)),ISNUMBER(SEARCH("kantor",$C194)),ISNUMBER(SEARCH("terminal",$C194))),1,0)</f>
        <v>0</v>
      </c>
      <c r="BM194">
        <f t="shared" ref="BM194:BM257" si="64">IF(IF($BF194&lt;&gt;"",$BF194,IFERROR($AD194/$V194,0))&gt;=0.3,1,0)</f>
        <v>0</v>
      </c>
      <c r="BN194">
        <v>0</v>
      </c>
      <c r="BO194">
        <f t="shared" si="50"/>
        <v>1</v>
      </c>
      <c r="BP194">
        <f t="shared" ref="BP194:BP257" si="65">IF(AO194&gt;=1,1,0)</f>
        <v>0</v>
      </c>
      <c r="BQ194">
        <f t="shared" ref="BQ194:BQ257" si="66">IF(OR(BO194=1,BL194=1,BH194&gt;0.5),1,0)</f>
        <v>1</v>
      </c>
    </row>
    <row r="195" spans="1:69" x14ac:dyDescent="0.25">
      <c r="A195">
        <v>194</v>
      </c>
      <c r="B195" t="s">
        <v>855</v>
      </c>
      <c r="C195" t="s">
        <v>856</v>
      </c>
      <c r="D195" t="s">
        <v>857</v>
      </c>
      <c r="E195" t="s">
        <v>858</v>
      </c>
      <c r="F195" t="s">
        <v>127</v>
      </c>
      <c r="G195">
        <v>5</v>
      </c>
      <c r="H195">
        <v>1</v>
      </c>
      <c r="I195">
        <v>1863</v>
      </c>
      <c r="J195">
        <v>0</v>
      </c>
      <c r="K195">
        <v>1</v>
      </c>
      <c r="L195">
        <v>8440.6</v>
      </c>
      <c r="M195">
        <v>4490.8999999999996</v>
      </c>
      <c r="N195">
        <v>10651</v>
      </c>
      <c r="O195">
        <v>290.7</v>
      </c>
      <c r="P195">
        <v>10553.4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8.8800000000000008</v>
      </c>
      <c r="W195">
        <v>0</v>
      </c>
      <c r="X195">
        <v>0</v>
      </c>
      <c r="Y195">
        <v>8.880000114440918</v>
      </c>
      <c r="Z195">
        <v>0</v>
      </c>
      <c r="AA195">
        <v>0</v>
      </c>
      <c r="AB195">
        <v>2.4800000190734859</v>
      </c>
      <c r="AC195">
        <v>1.8999999761581421</v>
      </c>
      <c r="AD195">
        <v>4.5</v>
      </c>
      <c r="AE195">
        <v>2.4800000190734859</v>
      </c>
      <c r="AF195">
        <v>6.3999999761581421</v>
      </c>
      <c r="AG195">
        <v>0.27927928157716148</v>
      </c>
      <c r="AH195">
        <v>0.72072071842283858</v>
      </c>
      <c r="AI195">
        <v>150</v>
      </c>
      <c r="AJ195">
        <v>0</v>
      </c>
      <c r="AK195">
        <v>2.4800000190734859</v>
      </c>
      <c r="AL195">
        <v>1.8999999761581421</v>
      </c>
      <c r="AM195">
        <v>4.5</v>
      </c>
      <c r="AN195">
        <v>1</v>
      </c>
      <c r="AO195">
        <v>3</v>
      </c>
      <c r="AP195">
        <v>2025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f t="shared" si="51"/>
        <v>9.0090090090090169E-2</v>
      </c>
      <c r="AW195">
        <f t="shared" si="52"/>
        <v>0.23648648648648635</v>
      </c>
      <c r="AX195">
        <f t="shared" si="53"/>
        <v>944.0878378378377</v>
      </c>
      <c r="AY195">
        <f t="shared" si="54"/>
        <v>0</v>
      </c>
      <c r="AZ195">
        <f t="shared" si="55"/>
        <v>4.5</v>
      </c>
      <c r="BA195">
        <f t="shared" si="56"/>
        <v>0</v>
      </c>
      <c r="BB195">
        <f t="shared" si="57"/>
        <v>0.27927928157716148</v>
      </c>
      <c r="BC195">
        <f>MATCH($B195,clean_historis!$B:$B,0)</f>
        <v>195</v>
      </c>
      <c r="BD195">
        <f>IFERROR(INDEX(clean_historis!$AF:$AF,$BC195)/INDEX(clean_historis!$V:$V,$BC195),0)</f>
        <v>0.18018018018018017</v>
      </c>
      <c r="BE195">
        <f>IFERROR(INDEX(clean_historis!$AR:$AR,$BC195)/INDEX(clean_historis!$AH:$AH,$BC195),0)</f>
        <v>0.27027027027027034</v>
      </c>
      <c r="BF195">
        <f t="shared" si="58"/>
        <v>0.50675675675675669</v>
      </c>
      <c r="BG195">
        <f>MAX(IF(INDEX(clean_historis!$CL:$CL,$BC195)=1,2025,0),IF(INDEX(clean_historis!$CK:$CK,$BC195)=1,2024,0),IF(INDEX(clean_historis!$CJ:$CJ,$BC195)=1,2023,0),IF(INDEX(clean_historis!$CI:$CI,$BC195)=1,2022,0),IF(INDEX(clean_historis!$CH:$CH,$BC195)=1,2021,0))</f>
        <v>2025</v>
      </c>
      <c r="BH195">
        <f t="shared" si="59"/>
        <v>0.72072071842283858</v>
      </c>
      <c r="BI195">
        <f t="shared" si="60"/>
        <v>1342.7026984217482</v>
      </c>
      <c r="BJ195">
        <f t="shared" si="61"/>
        <v>0</v>
      </c>
      <c r="BK195">
        <f t="shared" si="62"/>
        <v>34.135899999999999</v>
      </c>
      <c r="BL195">
        <f t="shared" si="63"/>
        <v>0</v>
      </c>
      <c r="BM195">
        <f t="shared" si="64"/>
        <v>1</v>
      </c>
      <c r="BN195">
        <v>0</v>
      </c>
      <c r="BO195">
        <f t="shared" ref="BO195:BO258" si="67">IF($V195&lt;1,1,0)</f>
        <v>0</v>
      </c>
      <c r="BP195">
        <f t="shared" si="65"/>
        <v>1</v>
      </c>
      <c r="BQ195">
        <f t="shared" si="66"/>
        <v>1</v>
      </c>
    </row>
    <row r="196" spans="1:69" x14ac:dyDescent="0.25">
      <c r="A196">
        <v>195</v>
      </c>
      <c r="B196" t="s">
        <v>859</v>
      </c>
      <c r="C196" t="s">
        <v>860</v>
      </c>
      <c r="D196" t="s">
        <v>861</v>
      </c>
      <c r="E196" t="s">
        <v>862</v>
      </c>
      <c r="F196" t="s">
        <v>105</v>
      </c>
      <c r="G196">
        <v>2</v>
      </c>
      <c r="H196">
        <v>1</v>
      </c>
      <c r="I196">
        <v>1190</v>
      </c>
      <c r="J196">
        <v>0</v>
      </c>
      <c r="K196">
        <v>1</v>
      </c>
      <c r="L196">
        <v>2158.3000000000002</v>
      </c>
      <c r="M196">
        <v>977.1</v>
      </c>
      <c r="N196">
        <v>5204.5</v>
      </c>
      <c r="O196">
        <v>1039.7</v>
      </c>
      <c r="P196">
        <v>5665.1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1.23</v>
      </c>
      <c r="W196">
        <v>0</v>
      </c>
      <c r="X196">
        <v>0</v>
      </c>
      <c r="Y196">
        <v>1.2300000190734861</v>
      </c>
      <c r="Z196">
        <v>0</v>
      </c>
      <c r="AA196">
        <v>0</v>
      </c>
      <c r="AB196">
        <v>0.23000000417232511</v>
      </c>
      <c r="AC196">
        <v>0.5</v>
      </c>
      <c r="AD196">
        <v>0.5</v>
      </c>
      <c r="AE196">
        <v>0.23000000417232511</v>
      </c>
      <c r="AF196">
        <v>1</v>
      </c>
      <c r="AG196">
        <v>0.18699187267653189</v>
      </c>
      <c r="AH196">
        <v>0.81300812732346806</v>
      </c>
      <c r="AI196">
        <v>150</v>
      </c>
      <c r="AJ196">
        <v>0</v>
      </c>
      <c r="AK196">
        <v>0.23000000417232511</v>
      </c>
      <c r="AL196">
        <v>0.5</v>
      </c>
      <c r="AM196">
        <v>0.5</v>
      </c>
      <c r="AN196">
        <v>1</v>
      </c>
      <c r="AO196">
        <v>2</v>
      </c>
      <c r="AP196">
        <v>2025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f t="shared" si="51"/>
        <v>0.16260162601626019</v>
      </c>
      <c r="AW196">
        <f t="shared" si="52"/>
        <v>0.24390243902439021</v>
      </c>
      <c r="AX196">
        <f t="shared" si="53"/>
        <v>483.73983739837399</v>
      </c>
      <c r="AY196">
        <f t="shared" si="54"/>
        <v>0</v>
      </c>
      <c r="AZ196">
        <f t="shared" si="55"/>
        <v>0.5</v>
      </c>
      <c r="BA196" t="str">
        <f t="shared" si="56"/>
        <v/>
      </c>
      <c r="BB196">
        <f t="shared" si="57"/>
        <v>0.18699187267653189</v>
      </c>
      <c r="BC196">
        <f>MATCH($B196,clean_historis!$B:$B,0)</f>
        <v>196</v>
      </c>
      <c r="BD196">
        <f>IFERROR(INDEX(clean_historis!$AF:$AF,$BC196)/INDEX(clean_historis!$V:$V,$BC196),0)</f>
        <v>0</v>
      </c>
      <c r="BE196">
        <f>IFERROR(INDEX(clean_historis!$AR:$AR,$BC196)/INDEX(clean_historis!$AH:$AH,$BC196),0)</f>
        <v>0.16260162601626019</v>
      </c>
      <c r="BF196">
        <f t="shared" si="58"/>
        <v>0.4065040650406504</v>
      </c>
      <c r="BG196">
        <f>MAX(IF(INDEX(clean_historis!$CL:$CL,$BC196)=1,2025,0),IF(INDEX(clean_historis!$CK:$CK,$BC196)=1,2024,0),IF(INDEX(clean_historis!$CJ:$CJ,$BC196)=1,2023,0),IF(INDEX(clean_historis!$CI:$CI,$BC196)=1,2022,0),IF(INDEX(clean_historis!$CH:$CH,$BC196)=1,2021,0))</f>
        <v>0</v>
      </c>
      <c r="BH196">
        <f t="shared" si="59"/>
        <v>0.81300812732346817</v>
      </c>
      <c r="BI196">
        <f t="shared" si="60"/>
        <v>967.47967151492708</v>
      </c>
      <c r="BJ196">
        <f t="shared" si="61"/>
        <v>0</v>
      </c>
      <c r="BK196">
        <f t="shared" si="62"/>
        <v>14.005000000000003</v>
      </c>
      <c r="BL196">
        <f t="shared" si="63"/>
        <v>0</v>
      </c>
      <c r="BM196">
        <f t="shared" si="64"/>
        <v>1</v>
      </c>
      <c r="BN196">
        <v>0</v>
      </c>
      <c r="BO196">
        <f t="shared" si="67"/>
        <v>0</v>
      </c>
      <c r="BP196">
        <f t="shared" si="65"/>
        <v>1</v>
      </c>
      <c r="BQ196">
        <f t="shared" si="66"/>
        <v>1</v>
      </c>
    </row>
    <row r="197" spans="1:69" x14ac:dyDescent="0.25">
      <c r="A197">
        <v>196</v>
      </c>
      <c r="B197" t="s">
        <v>863</v>
      </c>
      <c r="C197" t="s">
        <v>864</v>
      </c>
      <c r="D197" t="s">
        <v>865</v>
      </c>
      <c r="E197" t="s">
        <v>144</v>
      </c>
      <c r="F197" t="s">
        <v>100</v>
      </c>
      <c r="G197">
        <v>1</v>
      </c>
      <c r="H197">
        <v>1</v>
      </c>
      <c r="I197">
        <v>786</v>
      </c>
      <c r="J197">
        <v>0</v>
      </c>
      <c r="K197">
        <v>0</v>
      </c>
      <c r="L197">
        <v>5334</v>
      </c>
      <c r="M197">
        <v>4207.6000000000004</v>
      </c>
      <c r="N197">
        <v>6349.2</v>
      </c>
      <c r="O197">
        <v>481.1</v>
      </c>
      <c r="P197">
        <v>5015.7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0.68</v>
      </c>
      <c r="W197">
        <v>0</v>
      </c>
      <c r="X197">
        <v>0</v>
      </c>
      <c r="Y197">
        <v>0.68000000715255737</v>
      </c>
      <c r="Z197">
        <v>0</v>
      </c>
      <c r="AA197">
        <v>0</v>
      </c>
      <c r="AB197">
        <v>0.47999998927116388</v>
      </c>
      <c r="AC197">
        <v>0.20000000298023221</v>
      </c>
      <c r="AD197">
        <v>0</v>
      </c>
      <c r="AE197">
        <v>0.47999998927116388</v>
      </c>
      <c r="AF197">
        <v>0.20000000298023221</v>
      </c>
      <c r="AG197">
        <v>0.70588234520700965</v>
      </c>
      <c r="AH197">
        <v>0.29411765479299029</v>
      </c>
      <c r="AI197">
        <v>150</v>
      </c>
      <c r="AJ197">
        <v>0</v>
      </c>
      <c r="AK197">
        <v>0.47999998927116388</v>
      </c>
      <c r="AL197">
        <v>0.20000000298023221</v>
      </c>
      <c r="AM197">
        <v>0</v>
      </c>
      <c r="AN197">
        <v>0</v>
      </c>
      <c r="AO197">
        <v>0</v>
      </c>
      <c r="AR197">
        <v>0</v>
      </c>
      <c r="AS197">
        <v>0</v>
      </c>
      <c r="AT197">
        <v>0</v>
      </c>
      <c r="AU197">
        <v>0</v>
      </c>
      <c r="AV197">
        <f t="shared" si="51"/>
        <v>0</v>
      </c>
      <c r="AW197">
        <f t="shared" si="52"/>
        <v>0</v>
      </c>
      <c r="AX197">
        <f t="shared" si="53"/>
        <v>0</v>
      </c>
      <c r="AY197">
        <f t="shared" si="54"/>
        <v>0</v>
      </c>
      <c r="AZ197">
        <f t="shared" si="55"/>
        <v>0</v>
      </c>
      <c r="BA197" t="str">
        <f t="shared" si="56"/>
        <v/>
      </c>
      <c r="BB197">
        <f t="shared" si="57"/>
        <v>0.70588234520700965</v>
      </c>
      <c r="BC197">
        <f>MATCH($B197,clean_historis!$B:$B,0)</f>
        <v>197</v>
      </c>
      <c r="BD197">
        <f>IFERROR(INDEX(clean_historis!$AF:$AF,$BC197)/INDEX(clean_historis!$V:$V,$BC197),0)</f>
        <v>0</v>
      </c>
      <c r="BE197">
        <f>IFERROR(INDEX(clean_historis!$AR:$AR,$BC197)/INDEX(clean_historis!$AH:$AH,$BC197),0)</f>
        <v>0</v>
      </c>
      <c r="BF197">
        <f t="shared" si="58"/>
        <v>0</v>
      </c>
      <c r="BG197">
        <f>MAX(IF(INDEX(clean_historis!$CL:$CL,$BC197)=1,2025,0),IF(INDEX(clean_historis!$CK:$CK,$BC197)=1,2024,0),IF(INDEX(clean_historis!$CJ:$CJ,$BC197)=1,2023,0),IF(INDEX(clean_historis!$CI:$CI,$BC197)=1,2022,0),IF(INDEX(clean_historis!$CH:$CH,$BC197)=1,2021,0))</f>
        <v>0</v>
      </c>
      <c r="BH197">
        <f t="shared" si="59"/>
        <v>0.29411765479299035</v>
      </c>
      <c r="BI197">
        <f t="shared" si="60"/>
        <v>231.17647666729042</v>
      </c>
      <c r="BJ197">
        <f t="shared" si="61"/>
        <v>0</v>
      </c>
      <c r="BK197">
        <f t="shared" si="62"/>
        <v>20.906500000000001</v>
      </c>
      <c r="BL197">
        <f t="shared" si="63"/>
        <v>0</v>
      </c>
      <c r="BM197">
        <f t="shared" si="64"/>
        <v>0</v>
      </c>
      <c r="BN197">
        <v>0</v>
      </c>
      <c r="BO197">
        <f t="shared" si="67"/>
        <v>1</v>
      </c>
      <c r="BP197">
        <f t="shared" si="65"/>
        <v>0</v>
      </c>
      <c r="BQ197">
        <f t="shared" si="66"/>
        <v>1</v>
      </c>
    </row>
    <row r="198" spans="1:69" x14ac:dyDescent="0.25">
      <c r="A198">
        <v>197</v>
      </c>
      <c r="B198" t="s">
        <v>866</v>
      </c>
      <c r="C198" t="s">
        <v>867</v>
      </c>
      <c r="D198" t="s">
        <v>868</v>
      </c>
      <c r="E198" t="s">
        <v>869</v>
      </c>
      <c r="F198" t="s">
        <v>213</v>
      </c>
      <c r="G198">
        <v>2</v>
      </c>
      <c r="H198">
        <v>2</v>
      </c>
      <c r="I198">
        <v>1928</v>
      </c>
      <c r="J198">
        <v>0</v>
      </c>
      <c r="K198">
        <v>0</v>
      </c>
      <c r="L198">
        <v>4307.5</v>
      </c>
      <c r="M198">
        <v>3805.9</v>
      </c>
      <c r="N198">
        <v>4316.5</v>
      </c>
      <c r="O198">
        <v>79.2</v>
      </c>
      <c r="P198">
        <v>4625.8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2.23</v>
      </c>
      <c r="W198">
        <v>0</v>
      </c>
      <c r="X198">
        <v>0</v>
      </c>
      <c r="Y198">
        <v>2.2300000190734859</v>
      </c>
      <c r="Z198">
        <v>0</v>
      </c>
      <c r="AA198">
        <v>0</v>
      </c>
      <c r="AB198">
        <v>1.929999947547913</v>
      </c>
      <c r="AC198">
        <v>0.30000001192092901</v>
      </c>
      <c r="AD198">
        <v>0</v>
      </c>
      <c r="AE198">
        <v>1.929999947547913</v>
      </c>
      <c r="AF198">
        <v>0.30000001192092901</v>
      </c>
      <c r="AG198">
        <v>0.86547084422710696</v>
      </c>
      <c r="AH198">
        <v>0.13452915577289301</v>
      </c>
      <c r="AI198">
        <v>150</v>
      </c>
      <c r="AJ198">
        <v>0</v>
      </c>
      <c r="AK198">
        <v>1.929999947547913</v>
      </c>
      <c r="AL198">
        <v>0.30000001192092901</v>
      </c>
      <c r="AM198">
        <v>0</v>
      </c>
      <c r="AN198">
        <v>0</v>
      </c>
      <c r="AO198">
        <v>0</v>
      </c>
      <c r="AR198">
        <v>0</v>
      </c>
      <c r="AS198">
        <v>0</v>
      </c>
      <c r="AT198">
        <v>0</v>
      </c>
      <c r="AU198">
        <v>0</v>
      </c>
      <c r="AV198">
        <f t="shared" si="51"/>
        <v>0</v>
      </c>
      <c r="AW198">
        <f t="shared" si="52"/>
        <v>0</v>
      </c>
      <c r="AX198">
        <f t="shared" si="53"/>
        <v>0</v>
      </c>
      <c r="AY198">
        <f t="shared" si="54"/>
        <v>0</v>
      </c>
      <c r="AZ198">
        <f t="shared" si="55"/>
        <v>0</v>
      </c>
      <c r="BA198" t="str">
        <f t="shared" si="56"/>
        <v/>
      </c>
      <c r="BB198">
        <f t="shared" si="57"/>
        <v>0.86547084422710696</v>
      </c>
      <c r="BC198">
        <f>MATCH($B198,clean_historis!$B:$B,0)</f>
        <v>198</v>
      </c>
      <c r="BD198">
        <f>IFERROR(INDEX(clean_historis!$AF:$AF,$BC198)/INDEX(clean_historis!$V:$V,$BC198),0)</f>
        <v>0</v>
      </c>
      <c r="BE198">
        <f>IFERROR(INDEX(clean_historis!$AR:$AR,$BC198)/INDEX(clean_historis!$AH:$AH,$BC198),0)</f>
        <v>0</v>
      </c>
      <c r="BF198">
        <f t="shared" si="58"/>
        <v>0</v>
      </c>
      <c r="BG198">
        <f>MAX(IF(INDEX(clean_historis!$CL:$CL,$BC198)=1,2025,0),IF(INDEX(clean_historis!$CK:$CK,$BC198)=1,2024,0),IF(INDEX(clean_historis!$CJ:$CJ,$BC198)=1,2023,0),IF(INDEX(clean_historis!$CI:$CI,$BC198)=1,2022,0),IF(INDEX(clean_historis!$CH:$CH,$BC198)=1,2021,0))</f>
        <v>0</v>
      </c>
      <c r="BH198">
        <f t="shared" si="59"/>
        <v>0.13452915577289304</v>
      </c>
      <c r="BI198">
        <f t="shared" si="60"/>
        <v>259.37221233013776</v>
      </c>
      <c r="BJ198">
        <f t="shared" si="61"/>
        <v>1</v>
      </c>
      <c r="BK198">
        <f t="shared" si="62"/>
        <v>17.055700000000002</v>
      </c>
      <c r="BL198">
        <f t="shared" si="63"/>
        <v>0</v>
      </c>
      <c r="BM198">
        <f t="shared" si="64"/>
        <v>0</v>
      </c>
      <c r="BN198">
        <v>0</v>
      </c>
      <c r="BO198">
        <f t="shared" si="67"/>
        <v>0</v>
      </c>
      <c r="BP198">
        <f t="shared" si="65"/>
        <v>0</v>
      </c>
      <c r="BQ198">
        <f t="shared" si="66"/>
        <v>0</v>
      </c>
    </row>
    <row r="199" spans="1:69" x14ac:dyDescent="0.25">
      <c r="A199">
        <v>198</v>
      </c>
      <c r="B199" t="s">
        <v>870</v>
      </c>
      <c r="C199" t="s">
        <v>871</v>
      </c>
      <c r="D199" t="s">
        <v>872</v>
      </c>
      <c r="E199" t="s">
        <v>873</v>
      </c>
      <c r="F199" t="s">
        <v>127</v>
      </c>
      <c r="G199">
        <v>1</v>
      </c>
      <c r="H199">
        <v>1</v>
      </c>
      <c r="I199">
        <v>373</v>
      </c>
      <c r="J199">
        <v>0</v>
      </c>
      <c r="K199">
        <v>0</v>
      </c>
      <c r="L199">
        <v>8716.9</v>
      </c>
      <c r="M199">
        <v>4767.1000000000004</v>
      </c>
      <c r="N199">
        <v>10927.3</v>
      </c>
      <c r="O199">
        <v>566.9</v>
      </c>
      <c r="P199">
        <v>10829.6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0.22</v>
      </c>
      <c r="W199">
        <v>0</v>
      </c>
      <c r="X199">
        <v>0</v>
      </c>
      <c r="Y199">
        <v>0.2199999988079071</v>
      </c>
      <c r="Z199">
        <v>0</v>
      </c>
      <c r="AA199">
        <v>0.2199999988079071</v>
      </c>
      <c r="AB199">
        <v>0</v>
      </c>
      <c r="AC199">
        <v>0</v>
      </c>
      <c r="AD199">
        <v>0</v>
      </c>
      <c r="AE199">
        <v>0.2199999988079071</v>
      </c>
      <c r="AF199">
        <v>0</v>
      </c>
      <c r="AG199">
        <v>1</v>
      </c>
      <c r="AH199">
        <v>0</v>
      </c>
      <c r="AI199">
        <v>150</v>
      </c>
      <c r="AJ199">
        <v>0.2199999988079071</v>
      </c>
      <c r="AK199">
        <v>0</v>
      </c>
      <c r="AL199">
        <v>0</v>
      </c>
      <c r="AM199">
        <v>0</v>
      </c>
      <c r="AN199">
        <v>1</v>
      </c>
      <c r="AO199">
        <v>3</v>
      </c>
      <c r="AP199">
        <v>2025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f t="shared" si="51"/>
        <v>0</v>
      </c>
      <c r="AW199">
        <f t="shared" si="52"/>
        <v>-1</v>
      </c>
      <c r="AX199">
        <f t="shared" si="53"/>
        <v>0</v>
      </c>
      <c r="AY199">
        <f t="shared" si="54"/>
        <v>0</v>
      </c>
      <c r="AZ199">
        <f t="shared" si="55"/>
        <v>0</v>
      </c>
      <c r="BA199">
        <f t="shared" si="56"/>
        <v>0</v>
      </c>
      <c r="BB199">
        <f t="shared" si="57"/>
        <v>1</v>
      </c>
      <c r="BC199">
        <f>MATCH($B199,clean_historis!$B:$B,0)</f>
        <v>199</v>
      </c>
      <c r="BD199">
        <f>IFERROR(INDEX(clean_historis!$AF:$AF,$BC199)/INDEX(clean_historis!$V:$V,$BC199),0)</f>
        <v>1</v>
      </c>
      <c r="BE199">
        <f>IFERROR(INDEX(clean_historis!$AR:$AR,$BC199)/INDEX(clean_historis!$AH:$AH,$BC199),0)</f>
        <v>1</v>
      </c>
      <c r="BF199">
        <f t="shared" si="58"/>
        <v>0</v>
      </c>
      <c r="BG199">
        <f>MAX(IF(INDEX(clean_historis!$CL:$CL,$BC199)=1,2025,0),IF(INDEX(clean_historis!$CK:$CK,$BC199)=1,2024,0),IF(INDEX(clean_historis!$CJ:$CJ,$BC199)=1,2023,0),IF(INDEX(clean_historis!$CI:$CI,$BC199)=1,2022,0),IF(INDEX(clean_historis!$CH:$CH,$BC199)=1,2021,0))</f>
        <v>2025</v>
      </c>
      <c r="BH199">
        <f t="shared" si="59"/>
        <v>0</v>
      </c>
      <c r="BI199">
        <f t="shared" si="60"/>
        <v>0</v>
      </c>
      <c r="BJ199">
        <f t="shared" si="61"/>
        <v>0</v>
      </c>
      <c r="BK199">
        <f t="shared" si="62"/>
        <v>35.240900000000003</v>
      </c>
      <c r="BL199">
        <f t="shared" si="63"/>
        <v>0</v>
      </c>
      <c r="BM199">
        <f t="shared" si="64"/>
        <v>0</v>
      </c>
      <c r="BN199">
        <v>0</v>
      </c>
      <c r="BO199">
        <f t="shared" si="67"/>
        <v>1</v>
      </c>
      <c r="BP199">
        <f t="shared" si="65"/>
        <v>1</v>
      </c>
      <c r="BQ199">
        <f t="shared" si="66"/>
        <v>1</v>
      </c>
    </row>
    <row r="200" spans="1:69" x14ac:dyDescent="0.25">
      <c r="A200">
        <v>199</v>
      </c>
      <c r="B200" t="s">
        <v>874</v>
      </c>
      <c r="C200" t="s">
        <v>875</v>
      </c>
      <c r="D200" t="s">
        <v>876</v>
      </c>
      <c r="E200" t="s">
        <v>800</v>
      </c>
      <c r="F200" t="s">
        <v>127</v>
      </c>
      <c r="G200">
        <v>1</v>
      </c>
      <c r="H200">
        <v>1</v>
      </c>
      <c r="I200">
        <v>719</v>
      </c>
      <c r="J200">
        <v>0</v>
      </c>
      <c r="K200">
        <v>1</v>
      </c>
      <c r="L200">
        <v>8420.7999999999993</v>
      </c>
      <c r="M200">
        <v>4378.1000000000004</v>
      </c>
      <c r="N200">
        <v>10631.2</v>
      </c>
      <c r="O200">
        <v>1759.9</v>
      </c>
      <c r="P200">
        <v>10533.6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3.27</v>
      </c>
      <c r="W200">
        <v>0</v>
      </c>
      <c r="X200">
        <v>0</v>
      </c>
      <c r="Y200">
        <v>2.970000028610229</v>
      </c>
      <c r="Z200">
        <v>0</v>
      </c>
      <c r="AA200">
        <v>0</v>
      </c>
      <c r="AB200">
        <v>2.5699999332427979</v>
      </c>
      <c r="AC200">
        <v>0.30000001192092901</v>
      </c>
      <c r="AD200">
        <v>0.10000000149011611</v>
      </c>
      <c r="AE200">
        <v>2.5699999332427979</v>
      </c>
      <c r="AF200">
        <v>0.40000001341104507</v>
      </c>
      <c r="AG200">
        <v>0.8653198583852818</v>
      </c>
      <c r="AH200">
        <v>0.1346801416147182</v>
      </c>
      <c r="AI200">
        <v>150</v>
      </c>
      <c r="AJ200">
        <v>0</v>
      </c>
      <c r="AK200">
        <v>2.5699999332427979</v>
      </c>
      <c r="AL200">
        <v>0.30000001192092901</v>
      </c>
      <c r="AM200">
        <v>0.10000000149011611</v>
      </c>
      <c r="AN200">
        <v>1</v>
      </c>
      <c r="AO200">
        <v>2</v>
      </c>
      <c r="AP200">
        <v>2024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f t="shared" si="51"/>
        <v>3.0581039755351702E-2</v>
      </c>
      <c r="AW200">
        <f t="shared" si="52"/>
        <v>-9.1743118810362054E-2</v>
      </c>
      <c r="AX200">
        <f t="shared" si="53"/>
        <v>21.987767911741127</v>
      </c>
      <c r="AY200">
        <f t="shared" si="54"/>
        <v>0</v>
      </c>
      <c r="AZ200">
        <f t="shared" si="55"/>
        <v>0.10000000149011611</v>
      </c>
      <c r="BA200">
        <f t="shared" si="56"/>
        <v>1</v>
      </c>
      <c r="BB200">
        <f t="shared" si="57"/>
        <v>0.8653198583852818</v>
      </c>
      <c r="BC200">
        <f>MATCH($B200,clean_historis!$B:$B,0)</f>
        <v>200</v>
      </c>
      <c r="BD200">
        <f>IFERROR(INDEX(clean_historis!$AF:$AF,$BC200)/INDEX(clean_historis!$V:$V,$BC200),0)</f>
        <v>9.1743119266055037E-2</v>
      </c>
      <c r="BE200">
        <f>IFERROR(INDEX(clean_historis!$AR:$AR,$BC200)/INDEX(clean_historis!$AH:$AH,$BC200),0)</f>
        <v>0.12232415902140674</v>
      </c>
      <c r="BF200">
        <f t="shared" si="58"/>
        <v>3.0581040211044682E-2</v>
      </c>
      <c r="BG200">
        <f>MAX(IF(INDEX(clean_historis!$CL:$CL,$BC200)=1,2025,0),IF(INDEX(clean_historis!$CK:$CK,$BC200)=1,2024,0),IF(INDEX(clean_historis!$CJ:$CJ,$BC200)=1,2023,0),IF(INDEX(clean_historis!$CI:$CI,$BC200)=1,2022,0),IF(INDEX(clean_historis!$CH:$CH,$BC200)=1,2021,0))</f>
        <v>2024</v>
      </c>
      <c r="BH200">
        <f t="shared" si="59"/>
        <v>0.1346801416147182</v>
      </c>
      <c r="BI200">
        <f t="shared" si="60"/>
        <v>96.835021820982377</v>
      </c>
      <c r="BJ200">
        <f t="shared" si="61"/>
        <v>0</v>
      </c>
      <c r="BK200">
        <f t="shared" si="62"/>
        <v>33.963700000000003</v>
      </c>
      <c r="BL200">
        <f t="shared" si="63"/>
        <v>0</v>
      </c>
      <c r="BM200">
        <f t="shared" si="64"/>
        <v>0</v>
      </c>
      <c r="BN200">
        <v>0</v>
      </c>
      <c r="BO200">
        <f t="shared" si="67"/>
        <v>0</v>
      </c>
      <c r="BP200">
        <f t="shared" si="65"/>
        <v>1</v>
      </c>
      <c r="BQ200">
        <f t="shared" si="66"/>
        <v>0</v>
      </c>
    </row>
    <row r="201" spans="1:69" x14ac:dyDescent="0.25">
      <c r="A201">
        <v>200</v>
      </c>
      <c r="B201" t="s">
        <v>877</v>
      </c>
      <c r="C201" t="s">
        <v>878</v>
      </c>
      <c r="D201" t="s">
        <v>879</v>
      </c>
      <c r="E201" t="s">
        <v>880</v>
      </c>
      <c r="F201" t="s">
        <v>176</v>
      </c>
      <c r="G201">
        <v>1</v>
      </c>
      <c r="H201">
        <v>1</v>
      </c>
      <c r="I201">
        <v>588</v>
      </c>
      <c r="J201">
        <v>0</v>
      </c>
      <c r="K201">
        <v>0</v>
      </c>
      <c r="L201">
        <v>4931.7</v>
      </c>
      <c r="M201">
        <v>2122.4</v>
      </c>
      <c r="N201">
        <v>6512</v>
      </c>
      <c r="O201">
        <v>2411.6</v>
      </c>
      <c r="P201">
        <v>8183.9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0.91</v>
      </c>
      <c r="W201">
        <v>0</v>
      </c>
      <c r="X201">
        <v>0</v>
      </c>
      <c r="Y201">
        <v>0.20000000298023221</v>
      </c>
      <c r="Z201">
        <v>0</v>
      </c>
      <c r="AA201">
        <v>0</v>
      </c>
      <c r="AB201">
        <v>0.20000000298023221</v>
      </c>
      <c r="AC201">
        <v>0</v>
      </c>
      <c r="AD201">
        <v>0</v>
      </c>
      <c r="AE201">
        <v>0.20000000298023221</v>
      </c>
      <c r="AF201">
        <v>0</v>
      </c>
      <c r="AG201">
        <v>1</v>
      </c>
      <c r="AH201">
        <v>0</v>
      </c>
      <c r="AI201">
        <v>150</v>
      </c>
      <c r="AJ201">
        <v>0</v>
      </c>
      <c r="AK201">
        <v>0.20000000298023221</v>
      </c>
      <c r="AL201">
        <v>0</v>
      </c>
      <c r="AM201">
        <v>0</v>
      </c>
      <c r="AN201">
        <v>1</v>
      </c>
      <c r="AO201">
        <v>1</v>
      </c>
      <c r="AP201">
        <v>2024</v>
      </c>
      <c r="AQ201">
        <v>2</v>
      </c>
      <c r="AR201">
        <v>0</v>
      </c>
      <c r="AS201">
        <v>0</v>
      </c>
      <c r="AT201">
        <v>0</v>
      </c>
      <c r="AU201">
        <v>0</v>
      </c>
      <c r="AV201">
        <f t="shared" si="51"/>
        <v>0.21978021978021967</v>
      </c>
      <c r="AW201">
        <f t="shared" si="52"/>
        <v>-0.78021978021978011</v>
      </c>
      <c r="AX201">
        <f t="shared" si="53"/>
        <v>0</v>
      </c>
      <c r="AY201">
        <f t="shared" si="54"/>
        <v>0</v>
      </c>
      <c r="AZ201">
        <f t="shared" si="55"/>
        <v>0</v>
      </c>
      <c r="BA201" t="str">
        <f t="shared" si="56"/>
        <v/>
      </c>
      <c r="BB201">
        <f t="shared" si="57"/>
        <v>1</v>
      </c>
      <c r="BC201">
        <f>MATCH($B201,clean_historis!$B:$B,0)</f>
        <v>201</v>
      </c>
      <c r="BD201">
        <f>IFERROR(INDEX(clean_historis!$AF:$AF,$BC201)/INDEX(clean_historis!$V:$V,$BC201),0)</f>
        <v>0.56043956043956045</v>
      </c>
      <c r="BE201">
        <f>IFERROR(INDEX(clean_historis!$AR:$AR,$BC201)/INDEX(clean_historis!$AH:$AH,$BC201),0)</f>
        <v>0.78021978021978011</v>
      </c>
      <c r="BF201">
        <f t="shared" si="58"/>
        <v>0</v>
      </c>
      <c r="BG201">
        <f>MAX(IF(INDEX(clean_historis!$CL:$CL,$BC201)=1,2025,0),IF(INDEX(clean_historis!$CK:$CK,$BC201)=1,2024,0),IF(INDEX(clean_historis!$CJ:$CJ,$BC201)=1,2023,0),IF(INDEX(clean_historis!$CI:$CI,$BC201)=1,2022,0),IF(INDEX(clean_historis!$CH:$CH,$BC201)=1,2021,0))</f>
        <v>0</v>
      </c>
      <c r="BH201">
        <f t="shared" si="59"/>
        <v>0</v>
      </c>
      <c r="BI201">
        <f t="shared" si="60"/>
        <v>0</v>
      </c>
      <c r="BJ201">
        <f t="shared" si="61"/>
        <v>0</v>
      </c>
      <c r="BK201">
        <f t="shared" si="62"/>
        <v>21.75</v>
      </c>
      <c r="BL201">
        <f t="shared" si="63"/>
        <v>0</v>
      </c>
      <c r="BM201">
        <f t="shared" si="64"/>
        <v>0</v>
      </c>
      <c r="BN201">
        <v>1</v>
      </c>
      <c r="BO201">
        <f t="shared" si="67"/>
        <v>1</v>
      </c>
      <c r="BP201">
        <f t="shared" si="65"/>
        <v>1</v>
      </c>
      <c r="BQ201">
        <f t="shared" si="66"/>
        <v>1</v>
      </c>
    </row>
    <row r="202" spans="1:69" x14ac:dyDescent="0.25">
      <c r="A202">
        <v>201</v>
      </c>
      <c r="B202" t="s">
        <v>881</v>
      </c>
      <c r="C202" t="s">
        <v>882</v>
      </c>
      <c r="D202" t="s">
        <v>883</v>
      </c>
      <c r="E202" t="s">
        <v>880</v>
      </c>
      <c r="F202" t="s">
        <v>176</v>
      </c>
      <c r="G202">
        <v>1</v>
      </c>
      <c r="H202">
        <v>1</v>
      </c>
      <c r="I202">
        <v>588</v>
      </c>
      <c r="J202">
        <v>0</v>
      </c>
      <c r="K202">
        <v>0</v>
      </c>
      <c r="L202">
        <v>4610.6000000000004</v>
      </c>
      <c r="M202">
        <v>1457.8</v>
      </c>
      <c r="N202">
        <v>5847.5</v>
      </c>
      <c r="O202">
        <v>2090.4</v>
      </c>
      <c r="P202">
        <v>7519.3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1.96</v>
      </c>
      <c r="W202">
        <v>0</v>
      </c>
      <c r="X202">
        <v>0</v>
      </c>
      <c r="Y202">
        <v>1.9600000381469731</v>
      </c>
      <c r="Z202">
        <v>0</v>
      </c>
      <c r="AA202">
        <v>0.60000002384185791</v>
      </c>
      <c r="AB202">
        <v>0.80000001192092896</v>
      </c>
      <c r="AC202">
        <v>0.46000000834465032</v>
      </c>
      <c r="AD202">
        <v>0.10000000149011611</v>
      </c>
      <c r="AE202">
        <v>1.4000000357627871</v>
      </c>
      <c r="AF202">
        <v>0.56000000983476639</v>
      </c>
      <c r="AG202">
        <v>0.71428571591484991</v>
      </c>
      <c r="AH202">
        <v>0.28571428408514998</v>
      </c>
      <c r="AI202">
        <v>150</v>
      </c>
      <c r="AJ202">
        <v>0.60000002384185791</v>
      </c>
      <c r="AK202">
        <v>0.80000001192092896</v>
      </c>
      <c r="AL202">
        <v>0.46000000834465032</v>
      </c>
      <c r="AM202">
        <v>0.10000000149011611</v>
      </c>
      <c r="AN202">
        <v>1</v>
      </c>
      <c r="AO202">
        <v>1</v>
      </c>
      <c r="AP202">
        <v>2022</v>
      </c>
      <c r="AQ202">
        <v>4</v>
      </c>
      <c r="AR202">
        <v>0</v>
      </c>
      <c r="AS202">
        <v>0</v>
      </c>
      <c r="AT202">
        <v>0</v>
      </c>
      <c r="AU202">
        <v>0</v>
      </c>
      <c r="AV202">
        <f t="shared" si="51"/>
        <v>0</v>
      </c>
      <c r="AW202">
        <f t="shared" si="52"/>
        <v>5.1020408923528625E-2</v>
      </c>
      <c r="AX202">
        <f t="shared" si="53"/>
        <v>30.000000447034832</v>
      </c>
      <c r="AY202">
        <f t="shared" si="54"/>
        <v>0</v>
      </c>
      <c r="AZ202">
        <f t="shared" si="55"/>
        <v>0.10000000149011611</v>
      </c>
      <c r="BA202">
        <f t="shared" si="56"/>
        <v>3</v>
      </c>
      <c r="BB202">
        <f t="shared" si="57"/>
        <v>0.71428571591484991</v>
      </c>
      <c r="BC202">
        <f>MATCH($B202,clean_historis!$B:$B,0)</f>
        <v>202</v>
      </c>
      <c r="BD202">
        <f>IFERROR(INDEX(clean_historis!$AF:$AF,$BC202)/INDEX(clean_historis!$V:$V,$BC202),0)</f>
        <v>0</v>
      </c>
      <c r="BE202">
        <f>IFERROR(INDEX(clean_historis!$AR:$AR,$BC202)/INDEX(clean_historis!$AH:$AH,$BC202),0)</f>
        <v>0</v>
      </c>
      <c r="BF202">
        <f t="shared" si="58"/>
        <v>5.1020408923528625E-2</v>
      </c>
      <c r="BG202">
        <f>MAX(IF(INDEX(clean_historis!$CL:$CL,$BC202)=1,2025,0),IF(INDEX(clean_historis!$CK:$CK,$BC202)=1,2024,0),IF(INDEX(clean_historis!$CJ:$CJ,$BC202)=1,2023,0),IF(INDEX(clean_historis!$CI:$CI,$BC202)=1,2022,0),IF(INDEX(clean_historis!$CH:$CH,$BC202)=1,2021,0))</f>
        <v>2022</v>
      </c>
      <c r="BH202">
        <f t="shared" si="59"/>
        <v>0.28571428408515009</v>
      </c>
      <c r="BI202">
        <f t="shared" si="60"/>
        <v>167.99999904206825</v>
      </c>
      <c r="BJ202">
        <f t="shared" si="61"/>
        <v>0</v>
      </c>
      <c r="BK202">
        <f t="shared" si="62"/>
        <v>19.435200000000002</v>
      </c>
      <c r="BL202">
        <f t="shared" si="63"/>
        <v>0</v>
      </c>
      <c r="BM202">
        <f t="shared" si="64"/>
        <v>0</v>
      </c>
      <c r="BN202">
        <v>0</v>
      </c>
      <c r="BO202">
        <f t="shared" si="67"/>
        <v>0</v>
      </c>
      <c r="BP202">
        <f t="shared" si="65"/>
        <v>1</v>
      </c>
      <c r="BQ202">
        <f t="shared" si="66"/>
        <v>0</v>
      </c>
    </row>
    <row r="203" spans="1:69" x14ac:dyDescent="0.25">
      <c r="A203">
        <v>202</v>
      </c>
      <c r="B203" t="s">
        <v>884</v>
      </c>
      <c r="C203" t="s">
        <v>885</v>
      </c>
      <c r="D203" t="s">
        <v>886</v>
      </c>
      <c r="E203" t="s">
        <v>378</v>
      </c>
      <c r="F203" t="s">
        <v>105</v>
      </c>
      <c r="G203">
        <v>2</v>
      </c>
      <c r="H203">
        <v>1</v>
      </c>
      <c r="I203">
        <v>1247</v>
      </c>
      <c r="J203">
        <v>0</v>
      </c>
      <c r="K203">
        <v>0</v>
      </c>
      <c r="L203">
        <v>3337.8</v>
      </c>
      <c r="M203">
        <v>3247.5</v>
      </c>
      <c r="N203">
        <v>3308.3</v>
      </c>
      <c r="O203">
        <v>833.6</v>
      </c>
      <c r="P203">
        <v>4706.8999999999996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0.34</v>
      </c>
      <c r="W203">
        <v>0</v>
      </c>
      <c r="X203">
        <v>0</v>
      </c>
      <c r="Y203">
        <v>0.34000000357627869</v>
      </c>
      <c r="Z203">
        <v>0</v>
      </c>
      <c r="AA203">
        <v>0.239999994635582</v>
      </c>
      <c r="AB203">
        <v>0.10000000149011611</v>
      </c>
      <c r="AC203">
        <v>0</v>
      </c>
      <c r="AD203">
        <v>0</v>
      </c>
      <c r="AE203">
        <v>0.33999999612569809</v>
      </c>
      <c r="AF203">
        <v>0</v>
      </c>
      <c r="AG203">
        <v>1</v>
      </c>
      <c r="AH203">
        <v>0</v>
      </c>
      <c r="AI203">
        <v>150</v>
      </c>
      <c r="AJ203">
        <v>0.239999994635582</v>
      </c>
      <c r="AK203">
        <v>0.10000000149011611</v>
      </c>
      <c r="AL203">
        <v>0</v>
      </c>
      <c r="AM203">
        <v>0</v>
      </c>
      <c r="AN203">
        <v>1</v>
      </c>
      <c r="AO203">
        <v>1</v>
      </c>
      <c r="AP203">
        <v>2024</v>
      </c>
      <c r="AQ203">
        <v>2</v>
      </c>
      <c r="AR203">
        <v>0</v>
      </c>
      <c r="AS203">
        <v>0</v>
      </c>
      <c r="AT203">
        <v>0</v>
      </c>
      <c r="AU203">
        <v>0</v>
      </c>
      <c r="AV203">
        <f t="shared" si="51"/>
        <v>-1</v>
      </c>
      <c r="AW203">
        <f t="shared" si="52"/>
        <v>0</v>
      </c>
      <c r="AX203">
        <f t="shared" si="53"/>
        <v>0</v>
      </c>
      <c r="AY203">
        <f t="shared" si="54"/>
        <v>0</v>
      </c>
      <c r="AZ203">
        <f t="shared" si="55"/>
        <v>0</v>
      </c>
      <c r="BA203">
        <f t="shared" si="56"/>
        <v>1</v>
      </c>
      <c r="BB203">
        <f t="shared" si="57"/>
        <v>1</v>
      </c>
      <c r="BC203">
        <f>MATCH($B203,clean_historis!$B:$B,0)</f>
        <v>203</v>
      </c>
      <c r="BD203">
        <f>IFERROR(INDEX(clean_historis!$AF:$AF,$BC203)/INDEX(clean_historis!$V:$V,$BC203),0)</f>
        <v>1</v>
      </c>
      <c r="BE203">
        <f>IFERROR(INDEX(clean_historis!$AR:$AR,$BC203)/INDEX(clean_historis!$AH:$AH,$BC203),0)</f>
        <v>0</v>
      </c>
      <c r="BF203">
        <f t="shared" si="58"/>
        <v>0</v>
      </c>
      <c r="BG203">
        <f>MAX(IF(INDEX(clean_historis!$CL:$CL,$BC203)=1,2025,0),IF(INDEX(clean_historis!$CK:$CK,$BC203)=1,2024,0),IF(INDEX(clean_historis!$CJ:$CJ,$BC203)=1,2023,0),IF(INDEX(clean_historis!$CI:$CI,$BC203)=1,2022,0),IF(INDEX(clean_historis!$CH:$CH,$BC203)=1,2021,0))</f>
        <v>2024</v>
      </c>
      <c r="BH203">
        <f t="shared" si="59"/>
        <v>0</v>
      </c>
      <c r="BI203">
        <f t="shared" si="60"/>
        <v>0</v>
      </c>
      <c r="BJ203">
        <f t="shared" si="61"/>
        <v>1</v>
      </c>
      <c r="BK203">
        <f t="shared" si="62"/>
        <v>14.6005</v>
      </c>
      <c r="BL203">
        <f t="shared" si="63"/>
        <v>0</v>
      </c>
      <c r="BM203">
        <f t="shared" si="64"/>
        <v>0</v>
      </c>
      <c r="BN203">
        <v>0</v>
      </c>
      <c r="BO203">
        <f t="shared" si="67"/>
        <v>1</v>
      </c>
      <c r="BP203">
        <f t="shared" si="65"/>
        <v>1</v>
      </c>
      <c r="BQ203">
        <f t="shared" si="66"/>
        <v>1</v>
      </c>
    </row>
    <row r="204" spans="1:69" x14ac:dyDescent="0.25">
      <c r="A204">
        <v>203</v>
      </c>
      <c r="B204" t="s">
        <v>887</v>
      </c>
      <c r="C204" t="s">
        <v>888</v>
      </c>
      <c r="D204" t="s">
        <v>889</v>
      </c>
      <c r="E204" t="s">
        <v>890</v>
      </c>
      <c r="F204" t="s">
        <v>891</v>
      </c>
      <c r="G204">
        <v>5</v>
      </c>
      <c r="H204">
        <v>2</v>
      </c>
      <c r="I204">
        <v>4562</v>
      </c>
      <c r="J204">
        <v>0</v>
      </c>
      <c r="K204">
        <v>0</v>
      </c>
      <c r="L204">
        <v>1580.3</v>
      </c>
      <c r="M204">
        <v>945</v>
      </c>
      <c r="N204">
        <v>2799.2</v>
      </c>
      <c r="O204">
        <v>422.7</v>
      </c>
      <c r="P204">
        <v>29412.3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1.82</v>
      </c>
      <c r="W204">
        <v>0</v>
      </c>
      <c r="X204">
        <v>0.31999999284744263</v>
      </c>
      <c r="Y204">
        <v>1.5</v>
      </c>
      <c r="Z204">
        <v>0</v>
      </c>
      <c r="AA204">
        <v>0.20000000298023221</v>
      </c>
      <c r="AB204">
        <v>0.80000001192092896</v>
      </c>
      <c r="AC204">
        <v>0.2199999988079071</v>
      </c>
      <c r="AD204">
        <v>0.60000002384185791</v>
      </c>
      <c r="AE204">
        <v>1.000000014901161</v>
      </c>
      <c r="AF204">
        <v>0.82000002264976501</v>
      </c>
      <c r="AG204">
        <v>0.54945054630152979</v>
      </c>
      <c r="AH204">
        <v>0.45054945369847021</v>
      </c>
      <c r="AI204">
        <v>150</v>
      </c>
      <c r="AJ204">
        <v>0</v>
      </c>
      <c r="AK204">
        <v>0.69999998807907104</v>
      </c>
      <c r="AL204">
        <v>0.20000000298023221</v>
      </c>
      <c r="AM204">
        <v>0.60000002384185791</v>
      </c>
      <c r="AN204">
        <v>0</v>
      </c>
      <c r="AO204">
        <v>0</v>
      </c>
      <c r="AR204">
        <v>0</v>
      </c>
      <c r="AS204">
        <v>0</v>
      </c>
      <c r="AT204">
        <v>0</v>
      </c>
      <c r="AU204">
        <v>0</v>
      </c>
      <c r="AV204">
        <f t="shared" si="51"/>
        <v>9.8901098901098827E-2</v>
      </c>
      <c r="AW204">
        <f t="shared" si="52"/>
        <v>-0.10989009679018791</v>
      </c>
      <c r="AX204">
        <f t="shared" si="53"/>
        <v>1503.9561037178878</v>
      </c>
      <c r="AY204">
        <f t="shared" si="54"/>
        <v>0</v>
      </c>
      <c r="AZ204">
        <f t="shared" si="55"/>
        <v>0.60000002384185791</v>
      </c>
      <c r="BA204" t="str">
        <f t="shared" si="56"/>
        <v/>
      </c>
      <c r="BB204">
        <f t="shared" si="57"/>
        <v>0.54945054630152979</v>
      </c>
      <c r="BC204">
        <f>MATCH($B204,clean_historis!$B:$B,0)</f>
        <v>204</v>
      </c>
      <c r="BD204">
        <f>IFERROR(INDEX(clean_historis!$AF:$AF,$BC204)/INDEX(clean_historis!$V:$V,$BC204),0)</f>
        <v>0.34065934065934067</v>
      </c>
      <c r="BE204">
        <f>IFERROR(INDEX(clean_historis!$AR:$AR,$BC204)/INDEX(clean_historis!$AH:$AH,$BC204),0)</f>
        <v>0.4395604395604395</v>
      </c>
      <c r="BF204">
        <f t="shared" si="58"/>
        <v>0.32967034277025159</v>
      </c>
      <c r="BG204">
        <f>MAX(IF(INDEX(clean_historis!$CL:$CL,$BC204)=1,2025,0),IF(INDEX(clean_historis!$CK:$CK,$BC204)=1,2024,0),IF(INDEX(clean_historis!$CJ:$CJ,$BC204)=1,2023,0),IF(INDEX(clean_historis!$CI:$CI,$BC204)=1,2022,0),IF(INDEX(clean_historis!$CH:$CH,$BC204)=1,2021,0))</f>
        <v>0</v>
      </c>
      <c r="BH204">
        <f t="shared" si="59"/>
        <v>0.45054945369847021</v>
      </c>
      <c r="BI204">
        <f t="shared" si="60"/>
        <v>2055.406607772421</v>
      </c>
      <c r="BJ204">
        <f t="shared" si="61"/>
        <v>1</v>
      </c>
      <c r="BK204">
        <f t="shared" si="62"/>
        <v>34.736799999999995</v>
      </c>
      <c r="BL204">
        <f t="shared" si="63"/>
        <v>0</v>
      </c>
      <c r="BM204">
        <f t="shared" si="64"/>
        <v>1</v>
      </c>
      <c r="BN204">
        <v>0</v>
      </c>
      <c r="BO204">
        <f t="shared" si="67"/>
        <v>0</v>
      </c>
      <c r="BP204">
        <f t="shared" si="65"/>
        <v>0</v>
      </c>
      <c r="BQ204">
        <f t="shared" si="66"/>
        <v>0</v>
      </c>
    </row>
    <row r="205" spans="1:69" x14ac:dyDescent="0.25">
      <c r="A205">
        <v>204</v>
      </c>
      <c r="B205" t="s">
        <v>892</v>
      </c>
      <c r="C205" t="s">
        <v>893</v>
      </c>
      <c r="D205" t="s">
        <v>894</v>
      </c>
      <c r="E205" t="s">
        <v>895</v>
      </c>
      <c r="F205" t="s">
        <v>363</v>
      </c>
      <c r="G205">
        <v>1</v>
      </c>
      <c r="H205">
        <v>1</v>
      </c>
      <c r="I205">
        <v>539</v>
      </c>
      <c r="J205">
        <v>0</v>
      </c>
      <c r="K205">
        <v>0</v>
      </c>
      <c r="L205">
        <v>1383.3</v>
      </c>
      <c r="M205">
        <v>748</v>
      </c>
      <c r="N205">
        <v>2602.1999999999998</v>
      </c>
      <c r="O205">
        <v>86.4</v>
      </c>
      <c r="P205">
        <v>29215.3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0.32</v>
      </c>
      <c r="W205">
        <v>0</v>
      </c>
      <c r="X205">
        <v>0</v>
      </c>
      <c r="Y205">
        <v>0.31999999284744263</v>
      </c>
      <c r="Z205">
        <v>0</v>
      </c>
      <c r="AA205">
        <v>0</v>
      </c>
      <c r="AB205">
        <v>0.31999999284744263</v>
      </c>
      <c r="AC205">
        <v>0</v>
      </c>
      <c r="AD205">
        <v>0</v>
      </c>
      <c r="AE205">
        <v>0.31999999284744263</v>
      </c>
      <c r="AF205">
        <v>0</v>
      </c>
      <c r="AG205">
        <v>1</v>
      </c>
      <c r="AH205">
        <v>0</v>
      </c>
      <c r="AI205">
        <v>150</v>
      </c>
      <c r="AJ205">
        <v>0</v>
      </c>
      <c r="AK205">
        <v>0.31999999284744263</v>
      </c>
      <c r="AL205">
        <v>0</v>
      </c>
      <c r="AM205">
        <v>0</v>
      </c>
      <c r="AN205">
        <v>0</v>
      </c>
      <c r="AO205">
        <v>0</v>
      </c>
      <c r="AR205">
        <v>0</v>
      </c>
      <c r="AS205">
        <v>0</v>
      </c>
      <c r="AT205">
        <v>0</v>
      </c>
      <c r="AU205">
        <v>0</v>
      </c>
      <c r="AV205">
        <f t="shared" si="51"/>
        <v>0</v>
      </c>
      <c r="AW205">
        <f t="shared" si="52"/>
        <v>0</v>
      </c>
      <c r="AX205">
        <f t="shared" si="53"/>
        <v>0</v>
      </c>
      <c r="AY205">
        <f t="shared" si="54"/>
        <v>0</v>
      </c>
      <c r="AZ205">
        <f t="shared" si="55"/>
        <v>0</v>
      </c>
      <c r="BA205" t="str">
        <f t="shared" si="56"/>
        <v/>
      </c>
      <c r="BB205">
        <f t="shared" si="57"/>
        <v>1</v>
      </c>
      <c r="BC205">
        <f>MATCH($B205,clean_historis!$B:$B,0)</f>
        <v>205</v>
      </c>
      <c r="BD205">
        <f>IFERROR(INDEX(clean_historis!$AF:$AF,$BC205)/INDEX(clean_historis!$V:$V,$BC205),0)</f>
        <v>0</v>
      </c>
      <c r="BE205">
        <f>IFERROR(INDEX(clean_historis!$AR:$AR,$BC205)/INDEX(clean_historis!$AH:$AH,$BC205),0)</f>
        <v>0</v>
      </c>
      <c r="BF205">
        <f t="shared" si="58"/>
        <v>0</v>
      </c>
      <c r="BG205">
        <f>MAX(IF(INDEX(clean_historis!$CL:$CL,$BC205)=1,2025,0),IF(INDEX(clean_historis!$CK:$CK,$BC205)=1,2024,0),IF(INDEX(clean_historis!$CJ:$CJ,$BC205)=1,2023,0),IF(INDEX(clean_historis!$CI:$CI,$BC205)=1,2022,0),IF(INDEX(clean_historis!$CH:$CH,$BC205)=1,2021,0))</f>
        <v>0</v>
      </c>
      <c r="BH205">
        <f t="shared" si="59"/>
        <v>0</v>
      </c>
      <c r="BI205">
        <f t="shared" si="60"/>
        <v>0</v>
      </c>
      <c r="BJ205">
        <f t="shared" si="61"/>
        <v>1</v>
      </c>
      <c r="BK205">
        <f t="shared" si="62"/>
        <v>33.948799999999999</v>
      </c>
      <c r="BL205">
        <f t="shared" si="63"/>
        <v>0</v>
      </c>
      <c r="BM205">
        <f t="shared" si="64"/>
        <v>0</v>
      </c>
      <c r="BN205">
        <v>0</v>
      </c>
      <c r="BO205">
        <f t="shared" si="67"/>
        <v>1</v>
      </c>
      <c r="BP205">
        <f t="shared" si="65"/>
        <v>0</v>
      </c>
      <c r="BQ205">
        <f t="shared" si="66"/>
        <v>1</v>
      </c>
    </row>
    <row r="206" spans="1:69" x14ac:dyDescent="0.25">
      <c r="A206">
        <v>205</v>
      </c>
      <c r="B206" t="s">
        <v>896</v>
      </c>
      <c r="C206" t="s">
        <v>897</v>
      </c>
      <c r="D206" t="s">
        <v>898</v>
      </c>
      <c r="E206" t="s">
        <v>899</v>
      </c>
      <c r="F206" t="s">
        <v>363</v>
      </c>
      <c r="G206">
        <v>1</v>
      </c>
      <c r="H206">
        <v>1</v>
      </c>
      <c r="I206">
        <v>727</v>
      </c>
      <c r="J206">
        <v>0</v>
      </c>
      <c r="K206">
        <v>0</v>
      </c>
      <c r="L206">
        <v>1686.7</v>
      </c>
      <c r="M206">
        <v>1051.4000000000001</v>
      </c>
      <c r="N206">
        <v>2905.6</v>
      </c>
      <c r="O206">
        <v>177</v>
      </c>
      <c r="P206">
        <v>29518.7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0.28999999999999998</v>
      </c>
      <c r="W206">
        <v>0</v>
      </c>
      <c r="X206">
        <v>0</v>
      </c>
      <c r="Y206">
        <v>0.28999999165534968</v>
      </c>
      <c r="Z206">
        <v>0</v>
      </c>
      <c r="AA206">
        <v>0</v>
      </c>
      <c r="AB206">
        <v>0.28999999165534968</v>
      </c>
      <c r="AC206">
        <v>0</v>
      </c>
      <c r="AD206">
        <v>0</v>
      </c>
      <c r="AE206">
        <v>0.28999999165534968</v>
      </c>
      <c r="AF206">
        <v>0</v>
      </c>
      <c r="AG206">
        <v>1</v>
      </c>
      <c r="AH206">
        <v>0</v>
      </c>
      <c r="AI206">
        <v>150</v>
      </c>
      <c r="AJ206">
        <v>0</v>
      </c>
      <c r="AK206">
        <v>0.28999999165534968</v>
      </c>
      <c r="AL206">
        <v>0</v>
      </c>
      <c r="AM206">
        <v>0</v>
      </c>
      <c r="AN206">
        <v>0</v>
      </c>
      <c r="AO206">
        <v>0</v>
      </c>
      <c r="AR206">
        <v>0</v>
      </c>
      <c r="AS206">
        <v>0</v>
      </c>
      <c r="AT206">
        <v>0</v>
      </c>
      <c r="AU206">
        <v>0</v>
      </c>
      <c r="AV206">
        <f t="shared" si="51"/>
        <v>0</v>
      </c>
      <c r="AW206">
        <f t="shared" si="52"/>
        <v>0</v>
      </c>
      <c r="AX206">
        <f t="shared" si="53"/>
        <v>0</v>
      </c>
      <c r="AY206">
        <f t="shared" si="54"/>
        <v>0</v>
      </c>
      <c r="AZ206">
        <f t="shared" si="55"/>
        <v>0</v>
      </c>
      <c r="BA206" t="str">
        <f t="shared" si="56"/>
        <v/>
      </c>
      <c r="BB206">
        <f t="shared" si="57"/>
        <v>1</v>
      </c>
      <c r="BC206">
        <f>MATCH($B206,clean_historis!$B:$B,0)</f>
        <v>206</v>
      </c>
      <c r="BD206">
        <f>IFERROR(INDEX(clean_historis!$AF:$AF,$BC206)/INDEX(clean_historis!$V:$V,$BC206),0)</f>
        <v>0</v>
      </c>
      <c r="BE206">
        <f>IFERROR(INDEX(clean_historis!$AR:$AR,$BC206)/INDEX(clean_historis!$AH:$AH,$BC206),0)</f>
        <v>0</v>
      </c>
      <c r="BF206">
        <f t="shared" si="58"/>
        <v>0</v>
      </c>
      <c r="BG206">
        <f>MAX(IF(INDEX(clean_historis!$CL:$CL,$BC206)=1,2025,0),IF(INDEX(clean_historis!$CK:$CK,$BC206)=1,2024,0),IF(INDEX(clean_historis!$CJ:$CJ,$BC206)=1,2023,0),IF(INDEX(clean_historis!$CI:$CI,$BC206)=1,2022,0),IF(INDEX(clean_historis!$CH:$CH,$BC206)=1,2021,0))</f>
        <v>0</v>
      </c>
      <c r="BH206">
        <f t="shared" si="59"/>
        <v>0</v>
      </c>
      <c r="BI206">
        <f t="shared" si="60"/>
        <v>0</v>
      </c>
      <c r="BJ206">
        <f t="shared" si="61"/>
        <v>1</v>
      </c>
      <c r="BK206">
        <f t="shared" si="62"/>
        <v>35.162399999999998</v>
      </c>
      <c r="BL206">
        <f t="shared" si="63"/>
        <v>0</v>
      </c>
      <c r="BM206">
        <f t="shared" si="64"/>
        <v>0</v>
      </c>
      <c r="BN206">
        <v>0</v>
      </c>
      <c r="BO206">
        <f t="shared" si="67"/>
        <v>1</v>
      </c>
      <c r="BP206">
        <f t="shared" si="65"/>
        <v>0</v>
      </c>
      <c r="BQ206">
        <f t="shared" si="66"/>
        <v>1</v>
      </c>
    </row>
    <row r="207" spans="1:69" x14ac:dyDescent="0.25">
      <c r="A207">
        <v>206</v>
      </c>
      <c r="B207" t="s">
        <v>900</v>
      </c>
      <c r="C207" t="s">
        <v>901</v>
      </c>
      <c r="D207" t="s">
        <v>902</v>
      </c>
      <c r="E207" t="s">
        <v>899</v>
      </c>
      <c r="F207" t="s">
        <v>363</v>
      </c>
      <c r="G207">
        <v>1</v>
      </c>
      <c r="H207">
        <v>1</v>
      </c>
      <c r="I207">
        <v>727</v>
      </c>
      <c r="J207">
        <v>0</v>
      </c>
      <c r="K207">
        <v>0</v>
      </c>
      <c r="L207">
        <v>1984.4</v>
      </c>
      <c r="M207">
        <v>1349.1</v>
      </c>
      <c r="N207">
        <v>3203.3</v>
      </c>
      <c r="O207">
        <v>201.1</v>
      </c>
      <c r="P207">
        <v>29816.400000000001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0.28000000000000003</v>
      </c>
      <c r="W207">
        <v>0</v>
      </c>
      <c r="X207">
        <v>0</v>
      </c>
      <c r="Y207">
        <v>0.2800000011920929</v>
      </c>
      <c r="Z207">
        <v>0</v>
      </c>
      <c r="AA207">
        <v>0</v>
      </c>
      <c r="AB207">
        <v>0.2800000011920929</v>
      </c>
      <c r="AC207">
        <v>0</v>
      </c>
      <c r="AD207">
        <v>0</v>
      </c>
      <c r="AE207">
        <v>0.2800000011920929</v>
      </c>
      <c r="AF207">
        <v>0</v>
      </c>
      <c r="AG207">
        <v>1</v>
      </c>
      <c r="AH207">
        <v>0</v>
      </c>
      <c r="AI207">
        <v>150</v>
      </c>
      <c r="AJ207">
        <v>0</v>
      </c>
      <c r="AK207">
        <v>0.2800000011920929</v>
      </c>
      <c r="AL207">
        <v>0</v>
      </c>
      <c r="AM207">
        <v>0</v>
      </c>
      <c r="AN207">
        <v>0</v>
      </c>
      <c r="AO207">
        <v>0</v>
      </c>
      <c r="AR207">
        <v>0</v>
      </c>
      <c r="AS207">
        <v>0</v>
      </c>
      <c r="AT207">
        <v>0</v>
      </c>
      <c r="AU207">
        <v>0</v>
      </c>
      <c r="AV207">
        <f t="shared" si="51"/>
        <v>0</v>
      </c>
      <c r="AW207">
        <f t="shared" si="52"/>
        <v>0</v>
      </c>
      <c r="AX207">
        <f t="shared" si="53"/>
        <v>0</v>
      </c>
      <c r="AY207">
        <f t="shared" si="54"/>
        <v>0</v>
      </c>
      <c r="AZ207">
        <f t="shared" si="55"/>
        <v>0</v>
      </c>
      <c r="BA207" t="str">
        <f t="shared" si="56"/>
        <v/>
      </c>
      <c r="BB207">
        <f t="shared" si="57"/>
        <v>1</v>
      </c>
      <c r="BC207">
        <f>MATCH($B207,clean_historis!$B:$B,0)</f>
        <v>207</v>
      </c>
      <c r="BD207">
        <f>IFERROR(INDEX(clean_historis!$AF:$AF,$BC207)/INDEX(clean_historis!$V:$V,$BC207),0)</f>
        <v>0</v>
      </c>
      <c r="BE207">
        <f>IFERROR(INDEX(clean_historis!$AR:$AR,$BC207)/INDEX(clean_historis!$AH:$AH,$BC207),0)</f>
        <v>0</v>
      </c>
      <c r="BF207">
        <f t="shared" si="58"/>
        <v>0</v>
      </c>
      <c r="BG207">
        <f>MAX(IF(INDEX(clean_historis!$CL:$CL,$BC207)=1,2025,0),IF(INDEX(clean_historis!$CK:$CK,$BC207)=1,2024,0),IF(INDEX(clean_historis!$CJ:$CJ,$BC207)=1,2023,0),IF(INDEX(clean_historis!$CI:$CI,$BC207)=1,2022,0),IF(INDEX(clean_historis!$CH:$CH,$BC207)=1,2021,0))</f>
        <v>0</v>
      </c>
      <c r="BH207">
        <f t="shared" si="59"/>
        <v>0</v>
      </c>
      <c r="BI207">
        <f t="shared" si="60"/>
        <v>0</v>
      </c>
      <c r="BJ207">
        <f t="shared" si="61"/>
        <v>1</v>
      </c>
      <c r="BK207">
        <f t="shared" si="62"/>
        <v>36.353200000000001</v>
      </c>
      <c r="BL207">
        <f t="shared" si="63"/>
        <v>0</v>
      </c>
      <c r="BM207">
        <f t="shared" si="64"/>
        <v>0</v>
      </c>
      <c r="BN207">
        <v>0</v>
      </c>
      <c r="BO207">
        <f t="shared" si="67"/>
        <v>1</v>
      </c>
      <c r="BP207">
        <f t="shared" si="65"/>
        <v>0</v>
      </c>
      <c r="BQ207">
        <f t="shared" si="66"/>
        <v>1</v>
      </c>
    </row>
    <row r="208" spans="1:69" x14ac:dyDescent="0.25">
      <c r="A208">
        <v>207</v>
      </c>
      <c r="B208" t="s">
        <v>903</v>
      </c>
      <c r="C208" t="s">
        <v>904</v>
      </c>
      <c r="D208" t="s">
        <v>905</v>
      </c>
      <c r="E208" t="s">
        <v>869</v>
      </c>
      <c r="F208" t="s">
        <v>213</v>
      </c>
      <c r="G208">
        <v>2</v>
      </c>
      <c r="H208">
        <v>2</v>
      </c>
      <c r="I208">
        <v>1928</v>
      </c>
      <c r="J208">
        <v>0</v>
      </c>
      <c r="K208">
        <v>1</v>
      </c>
      <c r="L208">
        <v>2840</v>
      </c>
      <c r="M208">
        <v>2676.3</v>
      </c>
      <c r="N208">
        <v>2849.1</v>
      </c>
      <c r="O208">
        <v>1388.2</v>
      </c>
      <c r="P208">
        <v>3158.4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1.88</v>
      </c>
      <c r="W208">
        <v>0</v>
      </c>
      <c r="X208">
        <v>0</v>
      </c>
      <c r="Y208">
        <v>1.879999995231628</v>
      </c>
      <c r="Z208">
        <v>0</v>
      </c>
      <c r="AA208">
        <v>0</v>
      </c>
      <c r="AB208">
        <v>0</v>
      </c>
      <c r="AC208">
        <v>1.580000042915344</v>
      </c>
      <c r="AD208">
        <v>0.30000001192092901</v>
      </c>
      <c r="AE208">
        <v>0</v>
      </c>
      <c r="AF208">
        <v>1.880000054836273</v>
      </c>
      <c r="AG208">
        <v>0</v>
      </c>
      <c r="AH208">
        <v>1</v>
      </c>
      <c r="AI208">
        <v>150</v>
      </c>
      <c r="AJ208">
        <v>0</v>
      </c>
      <c r="AK208">
        <v>0</v>
      </c>
      <c r="AL208">
        <v>1.580000042915344</v>
      </c>
      <c r="AM208">
        <v>0.30000001192092901</v>
      </c>
      <c r="AN208">
        <v>1</v>
      </c>
      <c r="AO208">
        <v>2</v>
      </c>
      <c r="AP208">
        <v>2025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f t="shared" si="51"/>
        <v>0</v>
      </c>
      <c r="AW208">
        <f t="shared" si="52"/>
        <v>0.15957447442602607</v>
      </c>
      <c r="AX208">
        <f t="shared" si="53"/>
        <v>307.65958669337829</v>
      </c>
      <c r="AY208">
        <f t="shared" si="54"/>
        <v>0</v>
      </c>
      <c r="AZ208">
        <f t="shared" si="55"/>
        <v>0.30000001192092901</v>
      </c>
      <c r="BA208" t="str">
        <f t="shared" si="56"/>
        <v/>
      </c>
      <c r="BB208">
        <f t="shared" si="57"/>
        <v>0</v>
      </c>
      <c r="BC208">
        <f>MATCH($B208,clean_historis!$B:$B,0)</f>
        <v>208</v>
      </c>
      <c r="BD208">
        <f>IFERROR(INDEX(clean_historis!$AF:$AF,$BC208)/INDEX(clean_historis!$V:$V,$BC208),0)</f>
        <v>0</v>
      </c>
      <c r="BE208">
        <f>IFERROR(INDEX(clean_historis!$AR:$AR,$BC208)/INDEX(clean_historis!$AH:$AH,$BC208),0)</f>
        <v>0</v>
      </c>
      <c r="BF208">
        <f t="shared" si="58"/>
        <v>0.15957447442602607</v>
      </c>
      <c r="BG208">
        <f>MAX(IF(INDEX(clean_historis!$CL:$CL,$BC208)=1,2025,0),IF(INDEX(clean_historis!$CK:$CK,$BC208)=1,2024,0),IF(INDEX(clean_historis!$CJ:$CJ,$BC208)=1,2023,0),IF(INDEX(clean_historis!$CI:$CI,$BC208)=1,2022,0),IF(INDEX(clean_historis!$CH:$CH,$BC208)=1,2021,0))</f>
        <v>0</v>
      </c>
      <c r="BH208">
        <f t="shared" si="59"/>
        <v>1</v>
      </c>
      <c r="BI208">
        <f t="shared" si="60"/>
        <v>1928</v>
      </c>
      <c r="BJ208">
        <f t="shared" si="61"/>
        <v>1</v>
      </c>
      <c r="BK208">
        <f t="shared" si="62"/>
        <v>11.5238</v>
      </c>
      <c r="BL208">
        <f t="shared" si="63"/>
        <v>0</v>
      </c>
      <c r="BM208">
        <f t="shared" si="64"/>
        <v>0</v>
      </c>
      <c r="BN208">
        <v>0</v>
      </c>
      <c r="BO208">
        <f t="shared" si="67"/>
        <v>0</v>
      </c>
      <c r="BP208">
        <f t="shared" si="65"/>
        <v>1</v>
      </c>
      <c r="BQ208">
        <f t="shared" si="66"/>
        <v>1</v>
      </c>
    </row>
    <row r="209" spans="1:69" x14ac:dyDescent="0.25">
      <c r="A209">
        <v>208</v>
      </c>
      <c r="B209" t="s">
        <v>906</v>
      </c>
      <c r="C209" t="s">
        <v>907</v>
      </c>
      <c r="D209" t="s">
        <v>908</v>
      </c>
      <c r="E209" t="s">
        <v>909</v>
      </c>
      <c r="F209" t="s">
        <v>494</v>
      </c>
      <c r="G209">
        <v>4</v>
      </c>
      <c r="H209">
        <v>3</v>
      </c>
      <c r="I209">
        <v>2676</v>
      </c>
      <c r="J209">
        <v>0</v>
      </c>
      <c r="K209">
        <v>0</v>
      </c>
      <c r="L209">
        <v>4054.2</v>
      </c>
      <c r="M209">
        <v>4204.3</v>
      </c>
      <c r="N209">
        <v>2890.5</v>
      </c>
      <c r="O209">
        <v>737.7</v>
      </c>
      <c r="P209">
        <v>4372.5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1.28</v>
      </c>
      <c r="W209">
        <v>0.47999998927116388</v>
      </c>
      <c r="X209">
        <v>0.40000000596046448</v>
      </c>
      <c r="Y209">
        <v>0</v>
      </c>
      <c r="Z209">
        <v>0</v>
      </c>
      <c r="AA209">
        <v>0.40000000596046448</v>
      </c>
      <c r="AB209">
        <v>0</v>
      </c>
      <c r="AC209">
        <v>0</v>
      </c>
      <c r="AD209">
        <v>0.47999998927116388</v>
      </c>
      <c r="AE209">
        <v>0.40000000596046448</v>
      </c>
      <c r="AF209">
        <v>0.47999998927116388</v>
      </c>
      <c r="AG209">
        <v>0.45454546378171151</v>
      </c>
      <c r="AH209">
        <v>0.54545453621828843</v>
      </c>
      <c r="AI209">
        <v>150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2</v>
      </c>
      <c r="AP209">
        <v>2025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f t="shared" si="51"/>
        <v>0</v>
      </c>
      <c r="AW209">
        <f t="shared" si="52"/>
        <v>-0.46875000838190323</v>
      </c>
      <c r="AX209">
        <f t="shared" si="53"/>
        <v>1003.499977570027</v>
      </c>
      <c r="AY209">
        <f t="shared" si="54"/>
        <v>0</v>
      </c>
      <c r="AZ209">
        <f t="shared" si="55"/>
        <v>0.47999998927116388</v>
      </c>
      <c r="BA209" t="str">
        <f t="shared" si="56"/>
        <v/>
      </c>
      <c r="BB209">
        <f t="shared" si="57"/>
        <v>0.45454546378171151</v>
      </c>
      <c r="BC209">
        <f>MATCH($B209,clean_historis!$B:$B,0)</f>
        <v>209</v>
      </c>
      <c r="BD209">
        <f>IFERROR(INDEX(clean_historis!$AF:$AF,$BC209)/INDEX(clean_historis!$V:$V,$BC209),0)</f>
        <v>0.84375</v>
      </c>
      <c r="BE209">
        <f>IFERROR(INDEX(clean_historis!$AR:$AR,$BC209)/INDEX(clean_historis!$AH:$AH,$BC209),0)</f>
        <v>0.84375</v>
      </c>
      <c r="BF209">
        <f t="shared" si="58"/>
        <v>0.37499999161809677</v>
      </c>
      <c r="BG209">
        <f>MAX(IF(INDEX(clean_historis!$CL:$CL,$BC209)=1,2025,0),IF(INDEX(clean_historis!$CK:$CK,$BC209)=1,2024,0),IF(INDEX(clean_historis!$CJ:$CJ,$BC209)=1,2023,0),IF(INDEX(clean_historis!$CI:$CI,$BC209)=1,2022,0),IF(INDEX(clean_historis!$CH:$CH,$BC209)=1,2021,0))</f>
        <v>0</v>
      </c>
      <c r="BH209">
        <f t="shared" si="59"/>
        <v>0.54545453621828854</v>
      </c>
      <c r="BI209">
        <f t="shared" si="60"/>
        <v>1459.6363389201401</v>
      </c>
      <c r="BJ209">
        <f t="shared" si="61"/>
        <v>1</v>
      </c>
      <c r="BK209">
        <f t="shared" si="62"/>
        <v>15.5215</v>
      </c>
      <c r="BL209">
        <f t="shared" si="63"/>
        <v>0</v>
      </c>
      <c r="BM209">
        <f t="shared" si="64"/>
        <v>1</v>
      </c>
      <c r="BN209">
        <v>0</v>
      </c>
      <c r="BO209">
        <f t="shared" si="67"/>
        <v>0</v>
      </c>
      <c r="BP209">
        <f t="shared" si="65"/>
        <v>1</v>
      </c>
      <c r="BQ209">
        <f t="shared" si="66"/>
        <v>1</v>
      </c>
    </row>
    <row r="210" spans="1:69" x14ac:dyDescent="0.25">
      <c r="A210">
        <v>209</v>
      </c>
      <c r="B210" t="s">
        <v>910</v>
      </c>
      <c r="C210" t="s">
        <v>911</v>
      </c>
      <c r="D210" t="s">
        <v>912</v>
      </c>
      <c r="E210" t="s">
        <v>378</v>
      </c>
      <c r="F210" t="s">
        <v>105</v>
      </c>
      <c r="G210">
        <v>2</v>
      </c>
      <c r="H210">
        <v>1</v>
      </c>
      <c r="I210">
        <v>1247</v>
      </c>
      <c r="J210">
        <v>0</v>
      </c>
      <c r="K210">
        <v>1</v>
      </c>
      <c r="L210">
        <v>1763</v>
      </c>
      <c r="M210">
        <v>1586</v>
      </c>
      <c r="N210">
        <v>4835.5</v>
      </c>
      <c r="O210">
        <v>899.9</v>
      </c>
      <c r="P210">
        <v>6027.3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0.83</v>
      </c>
      <c r="W210">
        <v>0</v>
      </c>
      <c r="X210">
        <v>0</v>
      </c>
      <c r="Y210">
        <v>0.82999998331069946</v>
      </c>
      <c r="Z210">
        <v>0</v>
      </c>
      <c r="AA210">
        <v>0</v>
      </c>
      <c r="AB210">
        <v>0</v>
      </c>
      <c r="AC210">
        <v>0</v>
      </c>
      <c r="AD210">
        <v>0.82999998331069946</v>
      </c>
      <c r="AE210">
        <v>0</v>
      </c>
      <c r="AF210">
        <v>0.82999998331069946</v>
      </c>
      <c r="AG210">
        <v>0</v>
      </c>
      <c r="AH210">
        <v>1</v>
      </c>
      <c r="AI210">
        <v>150</v>
      </c>
      <c r="AJ210">
        <v>0</v>
      </c>
      <c r="AK210">
        <v>0</v>
      </c>
      <c r="AL210">
        <v>0</v>
      </c>
      <c r="AM210">
        <v>0.82999998331069946</v>
      </c>
      <c r="AN210">
        <v>0</v>
      </c>
      <c r="AO210">
        <v>0</v>
      </c>
      <c r="AR210">
        <v>0</v>
      </c>
      <c r="AS210">
        <v>0</v>
      </c>
      <c r="AT210">
        <v>0</v>
      </c>
      <c r="AU210">
        <v>1</v>
      </c>
      <c r="AV210">
        <f t="shared" si="51"/>
        <v>0.27710843373493976</v>
      </c>
      <c r="AW210">
        <f t="shared" si="52"/>
        <v>-2.010759092563319E-8</v>
      </c>
      <c r="AX210">
        <f t="shared" si="53"/>
        <v>1246.9999749258341</v>
      </c>
      <c r="AY210">
        <f t="shared" si="54"/>
        <v>0</v>
      </c>
      <c r="AZ210">
        <f t="shared" si="55"/>
        <v>0.82999998331069946</v>
      </c>
      <c r="BA210" t="str">
        <f t="shared" si="56"/>
        <v/>
      </c>
      <c r="BB210">
        <f t="shared" si="57"/>
        <v>0</v>
      </c>
      <c r="BC210">
        <f>MATCH($B210,clean_historis!$B:$B,0)</f>
        <v>210</v>
      </c>
      <c r="BD210">
        <f>IFERROR(INDEX(clean_historis!$AF:$AF,$BC210)/INDEX(clean_historis!$V:$V,$BC210),0)</f>
        <v>0.72289156626506024</v>
      </c>
      <c r="BE210">
        <f>IFERROR(INDEX(clean_historis!$AR:$AR,$BC210)/INDEX(clean_historis!$AH:$AH,$BC210),0)</f>
        <v>1</v>
      </c>
      <c r="BF210">
        <f t="shared" si="58"/>
        <v>0.99999997989240907</v>
      </c>
      <c r="BG210">
        <f>MAX(IF(INDEX(clean_historis!$CL:$CL,$BC210)=1,2025,0),IF(INDEX(clean_historis!$CK:$CK,$BC210)=1,2024,0),IF(INDEX(clean_historis!$CJ:$CJ,$BC210)=1,2023,0),IF(INDEX(clean_historis!$CI:$CI,$BC210)=1,2022,0),IF(INDEX(clean_historis!$CH:$CH,$BC210)=1,2021,0))</f>
        <v>0</v>
      </c>
      <c r="BH210">
        <f t="shared" si="59"/>
        <v>1</v>
      </c>
      <c r="BI210">
        <f t="shared" si="60"/>
        <v>1247</v>
      </c>
      <c r="BJ210">
        <f t="shared" si="61"/>
        <v>1</v>
      </c>
      <c r="BK210">
        <f t="shared" si="62"/>
        <v>14.211799999999998</v>
      </c>
      <c r="BL210">
        <f t="shared" si="63"/>
        <v>0</v>
      </c>
      <c r="BM210">
        <f t="shared" si="64"/>
        <v>1</v>
      </c>
      <c r="BN210">
        <v>0</v>
      </c>
      <c r="BO210">
        <f t="shared" si="67"/>
        <v>1</v>
      </c>
      <c r="BP210">
        <f t="shared" si="65"/>
        <v>0</v>
      </c>
      <c r="BQ210">
        <f t="shared" si="66"/>
        <v>1</v>
      </c>
    </row>
    <row r="211" spans="1:69" x14ac:dyDescent="0.25">
      <c r="A211">
        <v>210</v>
      </c>
      <c r="B211" t="s">
        <v>913</v>
      </c>
      <c r="C211" t="s">
        <v>914</v>
      </c>
      <c r="D211" t="s">
        <v>915</v>
      </c>
      <c r="E211" t="s">
        <v>916</v>
      </c>
      <c r="F211" t="s">
        <v>891</v>
      </c>
      <c r="G211">
        <v>9</v>
      </c>
      <c r="H211">
        <v>2</v>
      </c>
      <c r="I211">
        <v>9090</v>
      </c>
      <c r="J211">
        <v>0</v>
      </c>
      <c r="K211">
        <v>0</v>
      </c>
      <c r="L211">
        <v>758.6</v>
      </c>
      <c r="M211">
        <v>294.89999999999998</v>
      </c>
      <c r="N211">
        <v>1977.5</v>
      </c>
      <c r="O211">
        <v>153.4</v>
      </c>
      <c r="P211">
        <v>28590.6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7.33</v>
      </c>
      <c r="W211">
        <v>0</v>
      </c>
      <c r="X211">
        <v>0</v>
      </c>
      <c r="Y211">
        <v>7.3299999237060547</v>
      </c>
      <c r="Z211">
        <v>0</v>
      </c>
      <c r="AA211">
        <v>0.20000000298023221</v>
      </c>
      <c r="AB211">
        <v>5.0999999046325684</v>
      </c>
      <c r="AC211">
        <v>1.529999971389771</v>
      </c>
      <c r="AD211">
        <v>0.5</v>
      </c>
      <c r="AE211">
        <v>5.2999999076128006</v>
      </c>
      <c r="AF211">
        <v>2.029999971389771</v>
      </c>
      <c r="AG211">
        <v>0.72305593384730005</v>
      </c>
      <c r="AH211">
        <v>0.27694406615270001</v>
      </c>
      <c r="AI211">
        <v>150</v>
      </c>
      <c r="AJ211">
        <v>0.20000000298023221</v>
      </c>
      <c r="AK211">
        <v>5.0999999046325684</v>
      </c>
      <c r="AL211">
        <v>1.529999971389771</v>
      </c>
      <c r="AM211">
        <v>0.5</v>
      </c>
      <c r="AN211">
        <v>1</v>
      </c>
      <c r="AO211">
        <v>2</v>
      </c>
      <c r="AP211">
        <v>2023</v>
      </c>
      <c r="AQ211">
        <v>3</v>
      </c>
      <c r="AR211">
        <v>0</v>
      </c>
      <c r="AS211">
        <v>0</v>
      </c>
      <c r="AT211">
        <v>0</v>
      </c>
      <c r="AU211">
        <v>0</v>
      </c>
      <c r="AV211">
        <f t="shared" si="51"/>
        <v>2.7285129604365622E-2</v>
      </c>
      <c r="AW211">
        <f t="shared" si="52"/>
        <v>4.0927694406548434E-2</v>
      </c>
      <c r="AX211">
        <f t="shared" si="53"/>
        <v>620.05457025920873</v>
      </c>
      <c r="AY211">
        <f t="shared" si="54"/>
        <v>0</v>
      </c>
      <c r="AZ211">
        <f t="shared" si="55"/>
        <v>0.5</v>
      </c>
      <c r="BA211">
        <f t="shared" si="56"/>
        <v>3</v>
      </c>
      <c r="BB211">
        <f t="shared" si="57"/>
        <v>0.72305593384730005</v>
      </c>
      <c r="BC211">
        <f>MATCH($B211,clean_historis!$B:$B,0)</f>
        <v>211</v>
      </c>
      <c r="BD211">
        <f>IFERROR(INDEX(clean_historis!$AF:$AF,$BC211)/INDEX(clean_historis!$V:$V,$BC211),0)</f>
        <v>0</v>
      </c>
      <c r="BE211">
        <f>IFERROR(INDEX(clean_historis!$AR:$AR,$BC211)/INDEX(clean_historis!$AH:$AH,$BC211),0)</f>
        <v>2.7285129604365622E-2</v>
      </c>
      <c r="BF211">
        <f t="shared" si="58"/>
        <v>6.8212824010914053E-2</v>
      </c>
      <c r="BG211">
        <f>MAX(IF(INDEX(clean_historis!$CL:$CL,$BC211)=1,2025,0),IF(INDEX(clean_historis!$CK:$CK,$BC211)=1,2024,0),IF(INDEX(clean_historis!$CJ:$CJ,$BC211)=1,2023,0),IF(INDEX(clean_historis!$CI:$CI,$BC211)=1,2022,0),IF(INDEX(clean_historis!$CH:$CH,$BC211)=1,2021,0))</f>
        <v>2022</v>
      </c>
      <c r="BH211">
        <f t="shared" si="59"/>
        <v>0.27694406615269995</v>
      </c>
      <c r="BI211">
        <f t="shared" si="60"/>
        <v>2517.4215613280426</v>
      </c>
      <c r="BJ211">
        <f t="shared" si="61"/>
        <v>1</v>
      </c>
      <c r="BK211">
        <f t="shared" si="62"/>
        <v>31.621599999999997</v>
      </c>
      <c r="BL211">
        <f t="shared" si="63"/>
        <v>0</v>
      </c>
      <c r="BM211">
        <f t="shared" si="64"/>
        <v>0</v>
      </c>
      <c r="BN211">
        <v>0</v>
      </c>
      <c r="BO211">
        <f t="shared" si="67"/>
        <v>0</v>
      </c>
      <c r="BP211">
        <f t="shared" si="65"/>
        <v>1</v>
      </c>
      <c r="BQ211">
        <f t="shared" si="66"/>
        <v>0</v>
      </c>
    </row>
    <row r="212" spans="1:69" x14ac:dyDescent="0.25">
      <c r="A212">
        <v>211</v>
      </c>
      <c r="B212" t="s">
        <v>917</v>
      </c>
      <c r="C212" t="s">
        <v>918</v>
      </c>
      <c r="D212" t="s">
        <v>919</v>
      </c>
      <c r="E212" t="s">
        <v>920</v>
      </c>
      <c r="F212" t="s">
        <v>363</v>
      </c>
      <c r="G212">
        <v>3</v>
      </c>
      <c r="H212">
        <v>1</v>
      </c>
      <c r="I212">
        <v>1745</v>
      </c>
      <c r="J212">
        <v>0</v>
      </c>
      <c r="K212">
        <v>0</v>
      </c>
      <c r="L212">
        <v>2988.9</v>
      </c>
      <c r="M212">
        <v>2353.5</v>
      </c>
      <c r="N212">
        <v>4207.7</v>
      </c>
      <c r="O212">
        <v>525.79999999999995</v>
      </c>
      <c r="P212">
        <v>30820.9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1.65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150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R212">
        <v>0</v>
      </c>
      <c r="AS212">
        <v>0</v>
      </c>
      <c r="AT212">
        <v>0</v>
      </c>
      <c r="AU212">
        <v>1</v>
      </c>
      <c r="AV212">
        <f t="shared" si="51"/>
        <v>0</v>
      </c>
      <c r="AW212">
        <f t="shared" si="52"/>
        <v>-1</v>
      </c>
      <c r="AX212">
        <f t="shared" si="53"/>
        <v>0</v>
      </c>
      <c r="AY212">
        <f t="shared" si="54"/>
        <v>0</v>
      </c>
      <c r="AZ212">
        <f t="shared" si="55"/>
        <v>0</v>
      </c>
      <c r="BA212" t="str">
        <f t="shared" si="56"/>
        <v/>
      </c>
      <c r="BB212">
        <f t="shared" si="57"/>
        <v>0</v>
      </c>
      <c r="BC212">
        <f>MATCH($B212,clean_historis!$B:$B,0)</f>
        <v>212</v>
      </c>
      <c r="BD212">
        <f>IFERROR(INDEX(clean_historis!$AF:$AF,$BC212)/INDEX(clean_historis!$V:$V,$BC212),0)</f>
        <v>1</v>
      </c>
      <c r="BE212">
        <f>IFERROR(INDEX(clean_historis!$AR:$AR,$BC212)/INDEX(clean_historis!$AH:$AH,$BC212),0)</f>
        <v>1</v>
      </c>
      <c r="BF212">
        <f t="shared" si="58"/>
        <v>0</v>
      </c>
      <c r="BG212">
        <f>MAX(IF(INDEX(clean_historis!$CL:$CL,$BC212)=1,2025,0),IF(INDEX(clean_historis!$CK:$CK,$BC212)=1,2024,0),IF(INDEX(clean_historis!$CJ:$CJ,$BC212)=1,2023,0),IF(INDEX(clean_historis!$CI:$CI,$BC212)=1,2022,0),IF(INDEX(clean_historis!$CH:$CH,$BC212)=1,2021,0))</f>
        <v>0</v>
      </c>
      <c r="BH212">
        <f t="shared" si="59"/>
        <v>1</v>
      </c>
      <c r="BI212">
        <f t="shared" si="60"/>
        <v>1745</v>
      </c>
      <c r="BJ212">
        <f t="shared" si="61"/>
        <v>0</v>
      </c>
      <c r="BK212">
        <f t="shared" si="62"/>
        <v>40.371000000000002</v>
      </c>
      <c r="BL212">
        <f t="shared" si="63"/>
        <v>0</v>
      </c>
      <c r="BM212">
        <f t="shared" si="64"/>
        <v>0</v>
      </c>
      <c r="BN212">
        <v>0</v>
      </c>
      <c r="BO212">
        <f t="shared" si="67"/>
        <v>0</v>
      </c>
      <c r="BP212">
        <f t="shared" si="65"/>
        <v>0</v>
      </c>
      <c r="BQ212">
        <f t="shared" si="66"/>
        <v>1</v>
      </c>
    </row>
    <row r="213" spans="1:69" x14ac:dyDescent="0.25">
      <c r="A213">
        <v>212</v>
      </c>
      <c r="B213" t="s">
        <v>470</v>
      </c>
      <c r="C213" t="s">
        <v>921</v>
      </c>
      <c r="D213" t="s">
        <v>922</v>
      </c>
      <c r="E213" t="s">
        <v>149</v>
      </c>
      <c r="F213" t="s">
        <v>149</v>
      </c>
      <c r="G213">
        <v>1</v>
      </c>
      <c r="H213">
        <v>1</v>
      </c>
      <c r="I213">
        <v>760</v>
      </c>
      <c r="J213">
        <v>0</v>
      </c>
      <c r="K213">
        <v>1</v>
      </c>
      <c r="L213">
        <v>697.1</v>
      </c>
      <c r="M213">
        <v>91.6</v>
      </c>
      <c r="N213">
        <v>10456.299999999999</v>
      </c>
      <c r="O213">
        <v>136.6</v>
      </c>
      <c r="P213">
        <v>8593.4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0.44</v>
      </c>
      <c r="W213">
        <v>0</v>
      </c>
      <c r="X213">
        <v>0</v>
      </c>
      <c r="Y213">
        <v>0.43999999761581421</v>
      </c>
      <c r="Z213">
        <v>0</v>
      </c>
      <c r="AA213">
        <v>0.30000001192092901</v>
      </c>
      <c r="AB213">
        <v>3.9999999105930328E-2</v>
      </c>
      <c r="AC213">
        <v>0</v>
      </c>
      <c r="AD213">
        <v>0.10000000149011611</v>
      </c>
      <c r="AE213">
        <v>0.34000001102685928</v>
      </c>
      <c r="AF213">
        <v>0.10000000149011611</v>
      </c>
      <c r="AG213">
        <v>0.77272727580602496</v>
      </c>
      <c r="AH213">
        <v>0.22727272419397501</v>
      </c>
      <c r="AI213">
        <v>150</v>
      </c>
      <c r="AJ213">
        <v>0.30000001192092901</v>
      </c>
      <c r="AK213">
        <v>3.9999999105930328E-2</v>
      </c>
      <c r="AL213">
        <v>0</v>
      </c>
      <c r="AM213">
        <v>0.10000000149011611</v>
      </c>
      <c r="AN213">
        <v>0</v>
      </c>
      <c r="AO213">
        <v>0</v>
      </c>
      <c r="AR213">
        <v>0</v>
      </c>
      <c r="AS213">
        <v>0</v>
      </c>
      <c r="AT213">
        <v>0</v>
      </c>
      <c r="AU213">
        <v>0</v>
      </c>
      <c r="AV213">
        <f t="shared" si="51"/>
        <v>-1.1102230246251565E-16</v>
      </c>
      <c r="AW213">
        <f t="shared" si="52"/>
        <v>-0.4634489188251813</v>
      </c>
      <c r="AX213">
        <f t="shared" si="53"/>
        <v>172.72727530110961</v>
      </c>
      <c r="AY213">
        <f t="shared" si="54"/>
        <v>0</v>
      </c>
      <c r="AZ213">
        <f t="shared" si="55"/>
        <v>0.10000000149011611</v>
      </c>
      <c r="BA213" t="str">
        <f t="shared" si="56"/>
        <v/>
      </c>
      <c r="BB213">
        <f t="shared" si="57"/>
        <v>0.77272727580602496</v>
      </c>
      <c r="BC213">
        <f>MATCH($B213,clean_historis!$B:$B,0)</f>
        <v>92</v>
      </c>
      <c r="BD213">
        <f>IFERROR(INDEX(clean_historis!$AF:$AF,$BC213)/INDEX(clean_historis!$V:$V,$BC213),0)</f>
        <v>0.69072164948453618</v>
      </c>
      <c r="BE213">
        <f>IFERROR(INDEX(clean_historis!$AR:$AR,$BC213)/INDEX(clean_historis!$AH:$AH,$BC213),0)</f>
        <v>0.69072164948453607</v>
      </c>
      <c r="BF213">
        <f t="shared" si="58"/>
        <v>0.22727273065935477</v>
      </c>
      <c r="BG213">
        <f>MAX(IF(INDEX(clean_historis!$CL:$CL,$BC213)=1,2025,0),IF(INDEX(clean_historis!$CK:$CK,$BC213)=1,2024,0),IF(INDEX(clean_historis!$CJ:$CJ,$BC213)=1,2023,0),IF(INDEX(clean_historis!$CI:$CI,$BC213)=1,2022,0),IF(INDEX(clean_historis!$CH:$CH,$BC213)=1,2021,0))</f>
        <v>0</v>
      </c>
      <c r="BH213">
        <f t="shared" si="59"/>
        <v>0.22727272419397504</v>
      </c>
      <c r="BI213">
        <f t="shared" si="60"/>
        <v>172.72727038742104</v>
      </c>
      <c r="BJ213">
        <f t="shared" si="61"/>
        <v>1</v>
      </c>
      <c r="BK213">
        <f t="shared" si="62"/>
        <v>19.838399999999996</v>
      </c>
      <c r="BL213">
        <f t="shared" si="63"/>
        <v>0</v>
      </c>
      <c r="BM213">
        <f t="shared" si="64"/>
        <v>0</v>
      </c>
      <c r="BN213">
        <v>0</v>
      </c>
      <c r="BO213">
        <f t="shared" si="67"/>
        <v>1</v>
      </c>
      <c r="BP213">
        <f t="shared" si="65"/>
        <v>0</v>
      </c>
      <c r="BQ213">
        <f t="shared" si="66"/>
        <v>1</v>
      </c>
    </row>
    <row r="214" spans="1:69" x14ac:dyDescent="0.25">
      <c r="A214">
        <v>213</v>
      </c>
      <c r="B214" t="s">
        <v>923</v>
      </c>
      <c r="C214" t="s">
        <v>924</v>
      </c>
      <c r="D214" t="s">
        <v>925</v>
      </c>
      <c r="E214" t="s">
        <v>926</v>
      </c>
      <c r="F214" t="s">
        <v>208</v>
      </c>
      <c r="G214">
        <v>2</v>
      </c>
      <c r="H214">
        <v>2</v>
      </c>
      <c r="I214">
        <v>1110</v>
      </c>
      <c r="J214">
        <v>0</v>
      </c>
      <c r="K214">
        <v>0</v>
      </c>
      <c r="L214">
        <v>4859.2</v>
      </c>
      <c r="M214">
        <v>4797.5</v>
      </c>
      <c r="N214">
        <v>10089.200000000001</v>
      </c>
      <c r="O214">
        <v>920.4</v>
      </c>
      <c r="P214">
        <v>8226.2999999999993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1.07</v>
      </c>
      <c r="W214">
        <v>0</v>
      </c>
      <c r="X214">
        <v>0</v>
      </c>
      <c r="Y214">
        <v>1.070000052452087</v>
      </c>
      <c r="Z214">
        <v>0</v>
      </c>
      <c r="AA214">
        <v>0</v>
      </c>
      <c r="AB214">
        <v>7.0000000298023224E-2</v>
      </c>
      <c r="AC214">
        <v>0.5</v>
      </c>
      <c r="AD214">
        <v>0.5</v>
      </c>
      <c r="AE214">
        <v>7.0000000298023224E-2</v>
      </c>
      <c r="AF214">
        <v>1</v>
      </c>
      <c r="AG214">
        <v>6.5420561007968572E-2</v>
      </c>
      <c r="AH214">
        <v>0.93457943899203144</v>
      </c>
      <c r="AI214">
        <v>150</v>
      </c>
      <c r="AJ214">
        <v>0</v>
      </c>
      <c r="AK214">
        <v>7.0000000298023224E-2</v>
      </c>
      <c r="AL214">
        <v>0.5</v>
      </c>
      <c r="AM214">
        <v>0.5</v>
      </c>
      <c r="AN214">
        <v>1</v>
      </c>
      <c r="AO214">
        <v>1</v>
      </c>
      <c r="AP214">
        <v>2024</v>
      </c>
      <c r="AQ214">
        <v>2</v>
      </c>
      <c r="AR214">
        <v>0</v>
      </c>
      <c r="AS214">
        <v>0</v>
      </c>
      <c r="AT214">
        <v>0</v>
      </c>
      <c r="AU214">
        <v>0</v>
      </c>
      <c r="AV214">
        <f t="shared" si="51"/>
        <v>0</v>
      </c>
      <c r="AW214">
        <f t="shared" si="52"/>
        <v>0.46728971962616822</v>
      </c>
      <c r="AX214">
        <f t="shared" si="53"/>
        <v>518.69158878504675</v>
      </c>
      <c r="AY214">
        <f t="shared" si="54"/>
        <v>0</v>
      </c>
      <c r="AZ214">
        <f t="shared" si="55"/>
        <v>0.5</v>
      </c>
      <c r="BA214" t="str">
        <f t="shared" si="56"/>
        <v/>
      </c>
      <c r="BB214">
        <f t="shared" si="57"/>
        <v>6.5420561007968572E-2</v>
      </c>
      <c r="BC214">
        <f>MATCH($B214,clean_historis!$B:$B,0)</f>
        <v>214</v>
      </c>
      <c r="BD214">
        <f>IFERROR(INDEX(clean_historis!$AF:$AF,$BC214)/INDEX(clean_historis!$V:$V,$BC214),0)</f>
        <v>0</v>
      </c>
      <c r="BE214">
        <f>IFERROR(INDEX(clean_historis!$AR:$AR,$BC214)/INDEX(clean_historis!$AH:$AH,$BC214),0)</f>
        <v>0</v>
      </c>
      <c r="BF214">
        <f t="shared" si="58"/>
        <v>0.46728971962616822</v>
      </c>
      <c r="BG214">
        <f>MAX(IF(INDEX(clean_historis!$CL:$CL,$BC214)=1,2025,0),IF(INDEX(clean_historis!$CK:$CK,$BC214)=1,2024,0),IF(INDEX(clean_historis!$CJ:$CJ,$BC214)=1,2023,0),IF(INDEX(clean_historis!$CI:$CI,$BC214)=1,2022,0),IF(INDEX(clean_historis!$CH:$CH,$BC214)=1,2021,0))</f>
        <v>0</v>
      </c>
      <c r="BH214">
        <f t="shared" si="59"/>
        <v>0.93457943899203144</v>
      </c>
      <c r="BI214">
        <f t="shared" si="60"/>
        <v>1037.383177281155</v>
      </c>
      <c r="BJ214">
        <f t="shared" si="61"/>
        <v>0</v>
      </c>
      <c r="BK214">
        <f t="shared" si="62"/>
        <v>27.972200000000001</v>
      </c>
      <c r="BL214">
        <f t="shared" si="63"/>
        <v>0</v>
      </c>
      <c r="BM214">
        <f t="shared" si="64"/>
        <v>1</v>
      </c>
      <c r="BN214">
        <v>0</v>
      </c>
      <c r="BO214">
        <f t="shared" si="67"/>
        <v>0</v>
      </c>
      <c r="BP214">
        <f t="shared" si="65"/>
        <v>1</v>
      </c>
      <c r="BQ214">
        <f t="shared" si="66"/>
        <v>1</v>
      </c>
    </row>
    <row r="215" spans="1:69" x14ac:dyDescent="0.25">
      <c r="A215">
        <v>214</v>
      </c>
      <c r="B215" t="s">
        <v>927</v>
      </c>
      <c r="C215" t="s">
        <v>928</v>
      </c>
      <c r="D215" t="s">
        <v>929</v>
      </c>
      <c r="E215" t="s">
        <v>930</v>
      </c>
      <c r="F215" t="s">
        <v>100</v>
      </c>
      <c r="G215">
        <v>2</v>
      </c>
      <c r="H215">
        <v>1</v>
      </c>
      <c r="I215">
        <v>4566</v>
      </c>
      <c r="J215">
        <v>0</v>
      </c>
      <c r="K215">
        <v>1</v>
      </c>
      <c r="L215">
        <v>0</v>
      </c>
      <c r="M215">
        <v>674.8</v>
      </c>
      <c r="N215">
        <v>1817.8</v>
      </c>
      <c r="O215">
        <v>490.3</v>
      </c>
      <c r="P215">
        <v>318.3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0.56000000000000005</v>
      </c>
      <c r="W215">
        <v>0</v>
      </c>
      <c r="X215">
        <v>0</v>
      </c>
      <c r="Y215">
        <v>0.56000000238418579</v>
      </c>
      <c r="Z215">
        <v>0</v>
      </c>
      <c r="AA215">
        <v>0</v>
      </c>
      <c r="AB215">
        <v>0.36000001430511469</v>
      </c>
      <c r="AC215">
        <v>0.20000000298023221</v>
      </c>
      <c r="AD215">
        <v>0</v>
      </c>
      <c r="AE215">
        <v>0.36000001430511469</v>
      </c>
      <c r="AF215">
        <v>0.20000000298023221</v>
      </c>
      <c r="AG215">
        <v>0.64285714855911757</v>
      </c>
      <c r="AH215">
        <v>0.35714285144088243</v>
      </c>
      <c r="AI215">
        <v>200</v>
      </c>
      <c r="AJ215">
        <v>0</v>
      </c>
      <c r="AK215">
        <v>0.36000001430511469</v>
      </c>
      <c r="AL215">
        <v>0.20000000298023221</v>
      </c>
      <c r="AM215">
        <v>0</v>
      </c>
      <c r="AN215">
        <v>0</v>
      </c>
      <c r="AO215">
        <v>0</v>
      </c>
      <c r="AR215">
        <v>1</v>
      </c>
      <c r="AS215">
        <v>0</v>
      </c>
      <c r="AT215">
        <v>1</v>
      </c>
      <c r="AU215">
        <v>0</v>
      </c>
      <c r="AV215">
        <f t="shared" si="51"/>
        <v>0</v>
      </c>
      <c r="AW215">
        <f t="shared" si="52"/>
        <v>0</v>
      </c>
      <c r="AX215">
        <f t="shared" si="53"/>
        <v>0</v>
      </c>
      <c r="AY215">
        <f t="shared" si="54"/>
        <v>0</v>
      </c>
      <c r="AZ215">
        <f t="shared" si="55"/>
        <v>0</v>
      </c>
      <c r="BA215" t="str">
        <f t="shared" si="56"/>
        <v/>
      </c>
      <c r="BB215">
        <f t="shared" si="57"/>
        <v>0.64285714855911757</v>
      </c>
      <c r="BC215">
        <f>MATCH($B215,clean_historis!$B:$B,0)</f>
        <v>215</v>
      </c>
      <c r="BD215">
        <f>IFERROR(INDEX(clean_historis!$AF:$AF,$BC215)/INDEX(clean_historis!$V:$V,$BC215),0)</f>
        <v>0</v>
      </c>
      <c r="BE215">
        <f>IFERROR(INDEX(clean_historis!$AR:$AR,$BC215)/INDEX(clean_historis!$AH:$AH,$BC215),0)</f>
        <v>0</v>
      </c>
      <c r="BF215">
        <f t="shared" si="58"/>
        <v>0</v>
      </c>
      <c r="BG215">
        <f>MAX(IF(INDEX(clean_historis!$CL:$CL,$BC215)=1,2025,0),IF(INDEX(clean_historis!$CK:$CK,$BC215)=1,2024,0),IF(INDEX(clean_historis!$CJ:$CJ,$BC215)=1,2023,0),IF(INDEX(clean_historis!$CI:$CI,$BC215)=1,2022,0),IF(INDEX(clean_historis!$CH:$CH,$BC215)=1,2021,0))</f>
        <v>0</v>
      </c>
      <c r="BH215">
        <f t="shared" si="59"/>
        <v>0.35714285144088243</v>
      </c>
      <c r="BI215">
        <f t="shared" si="60"/>
        <v>1630.7142596790691</v>
      </c>
      <c r="BJ215">
        <f t="shared" si="61"/>
        <v>1</v>
      </c>
      <c r="BK215">
        <f t="shared" si="62"/>
        <v>2.8108999999999997</v>
      </c>
      <c r="BL215">
        <f t="shared" si="63"/>
        <v>0</v>
      </c>
      <c r="BM215">
        <f t="shared" si="64"/>
        <v>0</v>
      </c>
      <c r="BN215">
        <v>0</v>
      </c>
      <c r="BO215">
        <f t="shared" si="67"/>
        <v>1</v>
      </c>
      <c r="BP215">
        <f t="shared" si="65"/>
        <v>0</v>
      </c>
      <c r="BQ215">
        <f t="shared" si="66"/>
        <v>1</v>
      </c>
    </row>
    <row r="216" spans="1:69" x14ac:dyDescent="0.25">
      <c r="A216">
        <v>215</v>
      </c>
      <c r="B216" t="s">
        <v>931</v>
      </c>
      <c r="C216" t="s">
        <v>932</v>
      </c>
      <c r="D216" t="s">
        <v>933</v>
      </c>
      <c r="E216" t="s">
        <v>571</v>
      </c>
      <c r="F216" t="s">
        <v>203</v>
      </c>
      <c r="G216">
        <v>2</v>
      </c>
      <c r="H216">
        <v>2</v>
      </c>
      <c r="I216">
        <v>2100</v>
      </c>
      <c r="J216">
        <v>1</v>
      </c>
      <c r="K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3.67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2</v>
      </c>
      <c r="AP216">
        <v>2023</v>
      </c>
      <c r="AQ216">
        <v>3</v>
      </c>
      <c r="AR216">
        <v>0</v>
      </c>
      <c r="AS216">
        <v>0</v>
      </c>
      <c r="AT216">
        <v>0</v>
      </c>
      <c r="AU216">
        <v>0</v>
      </c>
      <c r="AV216">
        <f t="shared" si="51"/>
        <v>6.6613381477509392E-16</v>
      </c>
      <c r="AW216">
        <f t="shared" si="52"/>
        <v>-1.0000000000000007</v>
      </c>
      <c r="AX216">
        <f t="shared" si="53"/>
        <v>0</v>
      </c>
      <c r="AY216">
        <f t="shared" si="54"/>
        <v>5</v>
      </c>
      <c r="AZ216">
        <f t="shared" si="55"/>
        <v>0</v>
      </c>
      <c r="BA216" t="str">
        <f t="shared" si="56"/>
        <v/>
      </c>
      <c r="BB216">
        <f t="shared" si="57"/>
        <v>0</v>
      </c>
      <c r="BC216">
        <f>MATCH($B216,clean_historis!$B:$B,0)</f>
        <v>216</v>
      </c>
      <c r="BD216">
        <f>IFERROR(INDEX(clean_historis!$AF:$AF,$BC216)/INDEX(clean_historis!$V:$V,$BC216),0)</f>
        <v>1</v>
      </c>
      <c r="BE216">
        <f>IFERROR(INDEX(clean_historis!$AR:$AR,$BC216)/INDEX(clean_historis!$AH:$AH,$BC216),0)</f>
        <v>1.0000000000000007</v>
      </c>
      <c r="BF216">
        <f t="shared" si="58"/>
        <v>0</v>
      </c>
      <c r="BG216">
        <f>MAX(IF(INDEX(clean_historis!$CL:$CL,$BC216)=1,2025,0),IF(INDEX(clean_historis!$CK:$CK,$BC216)=1,2024,0),IF(INDEX(clean_historis!$CJ:$CJ,$BC216)=1,2023,0),IF(INDEX(clean_historis!$CI:$CI,$BC216)=1,2022,0),IF(INDEX(clean_historis!$CH:$CH,$BC216)=1,2021,0))</f>
        <v>0</v>
      </c>
      <c r="BH216">
        <f t="shared" si="59"/>
        <v>1</v>
      </c>
      <c r="BI216">
        <f t="shared" si="60"/>
        <v>2100</v>
      </c>
      <c r="BJ216">
        <f t="shared" si="61"/>
        <v>0</v>
      </c>
      <c r="BK216">
        <f t="shared" si="62"/>
        <v>0</v>
      </c>
      <c r="BL216">
        <f t="shared" si="63"/>
        <v>0</v>
      </c>
      <c r="BM216">
        <f t="shared" si="64"/>
        <v>0</v>
      </c>
      <c r="BN216">
        <v>0</v>
      </c>
      <c r="BO216">
        <f t="shared" si="67"/>
        <v>0</v>
      </c>
      <c r="BP216">
        <f t="shared" si="65"/>
        <v>1</v>
      </c>
      <c r="BQ216">
        <f t="shared" si="66"/>
        <v>1</v>
      </c>
    </row>
    <row r="217" spans="1:69" x14ac:dyDescent="0.25">
      <c r="A217">
        <v>216</v>
      </c>
      <c r="B217" t="s">
        <v>934</v>
      </c>
      <c r="C217" t="s">
        <v>935</v>
      </c>
      <c r="D217" t="s">
        <v>936</v>
      </c>
      <c r="E217" t="s">
        <v>113</v>
      </c>
      <c r="F217" t="s">
        <v>100</v>
      </c>
      <c r="G217">
        <v>3</v>
      </c>
      <c r="H217">
        <v>1</v>
      </c>
      <c r="I217">
        <v>6205</v>
      </c>
      <c r="J217">
        <v>0</v>
      </c>
      <c r="K217">
        <v>1</v>
      </c>
      <c r="L217">
        <v>893.2</v>
      </c>
      <c r="M217">
        <v>814.5</v>
      </c>
      <c r="N217">
        <v>2455.1</v>
      </c>
      <c r="O217">
        <v>0</v>
      </c>
      <c r="P217">
        <v>592.20000000000005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1.0900000000000001</v>
      </c>
      <c r="W217">
        <v>0</v>
      </c>
      <c r="X217">
        <v>0</v>
      </c>
      <c r="Y217">
        <v>1.0900000333786011</v>
      </c>
      <c r="Z217">
        <v>0</v>
      </c>
      <c r="AA217">
        <v>0.80000001192092896</v>
      </c>
      <c r="AB217">
        <v>0.28999999165534968</v>
      </c>
      <c r="AC217">
        <v>0</v>
      </c>
      <c r="AD217">
        <v>0</v>
      </c>
      <c r="AE217">
        <v>1.0900000035762789</v>
      </c>
      <c r="AF217">
        <v>0</v>
      </c>
      <c r="AG217">
        <v>1</v>
      </c>
      <c r="AH217">
        <v>0</v>
      </c>
      <c r="AI217">
        <v>150</v>
      </c>
      <c r="AJ217">
        <v>0.80000001192092896</v>
      </c>
      <c r="AK217">
        <v>0.28999999165534968</v>
      </c>
      <c r="AL217">
        <v>0</v>
      </c>
      <c r="AM217">
        <v>0</v>
      </c>
      <c r="AN217">
        <v>0</v>
      </c>
      <c r="AO217">
        <v>0</v>
      </c>
      <c r="AR217">
        <v>0</v>
      </c>
      <c r="AS217">
        <v>0</v>
      </c>
      <c r="AT217">
        <v>0</v>
      </c>
      <c r="AU217">
        <v>0</v>
      </c>
      <c r="AV217">
        <f t="shared" si="51"/>
        <v>0</v>
      </c>
      <c r="AW217">
        <f t="shared" si="52"/>
        <v>0</v>
      </c>
      <c r="AX217">
        <f t="shared" si="53"/>
        <v>0</v>
      </c>
      <c r="AY217">
        <f t="shared" si="54"/>
        <v>0</v>
      </c>
      <c r="AZ217">
        <f t="shared" si="55"/>
        <v>0</v>
      </c>
      <c r="BA217" t="str">
        <f t="shared" si="56"/>
        <v/>
      </c>
      <c r="BB217">
        <f t="shared" si="57"/>
        <v>1</v>
      </c>
      <c r="BC217">
        <f>MATCH($B217,clean_historis!$B:$B,0)</f>
        <v>217</v>
      </c>
      <c r="BD217">
        <f>IFERROR(INDEX(clean_historis!$AF:$AF,$BC217)/INDEX(clean_historis!$V:$V,$BC217),0)</f>
        <v>0</v>
      </c>
      <c r="BE217">
        <f>IFERROR(INDEX(clean_historis!$AR:$AR,$BC217)/INDEX(clean_historis!$AH:$AH,$BC217),0)</f>
        <v>0</v>
      </c>
      <c r="BF217">
        <f t="shared" si="58"/>
        <v>0</v>
      </c>
      <c r="BG217">
        <f>MAX(IF(INDEX(clean_historis!$CL:$CL,$BC217)=1,2025,0),IF(INDEX(clean_historis!$CK:$CK,$BC217)=1,2024,0),IF(INDEX(clean_historis!$CJ:$CJ,$BC217)=1,2023,0),IF(INDEX(clean_historis!$CI:$CI,$BC217)=1,2022,0),IF(INDEX(clean_historis!$CH:$CH,$BC217)=1,2021,0))</f>
        <v>0</v>
      </c>
      <c r="BH217">
        <f t="shared" si="59"/>
        <v>0</v>
      </c>
      <c r="BI217">
        <f t="shared" si="60"/>
        <v>0</v>
      </c>
      <c r="BJ217">
        <f t="shared" si="61"/>
        <v>1</v>
      </c>
      <c r="BK217">
        <f t="shared" si="62"/>
        <v>4.7549999999999999</v>
      </c>
      <c r="BL217">
        <f t="shared" si="63"/>
        <v>0</v>
      </c>
      <c r="BM217">
        <f t="shared" si="64"/>
        <v>0</v>
      </c>
      <c r="BN217">
        <v>0</v>
      </c>
      <c r="BO217">
        <f t="shared" si="67"/>
        <v>0</v>
      </c>
      <c r="BP217">
        <f t="shared" si="65"/>
        <v>0</v>
      </c>
      <c r="BQ217">
        <f t="shared" si="66"/>
        <v>0</v>
      </c>
    </row>
    <row r="218" spans="1:69" x14ac:dyDescent="0.25">
      <c r="A218">
        <v>217</v>
      </c>
      <c r="B218" t="s">
        <v>937</v>
      </c>
      <c r="C218" t="s">
        <v>938</v>
      </c>
      <c r="D218" t="s">
        <v>939</v>
      </c>
      <c r="E218" t="s">
        <v>940</v>
      </c>
      <c r="F218" t="s">
        <v>105</v>
      </c>
      <c r="G218">
        <v>3</v>
      </c>
      <c r="H218">
        <v>1</v>
      </c>
      <c r="I218">
        <v>1740</v>
      </c>
      <c r="J218">
        <v>0</v>
      </c>
      <c r="K218">
        <v>0</v>
      </c>
      <c r="L218">
        <v>4124.8999999999996</v>
      </c>
      <c r="M218">
        <v>3842.6</v>
      </c>
      <c r="N218">
        <v>7884.4</v>
      </c>
      <c r="O218">
        <v>520.9</v>
      </c>
      <c r="P218">
        <v>8049.1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1.56</v>
      </c>
      <c r="W218">
        <v>0</v>
      </c>
      <c r="X218">
        <v>0</v>
      </c>
      <c r="Y218">
        <v>1.559999942779541</v>
      </c>
      <c r="Z218">
        <v>0</v>
      </c>
      <c r="AA218">
        <v>0.10000000149011611</v>
      </c>
      <c r="AB218">
        <v>1.1599999666213989</v>
      </c>
      <c r="AC218">
        <v>0.30000001192092901</v>
      </c>
      <c r="AD218">
        <v>0</v>
      </c>
      <c r="AE218">
        <v>1.259999968111515</v>
      </c>
      <c r="AF218">
        <v>0.30000001192092901</v>
      </c>
      <c r="AG218">
        <v>0.80769229758920269</v>
      </c>
      <c r="AH218">
        <v>0.19230770241079731</v>
      </c>
      <c r="AI218">
        <v>150</v>
      </c>
      <c r="AJ218">
        <v>0.10000000149011611</v>
      </c>
      <c r="AK218">
        <v>1.1599999666213989</v>
      </c>
      <c r="AL218">
        <v>0.30000001192092901</v>
      </c>
      <c r="AM218">
        <v>0</v>
      </c>
      <c r="AN218">
        <v>0</v>
      </c>
      <c r="AO218">
        <v>0</v>
      </c>
      <c r="AR218">
        <v>0</v>
      </c>
      <c r="AS218">
        <v>0</v>
      </c>
      <c r="AT218">
        <v>0</v>
      </c>
      <c r="AU218">
        <v>0</v>
      </c>
      <c r="AV218">
        <f t="shared" si="51"/>
        <v>0</v>
      </c>
      <c r="AW218">
        <f t="shared" si="52"/>
        <v>0</v>
      </c>
      <c r="AX218">
        <f t="shared" si="53"/>
        <v>0</v>
      </c>
      <c r="AY218">
        <f t="shared" si="54"/>
        <v>0</v>
      </c>
      <c r="AZ218">
        <f t="shared" si="55"/>
        <v>0</v>
      </c>
      <c r="BA218" t="str">
        <f t="shared" si="56"/>
        <v/>
      </c>
      <c r="BB218">
        <f t="shared" si="57"/>
        <v>0.80769229758920269</v>
      </c>
      <c r="BC218">
        <f>MATCH($B218,clean_historis!$B:$B,0)</f>
        <v>218</v>
      </c>
      <c r="BD218">
        <f>IFERROR(INDEX(clean_historis!$AF:$AF,$BC218)/INDEX(clean_historis!$V:$V,$BC218),0)</f>
        <v>0</v>
      </c>
      <c r="BE218">
        <f>IFERROR(INDEX(clean_historis!$AR:$AR,$BC218)/INDEX(clean_historis!$AH:$AH,$BC218),0)</f>
        <v>0</v>
      </c>
      <c r="BF218">
        <f t="shared" si="58"/>
        <v>0</v>
      </c>
      <c r="BG218">
        <f>MAX(IF(INDEX(clean_historis!$CL:$CL,$BC218)=1,2025,0),IF(INDEX(clean_historis!$CK:$CK,$BC218)=1,2024,0),IF(INDEX(clean_historis!$CJ:$CJ,$BC218)=1,2023,0),IF(INDEX(clean_historis!$CI:$CI,$BC218)=1,2022,0),IF(INDEX(clean_historis!$CH:$CH,$BC218)=1,2021,0))</f>
        <v>0</v>
      </c>
      <c r="BH218">
        <f t="shared" si="59"/>
        <v>0.19230770241079731</v>
      </c>
      <c r="BI218">
        <f t="shared" si="60"/>
        <v>334.61540219478729</v>
      </c>
      <c r="BJ218">
        <f t="shared" si="61"/>
        <v>0</v>
      </c>
      <c r="BK218">
        <f t="shared" si="62"/>
        <v>23.901</v>
      </c>
      <c r="BL218">
        <f t="shared" si="63"/>
        <v>0</v>
      </c>
      <c r="BM218">
        <f t="shared" si="64"/>
        <v>0</v>
      </c>
      <c r="BN218">
        <v>0</v>
      </c>
      <c r="BO218">
        <f t="shared" si="67"/>
        <v>0</v>
      </c>
      <c r="BP218">
        <f t="shared" si="65"/>
        <v>0</v>
      </c>
      <c r="BQ218">
        <f t="shared" si="66"/>
        <v>0</v>
      </c>
    </row>
    <row r="219" spans="1:69" x14ac:dyDescent="0.25">
      <c r="A219">
        <v>218</v>
      </c>
      <c r="B219" t="s">
        <v>941</v>
      </c>
      <c r="C219" t="s">
        <v>942</v>
      </c>
      <c r="D219" t="s">
        <v>943</v>
      </c>
      <c r="E219" t="s">
        <v>136</v>
      </c>
      <c r="F219" t="s">
        <v>105</v>
      </c>
      <c r="G219">
        <v>2</v>
      </c>
      <c r="H219">
        <v>1</v>
      </c>
      <c r="I219">
        <v>1032</v>
      </c>
      <c r="J219">
        <v>0</v>
      </c>
      <c r="K219">
        <v>0</v>
      </c>
      <c r="L219">
        <v>6310.1</v>
      </c>
      <c r="M219">
        <v>6310.4</v>
      </c>
      <c r="N219">
        <v>10352.200000000001</v>
      </c>
      <c r="O219">
        <v>1321.3</v>
      </c>
      <c r="P219">
        <v>10516.9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4.78</v>
      </c>
      <c r="W219">
        <v>0</v>
      </c>
      <c r="X219">
        <v>0</v>
      </c>
      <c r="Y219">
        <v>4</v>
      </c>
      <c r="Z219">
        <v>0</v>
      </c>
      <c r="AA219">
        <v>0</v>
      </c>
      <c r="AB219">
        <v>2.2999999523162842</v>
      </c>
      <c r="AC219">
        <v>0.30000001192092901</v>
      </c>
      <c r="AD219">
        <v>1.3999999761581421</v>
      </c>
      <c r="AE219">
        <v>2.2999999523162842</v>
      </c>
      <c r="AF219">
        <v>1.699999988079071</v>
      </c>
      <c r="AG219">
        <v>0.57499999664723866</v>
      </c>
      <c r="AH219">
        <v>0.42500000335276128</v>
      </c>
      <c r="AI219">
        <v>150</v>
      </c>
      <c r="AJ219">
        <v>0</v>
      </c>
      <c r="AK219">
        <v>2.2999999523162842</v>
      </c>
      <c r="AL219">
        <v>0.30000001192092901</v>
      </c>
      <c r="AM219">
        <v>1.3999999761581421</v>
      </c>
      <c r="AN219">
        <v>1</v>
      </c>
      <c r="AO219">
        <v>2</v>
      </c>
      <c r="AP219">
        <v>2023</v>
      </c>
      <c r="AQ219">
        <v>3</v>
      </c>
      <c r="AR219">
        <v>0</v>
      </c>
      <c r="AS219">
        <v>0</v>
      </c>
      <c r="AT219">
        <v>0</v>
      </c>
      <c r="AU219">
        <v>0</v>
      </c>
      <c r="AV219">
        <f t="shared" si="51"/>
        <v>2.2204460492503131E-16</v>
      </c>
      <c r="AW219">
        <f t="shared" si="52"/>
        <v>-0.10041841502967758</v>
      </c>
      <c r="AX219">
        <f t="shared" si="53"/>
        <v>302.25940907849429</v>
      </c>
      <c r="AY219">
        <f t="shared" si="54"/>
        <v>0</v>
      </c>
      <c r="AZ219">
        <f t="shared" si="55"/>
        <v>1.3999999761581421</v>
      </c>
      <c r="BA219">
        <f t="shared" si="56"/>
        <v>2</v>
      </c>
      <c r="BB219">
        <f t="shared" si="57"/>
        <v>0.57499999664723866</v>
      </c>
      <c r="BC219">
        <f>MATCH($B219,clean_historis!$B:$B,0)</f>
        <v>219</v>
      </c>
      <c r="BD219">
        <f>IFERROR(INDEX(clean_historis!$AF:$AF,$BC219)/INDEX(clean_historis!$V:$V,$BC219),0)</f>
        <v>0.3933054393305439</v>
      </c>
      <c r="BE219">
        <f>IFERROR(INDEX(clean_historis!$AR:$AR,$BC219)/INDEX(clean_historis!$AH:$AH,$BC219),0)</f>
        <v>0.39330543933054413</v>
      </c>
      <c r="BF219">
        <f t="shared" si="58"/>
        <v>0.29288702430086655</v>
      </c>
      <c r="BG219">
        <f>MAX(IF(INDEX(clean_historis!$CL:$CL,$BC219)=1,2025,0),IF(INDEX(clean_historis!$CK:$CK,$BC219)=1,2024,0),IF(INDEX(clean_historis!$CJ:$CJ,$BC219)=1,2023,0),IF(INDEX(clean_historis!$CI:$CI,$BC219)=1,2022,0),IF(INDEX(clean_historis!$CH:$CH,$BC219)=1,2021,0))</f>
        <v>2023</v>
      </c>
      <c r="BH219">
        <f t="shared" si="59"/>
        <v>0.42500000335276134</v>
      </c>
      <c r="BI219">
        <f t="shared" si="60"/>
        <v>438.60000346004972</v>
      </c>
      <c r="BJ219">
        <f t="shared" si="61"/>
        <v>0</v>
      </c>
      <c r="BK219">
        <f t="shared" si="62"/>
        <v>33.489599999999996</v>
      </c>
      <c r="BL219">
        <f t="shared" si="63"/>
        <v>0</v>
      </c>
      <c r="BM219">
        <f t="shared" si="64"/>
        <v>0</v>
      </c>
      <c r="BN219">
        <v>0</v>
      </c>
      <c r="BO219">
        <f t="shared" si="67"/>
        <v>0</v>
      </c>
      <c r="BP219">
        <f t="shared" si="65"/>
        <v>1</v>
      </c>
      <c r="BQ219">
        <f t="shared" si="66"/>
        <v>0</v>
      </c>
    </row>
    <row r="220" spans="1:69" x14ac:dyDescent="0.25">
      <c r="A220">
        <v>219</v>
      </c>
      <c r="B220" t="s">
        <v>944</v>
      </c>
      <c r="C220" t="s">
        <v>945</v>
      </c>
      <c r="D220" t="s">
        <v>946</v>
      </c>
      <c r="E220" t="s">
        <v>947</v>
      </c>
      <c r="F220" t="s">
        <v>469</v>
      </c>
      <c r="G220">
        <v>2</v>
      </c>
      <c r="H220">
        <v>2</v>
      </c>
      <c r="I220">
        <v>845</v>
      </c>
      <c r="J220">
        <v>0</v>
      </c>
      <c r="K220">
        <v>0</v>
      </c>
      <c r="L220">
        <v>28635.1</v>
      </c>
      <c r="M220">
        <v>13269.5</v>
      </c>
      <c r="N220">
        <v>30845.5</v>
      </c>
      <c r="O220">
        <v>2194.1999999999998</v>
      </c>
      <c r="P220">
        <v>30747.8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4.45</v>
      </c>
      <c r="W220">
        <v>4.4499998092651367</v>
      </c>
      <c r="X220">
        <v>0</v>
      </c>
      <c r="Y220">
        <v>0</v>
      </c>
      <c r="Z220">
        <v>0</v>
      </c>
      <c r="AA220">
        <v>0</v>
      </c>
      <c r="AB220">
        <v>4.4499998092651367</v>
      </c>
      <c r="AC220">
        <v>0</v>
      </c>
      <c r="AD220">
        <v>0</v>
      </c>
      <c r="AE220">
        <v>4.4499998092651367</v>
      </c>
      <c r="AF220">
        <v>0</v>
      </c>
      <c r="AG220">
        <v>1</v>
      </c>
      <c r="AH220">
        <v>0</v>
      </c>
      <c r="AI220">
        <v>150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R220">
        <v>0</v>
      </c>
      <c r="AS220">
        <v>0</v>
      </c>
      <c r="AT220">
        <v>0</v>
      </c>
      <c r="AU220">
        <v>0</v>
      </c>
      <c r="AV220">
        <f t="shared" si="51"/>
        <v>0</v>
      </c>
      <c r="AW220">
        <f t="shared" si="52"/>
        <v>0</v>
      </c>
      <c r="AX220">
        <f t="shared" si="53"/>
        <v>0</v>
      </c>
      <c r="AY220">
        <f t="shared" si="54"/>
        <v>0</v>
      </c>
      <c r="AZ220">
        <f t="shared" si="55"/>
        <v>0</v>
      </c>
      <c r="BA220" t="str">
        <f t="shared" si="56"/>
        <v/>
      </c>
      <c r="BB220">
        <f t="shared" si="57"/>
        <v>1</v>
      </c>
      <c r="BC220">
        <f>MATCH($B220,clean_historis!$B:$B,0)</f>
        <v>220</v>
      </c>
      <c r="BD220">
        <f>IFERROR(INDEX(clean_historis!$AF:$AF,$BC220)/INDEX(clean_historis!$V:$V,$BC220),0)</f>
        <v>0</v>
      </c>
      <c r="BE220">
        <f>IFERROR(INDEX(clean_historis!$AR:$AR,$BC220)/INDEX(clean_historis!$AH:$AH,$BC220),0)</f>
        <v>0</v>
      </c>
      <c r="BF220">
        <f t="shared" si="58"/>
        <v>0</v>
      </c>
      <c r="BG220">
        <f>MAX(IF(INDEX(clean_historis!$CL:$CL,$BC220)=1,2025,0),IF(INDEX(clean_historis!$CK:$CK,$BC220)=1,2024,0),IF(INDEX(clean_historis!$CJ:$CJ,$BC220)=1,2023,0),IF(INDEX(clean_historis!$CI:$CI,$BC220)=1,2022,0),IF(INDEX(clean_historis!$CH:$CH,$BC220)=1,2021,0))</f>
        <v>0</v>
      </c>
      <c r="BH220">
        <f t="shared" si="59"/>
        <v>0</v>
      </c>
      <c r="BI220">
        <f t="shared" si="60"/>
        <v>0</v>
      </c>
      <c r="BJ220">
        <f t="shared" si="61"/>
        <v>0</v>
      </c>
      <c r="BK220">
        <f t="shared" si="62"/>
        <v>103.49789999999999</v>
      </c>
      <c r="BL220">
        <f t="shared" si="63"/>
        <v>0</v>
      </c>
      <c r="BM220">
        <f t="shared" si="64"/>
        <v>0</v>
      </c>
      <c r="BN220">
        <v>0</v>
      </c>
      <c r="BO220">
        <f t="shared" si="67"/>
        <v>0</v>
      </c>
      <c r="BP220">
        <f t="shared" si="65"/>
        <v>0</v>
      </c>
      <c r="BQ220">
        <f t="shared" si="66"/>
        <v>0</v>
      </c>
    </row>
    <row r="221" spans="1:69" x14ac:dyDescent="0.25">
      <c r="A221">
        <v>220</v>
      </c>
      <c r="B221" t="s">
        <v>948</v>
      </c>
      <c r="C221" t="s">
        <v>949</v>
      </c>
      <c r="D221" t="s">
        <v>950</v>
      </c>
      <c r="E221" t="s">
        <v>425</v>
      </c>
      <c r="F221" t="s">
        <v>100</v>
      </c>
      <c r="G221">
        <v>1</v>
      </c>
      <c r="H221">
        <v>1</v>
      </c>
      <c r="I221">
        <v>630</v>
      </c>
      <c r="J221">
        <v>0</v>
      </c>
      <c r="K221">
        <v>0</v>
      </c>
      <c r="L221">
        <v>3405.1</v>
      </c>
      <c r="M221">
        <v>2185.5</v>
      </c>
      <c r="N221">
        <v>3038.5</v>
      </c>
      <c r="O221">
        <v>747.9</v>
      </c>
      <c r="P221">
        <v>3260.2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0.54</v>
      </c>
      <c r="W221">
        <v>0</v>
      </c>
      <c r="X221">
        <v>0</v>
      </c>
      <c r="Y221">
        <v>0.54000002145767212</v>
      </c>
      <c r="Z221">
        <v>0</v>
      </c>
      <c r="AA221">
        <v>0</v>
      </c>
      <c r="AB221">
        <v>0.54000002145767212</v>
      </c>
      <c r="AC221">
        <v>0</v>
      </c>
      <c r="AD221">
        <v>0</v>
      </c>
      <c r="AE221">
        <v>0.54000002145767212</v>
      </c>
      <c r="AF221">
        <v>0</v>
      </c>
      <c r="AG221">
        <v>1</v>
      </c>
      <c r="AH221">
        <v>0</v>
      </c>
      <c r="AI221">
        <v>150</v>
      </c>
      <c r="AJ221">
        <v>0</v>
      </c>
      <c r="AK221">
        <v>0.54000002145767212</v>
      </c>
      <c r="AL221">
        <v>0</v>
      </c>
      <c r="AM221">
        <v>0</v>
      </c>
      <c r="AN221">
        <v>1</v>
      </c>
      <c r="AO221">
        <v>1</v>
      </c>
      <c r="AP221">
        <v>2023</v>
      </c>
      <c r="AQ221">
        <v>3</v>
      </c>
      <c r="AR221">
        <v>0</v>
      </c>
      <c r="AS221">
        <v>0</v>
      </c>
      <c r="AT221">
        <v>0</v>
      </c>
      <c r="AU221">
        <v>0</v>
      </c>
      <c r="AV221">
        <f t="shared" si="51"/>
        <v>0</v>
      </c>
      <c r="AW221">
        <f t="shared" si="52"/>
        <v>0</v>
      </c>
      <c r="AX221">
        <f t="shared" si="53"/>
        <v>0</v>
      </c>
      <c r="AY221">
        <f t="shared" si="54"/>
        <v>0</v>
      </c>
      <c r="AZ221">
        <f t="shared" si="55"/>
        <v>0</v>
      </c>
      <c r="BA221" t="str">
        <f t="shared" si="56"/>
        <v/>
      </c>
      <c r="BB221">
        <f t="shared" si="57"/>
        <v>1</v>
      </c>
      <c r="BC221">
        <f>MATCH($B221,clean_historis!$B:$B,0)</f>
        <v>221</v>
      </c>
      <c r="BD221">
        <f>IFERROR(INDEX(clean_historis!$AF:$AF,$BC221)/INDEX(clean_historis!$V:$V,$BC221),0)</f>
        <v>0</v>
      </c>
      <c r="BE221">
        <f>IFERROR(INDEX(clean_historis!$AR:$AR,$BC221)/INDEX(clean_historis!$AH:$AH,$BC221),0)</f>
        <v>0</v>
      </c>
      <c r="BF221">
        <f t="shared" si="58"/>
        <v>0</v>
      </c>
      <c r="BG221">
        <f>MAX(IF(INDEX(clean_historis!$CL:$CL,$BC221)=1,2025,0),IF(INDEX(clean_historis!$CK:$CK,$BC221)=1,2024,0),IF(INDEX(clean_historis!$CJ:$CJ,$BC221)=1,2023,0),IF(INDEX(clean_historis!$CI:$CI,$BC221)=1,2022,0),IF(INDEX(clean_historis!$CH:$CH,$BC221)=1,2021,0))</f>
        <v>0</v>
      </c>
      <c r="BH221">
        <f t="shared" si="59"/>
        <v>0</v>
      </c>
      <c r="BI221">
        <f t="shared" si="60"/>
        <v>0</v>
      </c>
      <c r="BJ221">
        <f t="shared" si="61"/>
        <v>1</v>
      </c>
      <c r="BK221">
        <f t="shared" si="62"/>
        <v>11.889299999999999</v>
      </c>
      <c r="BL221">
        <f t="shared" si="63"/>
        <v>0</v>
      </c>
      <c r="BM221">
        <f t="shared" si="64"/>
        <v>0</v>
      </c>
      <c r="BN221">
        <v>0</v>
      </c>
      <c r="BO221">
        <f t="shared" si="67"/>
        <v>1</v>
      </c>
      <c r="BP221">
        <f t="shared" si="65"/>
        <v>1</v>
      </c>
      <c r="BQ221">
        <f t="shared" si="66"/>
        <v>1</v>
      </c>
    </row>
    <row r="222" spans="1:69" x14ac:dyDescent="0.25">
      <c r="A222">
        <v>221</v>
      </c>
      <c r="B222" t="s">
        <v>951</v>
      </c>
      <c r="C222" t="s">
        <v>952</v>
      </c>
      <c r="D222" t="s">
        <v>953</v>
      </c>
      <c r="E222" t="s">
        <v>954</v>
      </c>
      <c r="F222" t="s">
        <v>100</v>
      </c>
      <c r="G222">
        <v>2</v>
      </c>
      <c r="H222">
        <v>1</v>
      </c>
      <c r="I222">
        <v>1206</v>
      </c>
      <c r="J222">
        <v>0</v>
      </c>
      <c r="K222">
        <v>1</v>
      </c>
      <c r="L222">
        <v>3079.3</v>
      </c>
      <c r="M222">
        <v>2176.6999999999998</v>
      </c>
      <c r="N222">
        <v>3029.6</v>
      </c>
      <c r="O222">
        <v>422.1</v>
      </c>
      <c r="P222">
        <v>2934.4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0.30000001192092901</v>
      </c>
      <c r="AC222">
        <v>0.69999998807907104</v>
      </c>
      <c r="AD222">
        <v>0</v>
      </c>
      <c r="AE222">
        <v>0.30000001192092901</v>
      </c>
      <c r="AF222">
        <v>0.69999998807907104</v>
      </c>
      <c r="AG222">
        <v>0.30000001192092901</v>
      </c>
      <c r="AH222">
        <v>0.69999998807907104</v>
      </c>
      <c r="AI222">
        <v>150</v>
      </c>
      <c r="AJ222">
        <v>0</v>
      </c>
      <c r="AK222">
        <v>0.30000001192092901</v>
      </c>
      <c r="AL222">
        <v>0.69999998807907104</v>
      </c>
      <c r="AM222">
        <v>0</v>
      </c>
      <c r="AN222">
        <v>1</v>
      </c>
      <c r="AO222">
        <v>1</v>
      </c>
      <c r="AP222">
        <v>2024</v>
      </c>
      <c r="AQ222">
        <v>2</v>
      </c>
      <c r="AR222">
        <v>0</v>
      </c>
      <c r="AS222">
        <v>0</v>
      </c>
      <c r="AT222">
        <v>0</v>
      </c>
      <c r="AU222">
        <v>0</v>
      </c>
      <c r="AV222">
        <f t="shared" si="51"/>
        <v>0</v>
      </c>
      <c r="AW222">
        <f t="shared" si="52"/>
        <v>0</v>
      </c>
      <c r="AX222">
        <f t="shared" si="53"/>
        <v>0</v>
      </c>
      <c r="AY222">
        <f t="shared" si="54"/>
        <v>0</v>
      </c>
      <c r="AZ222">
        <f t="shared" si="55"/>
        <v>0</v>
      </c>
      <c r="BA222" t="str">
        <f t="shared" si="56"/>
        <v/>
      </c>
      <c r="BB222">
        <f t="shared" si="57"/>
        <v>0.30000001192092901</v>
      </c>
      <c r="BC222">
        <f>MATCH($B222,clean_historis!$B:$B,0)</f>
        <v>222</v>
      </c>
      <c r="BD222">
        <f>IFERROR(INDEX(clean_historis!$AF:$AF,$BC222)/INDEX(clean_historis!$V:$V,$BC222),0)</f>
        <v>0</v>
      </c>
      <c r="BE222">
        <f>IFERROR(INDEX(clean_historis!$AR:$AR,$BC222)/INDEX(clean_historis!$AH:$AH,$BC222),0)</f>
        <v>0</v>
      </c>
      <c r="BF222">
        <f t="shared" si="58"/>
        <v>0</v>
      </c>
      <c r="BG222">
        <f>MAX(IF(INDEX(clean_historis!$CL:$CL,$BC222)=1,2025,0),IF(INDEX(clean_historis!$CK:$CK,$BC222)=1,2024,0),IF(INDEX(clean_historis!$CJ:$CJ,$BC222)=1,2023,0),IF(INDEX(clean_historis!$CI:$CI,$BC222)=1,2022,0),IF(INDEX(clean_historis!$CH:$CH,$BC222)=1,2021,0))</f>
        <v>0</v>
      </c>
      <c r="BH222">
        <f t="shared" si="59"/>
        <v>0.69999998807907104</v>
      </c>
      <c r="BI222">
        <f t="shared" si="60"/>
        <v>844.19998562335968</v>
      </c>
      <c r="BJ222">
        <f t="shared" si="61"/>
        <v>1</v>
      </c>
      <c r="BK222">
        <f t="shared" si="62"/>
        <v>11.22</v>
      </c>
      <c r="BL222">
        <f t="shared" si="63"/>
        <v>0</v>
      </c>
      <c r="BM222">
        <f t="shared" si="64"/>
        <v>0</v>
      </c>
      <c r="BN222">
        <v>0</v>
      </c>
      <c r="BO222">
        <f t="shared" si="67"/>
        <v>0</v>
      </c>
      <c r="BP222">
        <f t="shared" si="65"/>
        <v>1</v>
      </c>
      <c r="BQ222">
        <f t="shared" si="66"/>
        <v>1</v>
      </c>
    </row>
    <row r="223" spans="1:69" x14ac:dyDescent="0.25">
      <c r="A223">
        <v>222</v>
      </c>
      <c r="B223" t="s">
        <v>955</v>
      </c>
      <c r="C223" t="s">
        <v>956</v>
      </c>
      <c r="D223" t="s">
        <v>957</v>
      </c>
      <c r="E223" t="s">
        <v>958</v>
      </c>
      <c r="F223" t="s">
        <v>539</v>
      </c>
      <c r="G223">
        <v>3</v>
      </c>
      <c r="H223">
        <v>2</v>
      </c>
      <c r="I223">
        <v>1228</v>
      </c>
      <c r="J223">
        <v>0</v>
      </c>
      <c r="K223">
        <v>0</v>
      </c>
      <c r="L223">
        <v>5059.3999999999996</v>
      </c>
      <c r="M223">
        <v>2680.7</v>
      </c>
      <c r="N223">
        <v>3895.7</v>
      </c>
      <c r="O223">
        <v>796.2</v>
      </c>
      <c r="P223">
        <v>5377.7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1.46</v>
      </c>
      <c r="W223">
        <v>0</v>
      </c>
      <c r="X223">
        <v>0</v>
      </c>
      <c r="Y223">
        <v>1.4600000381469731</v>
      </c>
      <c r="Z223">
        <v>0</v>
      </c>
      <c r="AA223">
        <v>1.4600000381469731</v>
      </c>
      <c r="AB223">
        <v>0</v>
      </c>
      <c r="AC223">
        <v>0</v>
      </c>
      <c r="AD223">
        <v>0</v>
      </c>
      <c r="AE223">
        <v>1.4600000381469731</v>
      </c>
      <c r="AF223">
        <v>0</v>
      </c>
      <c r="AG223">
        <v>1</v>
      </c>
      <c r="AH223">
        <v>0</v>
      </c>
      <c r="AI223">
        <v>150</v>
      </c>
      <c r="AJ223">
        <v>1.4600000381469731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2024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f t="shared" si="51"/>
        <v>-1</v>
      </c>
      <c r="AW223">
        <f t="shared" si="52"/>
        <v>0</v>
      </c>
      <c r="AX223">
        <f t="shared" si="53"/>
        <v>0</v>
      </c>
      <c r="AY223">
        <f t="shared" si="54"/>
        <v>0</v>
      </c>
      <c r="AZ223">
        <f t="shared" si="55"/>
        <v>0</v>
      </c>
      <c r="BA223">
        <f t="shared" si="56"/>
        <v>1</v>
      </c>
      <c r="BB223">
        <f t="shared" si="57"/>
        <v>1</v>
      </c>
      <c r="BC223">
        <f>MATCH($B223,clean_historis!$B:$B,0)</f>
        <v>223</v>
      </c>
      <c r="BD223">
        <f>IFERROR(INDEX(clean_historis!$AF:$AF,$BC223)/INDEX(clean_historis!$V:$V,$BC223),0)</f>
        <v>1</v>
      </c>
      <c r="BE223">
        <f>IFERROR(INDEX(clean_historis!$AR:$AR,$BC223)/INDEX(clean_historis!$AH:$AH,$BC223),0)</f>
        <v>0</v>
      </c>
      <c r="BF223">
        <f t="shared" si="58"/>
        <v>0</v>
      </c>
      <c r="BG223">
        <f>MAX(IF(INDEX(clean_historis!$CL:$CL,$BC223)=1,2025,0),IF(INDEX(clean_historis!$CK:$CK,$BC223)=1,2024,0),IF(INDEX(clean_historis!$CJ:$CJ,$BC223)=1,2023,0),IF(INDEX(clean_historis!$CI:$CI,$BC223)=1,2022,0),IF(INDEX(clean_historis!$CH:$CH,$BC223)=1,2021,0))</f>
        <v>2024</v>
      </c>
      <c r="BH223">
        <f t="shared" si="59"/>
        <v>0</v>
      </c>
      <c r="BI223">
        <f t="shared" si="60"/>
        <v>0</v>
      </c>
      <c r="BJ223">
        <f t="shared" si="61"/>
        <v>0</v>
      </c>
      <c r="BK223">
        <f t="shared" si="62"/>
        <v>17.013500000000001</v>
      </c>
      <c r="BL223">
        <f t="shared" si="63"/>
        <v>0</v>
      </c>
      <c r="BM223">
        <f t="shared" si="64"/>
        <v>0</v>
      </c>
      <c r="BN223">
        <v>0</v>
      </c>
      <c r="BO223">
        <f t="shared" si="67"/>
        <v>0</v>
      </c>
      <c r="BP223">
        <f t="shared" si="65"/>
        <v>1</v>
      </c>
      <c r="BQ223">
        <f t="shared" si="66"/>
        <v>0</v>
      </c>
    </row>
    <row r="224" spans="1:69" x14ac:dyDescent="0.25">
      <c r="A224">
        <v>223</v>
      </c>
      <c r="B224" t="s">
        <v>959</v>
      </c>
      <c r="C224" t="s">
        <v>960</v>
      </c>
      <c r="D224" t="s">
        <v>961</v>
      </c>
      <c r="E224" t="s">
        <v>960</v>
      </c>
      <c r="F224" t="s">
        <v>363</v>
      </c>
      <c r="G224">
        <v>1</v>
      </c>
      <c r="H224">
        <v>1</v>
      </c>
      <c r="I224">
        <v>659</v>
      </c>
      <c r="J224">
        <v>0</v>
      </c>
      <c r="K224">
        <v>0</v>
      </c>
      <c r="L224">
        <v>2530.5</v>
      </c>
      <c r="M224">
        <v>1895.1</v>
      </c>
      <c r="N224">
        <v>3749.4</v>
      </c>
      <c r="O224">
        <v>0</v>
      </c>
      <c r="P224">
        <v>30362.5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0.3</v>
      </c>
      <c r="W224">
        <v>0</v>
      </c>
      <c r="X224">
        <v>0</v>
      </c>
      <c r="Y224">
        <v>0.20000000298023221</v>
      </c>
      <c r="Z224">
        <v>0</v>
      </c>
      <c r="AA224">
        <v>0</v>
      </c>
      <c r="AB224">
        <v>0</v>
      </c>
      <c r="AC224">
        <v>0</v>
      </c>
      <c r="AD224">
        <v>0.20000000298023221</v>
      </c>
      <c r="AE224">
        <v>0</v>
      </c>
      <c r="AF224">
        <v>0.20000000298023221</v>
      </c>
      <c r="AG224">
        <v>0</v>
      </c>
      <c r="AH224">
        <v>1</v>
      </c>
      <c r="AI224">
        <v>150</v>
      </c>
      <c r="AJ224">
        <v>0</v>
      </c>
      <c r="AK224">
        <v>0</v>
      </c>
      <c r="AL224">
        <v>0</v>
      </c>
      <c r="AM224">
        <v>0.20000000298023221</v>
      </c>
      <c r="AN224">
        <v>0</v>
      </c>
      <c r="AO224">
        <v>0</v>
      </c>
      <c r="AR224">
        <v>0</v>
      </c>
      <c r="AS224">
        <v>0</v>
      </c>
      <c r="AT224">
        <v>0</v>
      </c>
      <c r="AU224">
        <v>1</v>
      </c>
      <c r="AV224">
        <f t="shared" si="51"/>
        <v>0</v>
      </c>
      <c r="AW224">
        <f t="shared" si="52"/>
        <v>-0.33333332339922594</v>
      </c>
      <c r="AX224">
        <f t="shared" si="53"/>
        <v>439.33333987991011</v>
      </c>
      <c r="AY224">
        <f t="shared" si="54"/>
        <v>0</v>
      </c>
      <c r="AZ224">
        <f t="shared" si="55"/>
        <v>0.20000000298023221</v>
      </c>
      <c r="BA224" t="str">
        <f t="shared" si="56"/>
        <v/>
      </c>
      <c r="BB224">
        <f t="shared" si="57"/>
        <v>0</v>
      </c>
      <c r="BC224">
        <f>MATCH($B224,clean_historis!$B:$B,0)</f>
        <v>224</v>
      </c>
      <c r="BD224">
        <f>IFERROR(INDEX(clean_historis!$AF:$AF,$BC224)/INDEX(clean_historis!$V:$V,$BC224),0)</f>
        <v>1</v>
      </c>
      <c r="BE224">
        <f>IFERROR(INDEX(clean_historis!$AR:$AR,$BC224)/INDEX(clean_historis!$AH:$AH,$BC224),0)</f>
        <v>1</v>
      </c>
      <c r="BF224">
        <f t="shared" si="58"/>
        <v>0.66666667660077406</v>
      </c>
      <c r="BG224">
        <f>MAX(IF(INDEX(clean_historis!$CL:$CL,$BC224)=1,2025,0),IF(INDEX(clean_historis!$CK:$CK,$BC224)=1,2024,0),IF(INDEX(clean_historis!$CJ:$CJ,$BC224)=1,2023,0),IF(INDEX(clean_historis!$CI:$CI,$BC224)=1,2022,0),IF(INDEX(clean_historis!$CH:$CH,$BC224)=1,2021,0))</f>
        <v>0</v>
      </c>
      <c r="BH224">
        <f t="shared" si="59"/>
        <v>1</v>
      </c>
      <c r="BI224">
        <f t="shared" si="60"/>
        <v>659</v>
      </c>
      <c r="BJ224">
        <f t="shared" si="61"/>
        <v>0</v>
      </c>
      <c r="BK224">
        <f t="shared" si="62"/>
        <v>38.537500000000001</v>
      </c>
      <c r="BL224">
        <f t="shared" si="63"/>
        <v>0</v>
      </c>
      <c r="BM224">
        <f t="shared" si="64"/>
        <v>1</v>
      </c>
      <c r="BN224">
        <v>0</v>
      </c>
      <c r="BO224">
        <f t="shared" si="67"/>
        <v>1</v>
      </c>
      <c r="BP224">
        <f t="shared" si="65"/>
        <v>0</v>
      </c>
      <c r="BQ224">
        <f t="shared" si="66"/>
        <v>1</v>
      </c>
    </row>
    <row r="225" spans="1:69" x14ac:dyDescent="0.25">
      <c r="A225">
        <v>224</v>
      </c>
      <c r="B225" t="s">
        <v>962</v>
      </c>
      <c r="C225" t="s">
        <v>963</v>
      </c>
      <c r="D225" t="s">
        <v>964</v>
      </c>
      <c r="E225" t="s">
        <v>194</v>
      </c>
      <c r="F225" t="s">
        <v>100</v>
      </c>
      <c r="G225">
        <v>1</v>
      </c>
      <c r="H225">
        <v>1</v>
      </c>
      <c r="I225">
        <v>1874</v>
      </c>
      <c r="J225">
        <v>0</v>
      </c>
      <c r="K225">
        <v>1</v>
      </c>
      <c r="L225">
        <v>1676.9</v>
      </c>
      <c r="M225">
        <v>1687.3</v>
      </c>
      <c r="N225">
        <v>3221.4</v>
      </c>
      <c r="O225">
        <v>154.5</v>
      </c>
      <c r="P225">
        <v>1358.5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0.66</v>
      </c>
      <c r="W225">
        <v>0</v>
      </c>
      <c r="X225">
        <v>0</v>
      </c>
      <c r="Y225">
        <v>0.6600000262260437</v>
      </c>
      <c r="Z225">
        <v>0</v>
      </c>
      <c r="AA225">
        <v>0</v>
      </c>
      <c r="AB225">
        <v>0.6600000262260437</v>
      </c>
      <c r="AC225">
        <v>0</v>
      </c>
      <c r="AD225">
        <v>0</v>
      </c>
      <c r="AE225">
        <v>0.6600000262260437</v>
      </c>
      <c r="AF225">
        <v>0</v>
      </c>
      <c r="AG225">
        <v>1</v>
      </c>
      <c r="AH225">
        <v>0</v>
      </c>
      <c r="AI225">
        <v>150</v>
      </c>
      <c r="AJ225">
        <v>0</v>
      </c>
      <c r="AK225">
        <v>0.6600000262260437</v>
      </c>
      <c r="AL225">
        <v>0</v>
      </c>
      <c r="AM225">
        <v>0</v>
      </c>
      <c r="AN225">
        <v>1</v>
      </c>
      <c r="AO225">
        <v>2</v>
      </c>
      <c r="AP225">
        <v>2023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f t="shared" si="51"/>
        <v>0</v>
      </c>
      <c r="AW225">
        <f t="shared" si="52"/>
        <v>0</v>
      </c>
      <c r="AX225">
        <f t="shared" si="53"/>
        <v>0</v>
      </c>
      <c r="AY225">
        <f t="shared" si="54"/>
        <v>0</v>
      </c>
      <c r="AZ225">
        <f t="shared" si="55"/>
        <v>0</v>
      </c>
      <c r="BA225" t="str">
        <f t="shared" si="56"/>
        <v/>
      </c>
      <c r="BB225">
        <f t="shared" si="57"/>
        <v>1</v>
      </c>
      <c r="BC225">
        <f>MATCH($B225,clean_historis!$B:$B,0)</f>
        <v>225</v>
      </c>
      <c r="BD225">
        <f>IFERROR(INDEX(clean_historis!$AF:$AF,$BC225)/INDEX(clean_historis!$V:$V,$BC225),0)</f>
        <v>0</v>
      </c>
      <c r="BE225">
        <f>IFERROR(INDEX(clean_historis!$AR:$AR,$BC225)/INDEX(clean_historis!$AH:$AH,$BC225),0)</f>
        <v>0</v>
      </c>
      <c r="BF225">
        <f t="shared" si="58"/>
        <v>0</v>
      </c>
      <c r="BG225">
        <f>MAX(IF(INDEX(clean_historis!$CL:$CL,$BC225)=1,2025,0),IF(INDEX(clean_historis!$CK:$CK,$BC225)=1,2024,0),IF(INDEX(clean_historis!$CJ:$CJ,$BC225)=1,2023,0),IF(INDEX(clean_historis!$CI:$CI,$BC225)=1,2022,0),IF(INDEX(clean_historis!$CH:$CH,$BC225)=1,2021,0))</f>
        <v>0</v>
      </c>
      <c r="BH225">
        <f t="shared" si="59"/>
        <v>0</v>
      </c>
      <c r="BI225">
        <f t="shared" si="60"/>
        <v>0</v>
      </c>
      <c r="BJ225">
        <f t="shared" si="61"/>
        <v>1</v>
      </c>
      <c r="BK225">
        <f t="shared" si="62"/>
        <v>7.9441000000000006</v>
      </c>
      <c r="BL225">
        <f t="shared" si="63"/>
        <v>0</v>
      </c>
      <c r="BM225">
        <f t="shared" si="64"/>
        <v>0</v>
      </c>
      <c r="BN225">
        <v>0</v>
      </c>
      <c r="BO225">
        <f t="shared" si="67"/>
        <v>1</v>
      </c>
      <c r="BP225">
        <f t="shared" si="65"/>
        <v>1</v>
      </c>
      <c r="BQ225">
        <f t="shared" si="66"/>
        <v>1</v>
      </c>
    </row>
    <row r="226" spans="1:69" x14ac:dyDescent="0.25">
      <c r="A226">
        <v>225</v>
      </c>
      <c r="B226" t="s">
        <v>965</v>
      </c>
      <c r="C226" t="s">
        <v>966</v>
      </c>
      <c r="D226" t="s">
        <v>967</v>
      </c>
      <c r="E226" t="s">
        <v>140</v>
      </c>
      <c r="F226" t="s">
        <v>100</v>
      </c>
      <c r="G226">
        <v>2</v>
      </c>
      <c r="H226">
        <v>1</v>
      </c>
      <c r="I226">
        <v>4331</v>
      </c>
      <c r="J226">
        <v>0</v>
      </c>
      <c r="K226">
        <v>0</v>
      </c>
      <c r="L226">
        <v>1039.5999999999999</v>
      </c>
      <c r="M226">
        <v>538.9</v>
      </c>
      <c r="N226">
        <v>2730.8</v>
      </c>
      <c r="O226">
        <v>61.8</v>
      </c>
      <c r="P226">
        <v>867.9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0.28000000000000003</v>
      </c>
      <c r="W226">
        <v>0</v>
      </c>
      <c r="X226">
        <v>0</v>
      </c>
      <c r="Y226">
        <v>0.2800000011920929</v>
      </c>
      <c r="Z226">
        <v>0</v>
      </c>
      <c r="AA226">
        <v>0.1800000071525574</v>
      </c>
      <c r="AB226">
        <v>0.10000000149011611</v>
      </c>
      <c r="AC226">
        <v>0</v>
      </c>
      <c r="AD226">
        <v>0</v>
      </c>
      <c r="AE226">
        <v>0.28000000864267349</v>
      </c>
      <c r="AF226">
        <v>0</v>
      </c>
      <c r="AG226">
        <v>1</v>
      </c>
      <c r="AH226">
        <v>0</v>
      </c>
      <c r="AI226">
        <v>150</v>
      </c>
      <c r="AJ226">
        <v>0.1800000071525574</v>
      </c>
      <c r="AK226">
        <v>0.10000000149011611</v>
      </c>
      <c r="AL226">
        <v>0</v>
      </c>
      <c r="AM226">
        <v>0</v>
      </c>
      <c r="AN226">
        <v>0</v>
      </c>
      <c r="AO226">
        <v>0</v>
      </c>
      <c r="AR226">
        <v>0</v>
      </c>
      <c r="AS226">
        <v>0</v>
      </c>
      <c r="AT226">
        <v>0</v>
      </c>
      <c r="AU226">
        <v>0</v>
      </c>
      <c r="AV226">
        <f t="shared" si="51"/>
        <v>0</v>
      </c>
      <c r="AW226">
        <f t="shared" si="52"/>
        <v>0</v>
      </c>
      <c r="AX226">
        <f t="shared" si="53"/>
        <v>0</v>
      </c>
      <c r="AY226">
        <f t="shared" si="54"/>
        <v>0</v>
      </c>
      <c r="AZ226">
        <f t="shared" si="55"/>
        <v>0</v>
      </c>
      <c r="BA226" t="str">
        <f t="shared" si="56"/>
        <v/>
      </c>
      <c r="BB226">
        <f t="shared" si="57"/>
        <v>1</v>
      </c>
      <c r="BC226">
        <f>MATCH($B226,clean_historis!$B:$B,0)</f>
        <v>226</v>
      </c>
      <c r="BD226">
        <f>IFERROR(INDEX(clean_historis!$AF:$AF,$BC226)/INDEX(clean_historis!$V:$V,$BC226),0)</f>
        <v>0</v>
      </c>
      <c r="BE226">
        <f>IFERROR(INDEX(clean_historis!$AR:$AR,$BC226)/INDEX(clean_historis!$AH:$AH,$BC226),0)</f>
        <v>0</v>
      </c>
      <c r="BF226">
        <f t="shared" si="58"/>
        <v>0</v>
      </c>
      <c r="BG226">
        <f>MAX(IF(INDEX(clean_historis!$CL:$CL,$BC226)=1,2025,0),IF(INDEX(clean_historis!$CK:$CK,$BC226)=1,2024,0),IF(INDEX(clean_historis!$CJ:$CJ,$BC226)=1,2023,0),IF(INDEX(clean_historis!$CI:$CI,$BC226)=1,2022,0),IF(INDEX(clean_historis!$CH:$CH,$BC226)=1,2021,0))</f>
        <v>0</v>
      </c>
      <c r="BH226">
        <f t="shared" si="59"/>
        <v>0</v>
      </c>
      <c r="BI226">
        <f t="shared" si="60"/>
        <v>0</v>
      </c>
      <c r="BJ226">
        <f t="shared" si="61"/>
        <v>1</v>
      </c>
      <c r="BK226">
        <f t="shared" si="62"/>
        <v>5.1772</v>
      </c>
      <c r="BL226">
        <f t="shared" si="63"/>
        <v>0</v>
      </c>
      <c r="BM226">
        <f t="shared" si="64"/>
        <v>0</v>
      </c>
      <c r="BN226">
        <v>0</v>
      </c>
      <c r="BO226">
        <f t="shared" si="67"/>
        <v>1</v>
      </c>
      <c r="BP226">
        <f t="shared" si="65"/>
        <v>0</v>
      </c>
      <c r="BQ226">
        <f t="shared" si="66"/>
        <v>1</v>
      </c>
    </row>
    <row r="227" spans="1:69" x14ac:dyDescent="0.25">
      <c r="A227">
        <v>226</v>
      </c>
      <c r="B227" t="s">
        <v>968</v>
      </c>
      <c r="C227" t="s">
        <v>969</v>
      </c>
      <c r="D227" t="s">
        <v>970</v>
      </c>
      <c r="E227" t="s">
        <v>705</v>
      </c>
      <c r="F227" t="s">
        <v>100</v>
      </c>
      <c r="G227">
        <v>1</v>
      </c>
      <c r="H227">
        <v>1</v>
      </c>
      <c r="I227">
        <v>3189</v>
      </c>
      <c r="J227">
        <v>0</v>
      </c>
      <c r="K227">
        <v>0</v>
      </c>
      <c r="L227">
        <v>199.3</v>
      </c>
      <c r="M227">
        <v>697.5</v>
      </c>
      <c r="N227">
        <v>1840.5</v>
      </c>
      <c r="O227">
        <v>513</v>
      </c>
      <c r="P227">
        <v>517.6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0.28000000000000003</v>
      </c>
      <c r="W227">
        <v>0</v>
      </c>
      <c r="X227">
        <v>0.2800000011920929</v>
      </c>
      <c r="Y227">
        <v>0</v>
      </c>
      <c r="Z227">
        <v>0</v>
      </c>
      <c r="AA227">
        <v>0.2800000011920929</v>
      </c>
      <c r="AB227">
        <v>0</v>
      </c>
      <c r="AC227">
        <v>0</v>
      </c>
      <c r="AD227">
        <v>0</v>
      </c>
      <c r="AE227">
        <v>0.2800000011920929</v>
      </c>
      <c r="AF227">
        <v>0</v>
      </c>
      <c r="AG227">
        <v>1</v>
      </c>
      <c r="AH227">
        <v>0</v>
      </c>
      <c r="AI227">
        <v>300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R227">
        <v>0</v>
      </c>
      <c r="AS227">
        <v>0</v>
      </c>
      <c r="AT227">
        <v>0</v>
      </c>
      <c r="AU227">
        <v>0</v>
      </c>
      <c r="AV227">
        <f t="shared" si="51"/>
        <v>0</v>
      </c>
      <c r="AW227">
        <f t="shared" si="52"/>
        <v>0</v>
      </c>
      <c r="AX227">
        <f t="shared" si="53"/>
        <v>0</v>
      </c>
      <c r="AY227">
        <f t="shared" si="54"/>
        <v>0</v>
      </c>
      <c r="AZ227">
        <f t="shared" si="55"/>
        <v>0</v>
      </c>
      <c r="BA227" t="str">
        <f t="shared" si="56"/>
        <v/>
      </c>
      <c r="BB227">
        <f t="shared" si="57"/>
        <v>1</v>
      </c>
      <c r="BC227">
        <f>MATCH($B227,clean_historis!$B:$B,0)</f>
        <v>227</v>
      </c>
      <c r="BD227">
        <f>IFERROR(INDEX(clean_historis!$AF:$AF,$BC227)/INDEX(clean_historis!$V:$V,$BC227),0)</f>
        <v>0</v>
      </c>
      <c r="BE227">
        <f>IFERROR(INDEX(clean_historis!$AR:$AR,$BC227)/INDEX(clean_historis!$AH:$AH,$BC227),0)</f>
        <v>0</v>
      </c>
      <c r="BF227">
        <f t="shared" si="58"/>
        <v>0</v>
      </c>
      <c r="BG227">
        <f>MAX(IF(INDEX(clean_historis!$CL:$CL,$BC227)=1,2025,0),IF(INDEX(clean_historis!$CK:$CK,$BC227)=1,2024,0),IF(INDEX(clean_historis!$CJ:$CJ,$BC227)=1,2023,0),IF(INDEX(clean_historis!$CI:$CI,$BC227)=1,2022,0),IF(INDEX(clean_historis!$CH:$CH,$BC227)=1,2021,0))</f>
        <v>0</v>
      </c>
      <c r="BH227">
        <f t="shared" si="59"/>
        <v>0</v>
      </c>
      <c r="BI227">
        <f t="shared" si="60"/>
        <v>0</v>
      </c>
      <c r="BJ227">
        <f t="shared" si="61"/>
        <v>1</v>
      </c>
      <c r="BK227">
        <f t="shared" si="62"/>
        <v>3.2549000000000001</v>
      </c>
      <c r="BL227">
        <f t="shared" si="63"/>
        <v>1</v>
      </c>
      <c r="BM227">
        <f t="shared" si="64"/>
        <v>0</v>
      </c>
      <c r="BN227">
        <v>0</v>
      </c>
      <c r="BO227">
        <f t="shared" si="67"/>
        <v>1</v>
      </c>
      <c r="BP227">
        <f t="shared" si="65"/>
        <v>0</v>
      </c>
      <c r="BQ227">
        <f t="shared" si="66"/>
        <v>1</v>
      </c>
    </row>
    <row r="228" spans="1:69" x14ac:dyDescent="0.25">
      <c r="A228">
        <v>227</v>
      </c>
      <c r="B228" t="s">
        <v>971</v>
      </c>
      <c r="C228" t="s">
        <v>972</v>
      </c>
      <c r="D228" t="s">
        <v>973</v>
      </c>
      <c r="E228" t="s">
        <v>974</v>
      </c>
      <c r="F228" t="s">
        <v>100</v>
      </c>
      <c r="G228">
        <v>2</v>
      </c>
      <c r="H228">
        <v>1</v>
      </c>
      <c r="I228">
        <v>1993</v>
      </c>
      <c r="J228">
        <v>1</v>
      </c>
      <c r="K228">
        <v>0</v>
      </c>
      <c r="L228">
        <v>4711.6000000000004</v>
      </c>
      <c r="M228">
        <v>4644.3</v>
      </c>
      <c r="N228">
        <v>6120.5</v>
      </c>
      <c r="O228">
        <v>2055.4</v>
      </c>
      <c r="P228">
        <v>4446.8999999999996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1.05</v>
      </c>
      <c r="W228">
        <v>0</v>
      </c>
      <c r="X228">
        <v>0</v>
      </c>
      <c r="Y228">
        <v>1.049999952316284</v>
      </c>
      <c r="Z228">
        <v>0</v>
      </c>
      <c r="AA228">
        <v>0</v>
      </c>
      <c r="AB228">
        <v>0.75</v>
      </c>
      <c r="AC228">
        <v>0.30000001192092901</v>
      </c>
      <c r="AD228">
        <v>0</v>
      </c>
      <c r="AE228">
        <v>0.75</v>
      </c>
      <c r="AF228">
        <v>0.30000001192092901</v>
      </c>
      <c r="AG228">
        <v>0.71428570617623888</v>
      </c>
      <c r="AH228">
        <v>0.28571429382376112</v>
      </c>
      <c r="AI228">
        <v>150</v>
      </c>
      <c r="AJ228">
        <v>0</v>
      </c>
      <c r="AK228">
        <v>0.75</v>
      </c>
      <c r="AL228">
        <v>0.30000001192092901</v>
      </c>
      <c r="AM228">
        <v>0</v>
      </c>
      <c r="AN228">
        <v>1</v>
      </c>
      <c r="AO228">
        <v>1</v>
      </c>
      <c r="AP228">
        <v>2023</v>
      </c>
      <c r="AQ228">
        <v>3</v>
      </c>
      <c r="AR228">
        <v>0</v>
      </c>
      <c r="AS228">
        <v>0</v>
      </c>
      <c r="AT228">
        <v>0</v>
      </c>
      <c r="AU228">
        <v>0</v>
      </c>
      <c r="AV228">
        <f t="shared" si="51"/>
        <v>0</v>
      </c>
      <c r="AW228">
        <f t="shared" si="52"/>
        <v>0</v>
      </c>
      <c r="AX228">
        <f t="shared" si="53"/>
        <v>0</v>
      </c>
      <c r="AY228">
        <f t="shared" si="54"/>
        <v>0</v>
      </c>
      <c r="AZ228">
        <f t="shared" si="55"/>
        <v>0</v>
      </c>
      <c r="BA228" t="str">
        <f t="shared" si="56"/>
        <v/>
      </c>
      <c r="BB228">
        <f t="shared" si="57"/>
        <v>0.71428570617623888</v>
      </c>
      <c r="BC228">
        <f>MATCH($B228,clean_historis!$B:$B,0)</f>
        <v>228</v>
      </c>
      <c r="BD228">
        <f>IFERROR(INDEX(clean_historis!$AF:$AF,$BC228)/INDEX(clean_historis!$V:$V,$BC228),0)</f>
        <v>0</v>
      </c>
      <c r="BE228">
        <f>IFERROR(INDEX(clean_historis!$AR:$AR,$BC228)/INDEX(clean_historis!$AH:$AH,$BC228),0)</f>
        <v>0</v>
      </c>
      <c r="BF228">
        <f t="shared" si="58"/>
        <v>0</v>
      </c>
      <c r="BG228">
        <f>MAX(IF(INDEX(clean_historis!$CL:$CL,$BC228)=1,2025,0),IF(INDEX(clean_historis!$CK:$CK,$BC228)=1,2024,0),IF(INDEX(clean_historis!$CJ:$CJ,$BC228)=1,2023,0),IF(INDEX(clean_historis!$CI:$CI,$BC228)=1,2022,0),IF(INDEX(clean_historis!$CH:$CH,$BC228)=1,2021,0))</f>
        <v>0</v>
      </c>
      <c r="BH228">
        <f t="shared" si="59"/>
        <v>0.28571429382376112</v>
      </c>
      <c r="BI228">
        <f t="shared" si="60"/>
        <v>569.42858759075591</v>
      </c>
      <c r="BJ228">
        <f t="shared" si="61"/>
        <v>1</v>
      </c>
      <c r="BK228">
        <f t="shared" si="62"/>
        <v>19.923299999999998</v>
      </c>
      <c r="BL228">
        <f t="shared" si="63"/>
        <v>0</v>
      </c>
      <c r="BM228">
        <f t="shared" si="64"/>
        <v>0</v>
      </c>
      <c r="BN228">
        <v>0</v>
      </c>
      <c r="BO228">
        <f t="shared" si="67"/>
        <v>0</v>
      </c>
      <c r="BP228">
        <f t="shared" si="65"/>
        <v>1</v>
      </c>
      <c r="BQ228">
        <f t="shared" si="66"/>
        <v>0</v>
      </c>
    </row>
    <row r="229" spans="1:69" x14ac:dyDescent="0.25">
      <c r="A229">
        <v>228</v>
      </c>
      <c r="B229" t="s">
        <v>975</v>
      </c>
      <c r="C229" t="s">
        <v>976</v>
      </c>
      <c r="D229" t="s">
        <v>977</v>
      </c>
      <c r="E229" t="s">
        <v>978</v>
      </c>
      <c r="F229" t="s">
        <v>176</v>
      </c>
      <c r="G229">
        <v>2</v>
      </c>
      <c r="H229">
        <v>1</v>
      </c>
      <c r="I229">
        <v>774</v>
      </c>
      <c r="J229">
        <v>0</v>
      </c>
      <c r="K229">
        <v>1</v>
      </c>
      <c r="L229">
        <v>4197.2</v>
      </c>
      <c r="M229">
        <v>1316.8</v>
      </c>
      <c r="N229">
        <v>3994.9</v>
      </c>
      <c r="O229">
        <v>483.7</v>
      </c>
      <c r="P229">
        <v>5666.8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0.95</v>
      </c>
      <c r="W229">
        <v>0</v>
      </c>
      <c r="X229">
        <v>0</v>
      </c>
      <c r="Y229">
        <v>0.94999998807907104</v>
      </c>
      <c r="Z229">
        <v>0</v>
      </c>
      <c r="AA229">
        <v>0</v>
      </c>
      <c r="AB229">
        <v>0.34999999403953552</v>
      </c>
      <c r="AC229">
        <v>0.40000000596046448</v>
      </c>
      <c r="AD229">
        <v>0.20000000298023221</v>
      </c>
      <c r="AE229">
        <v>0.34999999403953552</v>
      </c>
      <c r="AF229">
        <v>0.60000000894069672</v>
      </c>
      <c r="AG229">
        <v>0.3684210452016371</v>
      </c>
      <c r="AH229">
        <v>0.6315789547983629</v>
      </c>
      <c r="AI229">
        <v>150</v>
      </c>
      <c r="AJ229">
        <v>0</v>
      </c>
      <c r="AK229">
        <v>0.34999999403953552</v>
      </c>
      <c r="AL229">
        <v>0.40000000596046448</v>
      </c>
      <c r="AM229">
        <v>0.20000000298023221</v>
      </c>
      <c r="AN229">
        <v>0</v>
      </c>
      <c r="AO229">
        <v>0</v>
      </c>
      <c r="AR229">
        <v>0</v>
      </c>
      <c r="AS229">
        <v>0</v>
      </c>
      <c r="AT229">
        <v>0</v>
      </c>
      <c r="AU229">
        <v>0</v>
      </c>
      <c r="AV229">
        <f t="shared" si="51"/>
        <v>0</v>
      </c>
      <c r="AW229">
        <f t="shared" si="52"/>
        <v>0.21052631892656024</v>
      </c>
      <c r="AX229">
        <f t="shared" si="53"/>
        <v>162.94737084915764</v>
      </c>
      <c r="AY229">
        <f t="shared" si="54"/>
        <v>0</v>
      </c>
      <c r="AZ229">
        <f t="shared" si="55"/>
        <v>0.20000000298023221</v>
      </c>
      <c r="BA229" t="str">
        <f t="shared" si="56"/>
        <v/>
      </c>
      <c r="BB229">
        <f t="shared" si="57"/>
        <v>0.3684210452016371</v>
      </c>
      <c r="BC229">
        <f>MATCH($B229,clean_historis!$B:$B,0)</f>
        <v>229</v>
      </c>
      <c r="BD229">
        <f>IFERROR(INDEX(clean_historis!$AF:$AF,$BC229)/INDEX(clean_historis!$V:$V,$BC229),0)</f>
        <v>0</v>
      </c>
      <c r="BE229">
        <f>IFERROR(INDEX(clean_historis!$AR:$AR,$BC229)/INDEX(clean_historis!$AH:$AH,$BC229),0)</f>
        <v>0</v>
      </c>
      <c r="BF229">
        <f t="shared" si="58"/>
        <v>0.21052631892656024</v>
      </c>
      <c r="BG229">
        <f>MAX(IF(INDEX(clean_historis!$CL:$CL,$BC229)=1,2025,0),IF(INDEX(clean_historis!$CK:$CK,$BC229)=1,2024,0),IF(INDEX(clean_historis!$CJ:$CJ,$BC229)=1,2023,0),IF(INDEX(clean_historis!$CI:$CI,$BC229)=1,2022,0),IF(INDEX(clean_historis!$CH:$CH,$BC229)=1,2021,0))</f>
        <v>0</v>
      </c>
      <c r="BH229">
        <f t="shared" si="59"/>
        <v>0.6315789547983629</v>
      </c>
      <c r="BI229">
        <f t="shared" si="60"/>
        <v>488.84211101393288</v>
      </c>
      <c r="BJ229">
        <f t="shared" si="61"/>
        <v>0</v>
      </c>
      <c r="BK229">
        <f t="shared" si="62"/>
        <v>15.175699999999999</v>
      </c>
      <c r="BL229">
        <f t="shared" si="63"/>
        <v>0</v>
      </c>
      <c r="BM229">
        <f t="shared" si="64"/>
        <v>0</v>
      </c>
      <c r="BN229">
        <v>0</v>
      </c>
      <c r="BO229">
        <f t="shared" si="67"/>
        <v>1</v>
      </c>
      <c r="BP229">
        <f t="shared" si="65"/>
        <v>0</v>
      </c>
      <c r="BQ229">
        <f t="shared" si="66"/>
        <v>1</v>
      </c>
    </row>
    <row r="230" spans="1:69" x14ac:dyDescent="0.25">
      <c r="A230">
        <v>229</v>
      </c>
      <c r="B230" t="s">
        <v>979</v>
      </c>
      <c r="C230" t="s">
        <v>980</v>
      </c>
      <c r="D230" t="s">
        <v>981</v>
      </c>
      <c r="E230" t="s">
        <v>705</v>
      </c>
      <c r="F230" t="s">
        <v>100</v>
      </c>
      <c r="G230">
        <v>1</v>
      </c>
      <c r="H230">
        <v>1</v>
      </c>
      <c r="I230">
        <v>3189</v>
      </c>
      <c r="J230">
        <v>0</v>
      </c>
      <c r="K230">
        <v>1</v>
      </c>
      <c r="L230">
        <v>575.9</v>
      </c>
      <c r="M230">
        <v>1149.0999999999999</v>
      </c>
      <c r="N230">
        <v>2120.5</v>
      </c>
      <c r="O230">
        <v>0</v>
      </c>
      <c r="P230">
        <v>257.60000000000002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0.26</v>
      </c>
      <c r="W230">
        <v>0</v>
      </c>
      <c r="X230">
        <v>0</v>
      </c>
      <c r="Y230">
        <v>0.25999999046325678</v>
      </c>
      <c r="Z230">
        <v>0</v>
      </c>
      <c r="AA230">
        <v>0.25999999046325678</v>
      </c>
      <c r="AB230">
        <v>0</v>
      </c>
      <c r="AC230">
        <v>0</v>
      </c>
      <c r="AD230">
        <v>0</v>
      </c>
      <c r="AE230">
        <v>0.25999999046325678</v>
      </c>
      <c r="AF230">
        <v>0</v>
      </c>
      <c r="AG230">
        <v>1</v>
      </c>
      <c r="AH230">
        <v>0</v>
      </c>
      <c r="AI230">
        <v>150</v>
      </c>
      <c r="AJ230">
        <v>0.25999999046325678</v>
      </c>
      <c r="AK230">
        <v>0</v>
      </c>
      <c r="AL230">
        <v>0</v>
      </c>
      <c r="AM230">
        <v>0</v>
      </c>
      <c r="AN230">
        <v>0</v>
      </c>
      <c r="AO230">
        <v>0</v>
      </c>
      <c r="AR230">
        <v>0</v>
      </c>
      <c r="AS230">
        <v>0</v>
      </c>
      <c r="AT230">
        <v>0</v>
      </c>
      <c r="AU230">
        <v>0</v>
      </c>
      <c r="AV230">
        <f t="shared" si="51"/>
        <v>0</v>
      </c>
      <c r="AW230">
        <f t="shared" si="52"/>
        <v>0</v>
      </c>
      <c r="AX230">
        <f t="shared" si="53"/>
        <v>0</v>
      </c>
      <c r="AY230">
        <f t="shared" si="54"/>
        <v>0</v>
      </c>
      <c r="AZ230">
        <f t="shared" si="55"/>
        <v>0</v>
      </c>
      <c r="BA230" t="str">
        <f t="shared" si="56"/>
        <v/>
      </c>
      <c r="BB230">
        <f t="shared" si="57"/>
        <v>1</v>
      </c>
      <c r="BC230">
        <f>MATCH($B230,clean_historis!$B:$B,0)</f>
        <v>230</v>
      </c>
      <c r="BD230">
        <f>IFERROR(INDEX(clean_historis!$AF:$AF,$BC230)/INDEX(clean_historis!$V:$V,$BC230),0)</f>
        <v>0</v>
      </c>
      <c r="BE230">
        <f>IFERROR(INDEX(clean_historis!$AR:$AR,$BC230)/INDEX(clean_historis!$AH:$AH,$BC230),0)</f>
        <v>0</v>
      </c>
      <c r="BF230">
        <f t="shared" si="58"/>
        <v>0</v>
      </c>
      <c r="BG230">
        <f>MAX(IF(INDEX(clean_historis!$CL:$CL,$BC230)=1,2025,0),IF(INDEX(clean_historis!$CK:$CK,$BC230)=1,2024,0),IF(INDEX(clean_historis!$CJ:$CJ,$BC230)=1,2023,0),IF(INDEX(clean_historis!$CI:$CI,$BC230)=1,2022,0),IF(INDEX(clean_historis!$CH:$CH,$BC230)=1,2021,0))</f>
        <v>0</v>
      </c>
      <c r="BH230">
        <f t="shared" si="59"/>
        <v>0</v>
      </c>
      <c r="BI230">
        <f t="shared" si="60"/>
        <v>0</v>
      </c>
      <c r="BJ230">
        <f t="shared" si="61"/>
        <v>1</v>
      </c>
      <c r="BK230">
        <f t="shared" si="62"/>
        <v>4.1031000000000004</v>
      </c>
      <c r="BL230">
        <f t="shared" si="63"/>
        <v>0</v>
      </c>
      <c r="BM230">
        <f t="shared" si="64"/>
        <v>0</v>
      </c>
      <c r="BN230">
        <v>0</v>
      </c>
      <c r="BO230">
        <f t="shared" si="67"/>
        <v>1</v>
      </c>
      <c r="BP230">
        <f t="shared" si="65"/>
        <v>0</v>
      </c>
      <c r="BQ230">
        <f t="shared" si="66"/>
        <v>1</v>
      </c>
    </row>
    <row r="231" spans="1:69" x14ac:dyDescent="0.25">
      <c r="A231">
        <v>230</v>
      </c>
      <c r="B231" t="s">
        <v>982</v>
      </c>
      <c r="C231" t="s">
        <v>983</v>
      </c>
      <c r="D231" t="s">
        <v>984</v>
      </c>
      <c r="E231" t="s">
        <v>350</v>
      </c>
      <c r="F231" t="s">
        <v>105</v>
      </c>
      <c r="G231">
        <v>1</v>
      </c>
      <c r="H231">
        <v>1</v>
      </c>
      <c r="I231">
        <v>404</v>
      </c>
      <c r="J231">
        <v>0</v>
      </c>
      <c r="K231">
        <v>1</v>
      </c>
      <c r="L231">
        <v>2164.6999999999998</v>
      </c>
      <c r="M231">
        <v>2573.4</v>
      </c>
      <c r="N231">
        <v>9202</v>
      </c>
      <c r="O231">
        <v>792.2</v>
      </c>
      <c r="P231">
        <v>10581.5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0.82</v>
      </c>
      <c r="W231">
        <v>0</v>
      </c>
      <c r="X231">
        <v>0</v>
      </c>
      <c r="Y231">
        <v>0.69999998807907104</v>
      </c>
      <c r="Z231">
        <v>0</v>
      </c>
      <c r="AA231">
        <v>0.20000000298023221</v>
      </c>
      <c r="AB231">
        <v>0.5</v>
      </c>
      <c r="AC231">
        <v>0</v>
      </c>
      <c r="AD231">
        <v>0</v>
      </c>
      <c r="AE231">
        <v>0.70000000298023224</v>
      </c>
      <c r="AF231">
        <v>0</v>
      </c>
      <c r="AG231">
        <v>1</v>
      </c>
      <c r="AH231">
        <v>0</v>
      </c>
      <c r="AI231">
        <v>150</v>
      </c>
      <c r="AJ231">
        <v>0.20000000298023221</v>
      </c>
      <c r="AK231">
        <v>0.5</v>
      </c>
      <c r="AL231">
        <v>0</v>
      </c>
      <c r="AM231">
        <v>0</v>
      </c>
      <c r="AN231">
        <v>1</v>
      </c>
      <c r="AO231">
        <v>1</v>
      </c>
      <c r="AP231">
        <v>2024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f t="shared" si="51"/>
        <v>-0.97560975609756095</v>
      </c>
      <c r="AW231">
        <f t="shared" si="52"/>
        <v>-2.4390243902439025E-2</v>
      </c>
      <c r="AX231">
        <f t="shared" si="53"/>
        <v>0</v>
      </c>
      <c r="AY231">
        <f t="shared" si="54"/>
        <v>0</v>
      </c>
      <c r="AZ231">
        <f t="shared" si="55"/>
        <v>0</v>
      </c>
      <c r="BA231">
        <f t="shared" si="56"/>
        <v>1</v>
      </c>
      <c r="BB231">
        <f t="shared" si="57"/>
        <v>1</v>
      </c>
      <c r="BC231">
        <f>MATCH($B231,clean_historis!$B:$B,0)</f>
        <v>231</v>
      </c>
      <c r="BD231">
        <f>IFERROR(INDEX(clean_historis!$AF:$AF,$BC231)/INDEX(clean_historis!$V:$V,$BC231),0)</f>
        <v>1</v>
      </c>
      <c r="BE231">
        <f>IFERROR(INDEX(clean_historis!$AR:$AR,$BC231)/INDEX(clean_historis!$AH:$AH,$BC231),0)</f>
        <v>2.4390243902439025E-2</v>
      </c>
      <c r="BF231">
        <f t="shared" si="58"/>
        <v>0</v>
      </c>
      <c r="BG231">
        <f>MAX(IF(INDEX(clean_historis!$CL:$CL,$BC231)=1,2025,0),IF(INDEX(clean_historis!$CK:$CK,$BC231)=1,2024,0),IF(INDEX(clean_historis!$CJ:$CJ,$BC231)=1,2023,0),IF(INDEX(clean_historis!$CI:$CI,$BC231)=1,2022,0),IF(INDEX(clean_historis!$CH:$CH,$BC231)=1,2021,0))</f>
        <v>2024</v>
      </c>
      <c r="BH231">
        <f t="shared" si="59"/>
        <v>0</v>
      </c>
      <c r="BI231">
        <f t="shared" si="60"/>
        <v>0</v>
      </c>
      <c r="BJ231">
        <f t="shared" si="61"/>
        <v>0</v>
      </c>
      <c r="BK231">
        <f t="shared" si="62"/>
        <v>24.521600000000003</v>
      </c>
      <c r="BL231">
        <f t="shared" si="63"/>
        <v>0</v>
      </c>
      <c r="BM231">
        <f t="shared" si="64"/>
        <v>0</v>
      </c>
      <c r="BN231">
        <v>0</v>
      </c>
      <c r="BO231">
        <f t="shared" si="67"/>
        <v>1</v>
      </c>
      <c r="BP231">
        <f t="shared" si="65"/>
        <v>1</v>
      </c>
      <c r="BQ231">
        <f t="shared" si="66"/>
        <v>1</v>
      </c>
    </row>
    <row r="232" spans="1:69" x14ac:dyDescent="0.25">
      <c r="A232">
        <v>231</v>
      </c>
      <c r="B232" t="s">
        <v>985</v>
      </c>
      <c r="C232" t="s">
        <v>986</v>
      </c>
      <c r="D232" t="s">
        <v>987</v>
      </c>
      <c r="E232" t="s">
        <v>266</v>
      </c>
      <c r="F232" t="s">
        <v>105</v>
      </c>
      <c r="G232">
        <v>2</v>
      </c>
      <c r="H232">
        <v>1</v>
      </c>
      <c r="I232">
        <v>1057</v>
      </c>
      <c r="J232">
        <v>0</v>
      </c>
      <c r="K232">
        <v>1</v>
      </c>
      <c r="L232">
        <v>2275.5</v>
      </c>
      <c r="M232">
        <v>697.9</v>
      </c>
      <c r="N232">
        <v>4925.3999999999996</v>
      </c>
      <c r="O232">
        <v>1137.2</v>
      </c>
      <c r="P232">
        <v>5385.9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0.36</v>
      </c>
      <c r="W232">
        <v>0</v>
      </c>
      <c r="X232">
        <v>0</v>
      </c>
      <c r="Y232">
        <v>0.36000001430511469</v>
      </c>
      <c r="Z232">
        <v>0</v>
      </c>
      <c r="AA232">
        <v>0.10000000149011611</v>
      </c>
      <c r="AB232">
        <v>0.25999999046325678</v>
      </c>
      <c r="AC232">
        <v>0</v>
      </c>
      <c r="AD232">
        <v>0</v>
      </c>
      <c r="AE232">
        <v>0.35999999195337301</v>
      </c>
      <c r="AF232">
        <v>0</v>
      </c>
      <c r="AG232">
        <v>1</v>
      </c>
      <c r="AH232">
        <v>0</v>
      </c>
      <c r="AI232">
        <v>150</v>
      </c>
      <c r="AJ232">
        <v>0.10000000149011611</v>
      </c>
      <c r="AK232">
        <v>0.25999999046325678</v>
      </c>
      <c r="AL232">
        <v>0</v>
      </c>
      <c r="AM232">
        <v>0</v>
      </c>
      <c r="AN232">
        <v>0</v>
      </c>
      <c r="AO232">
        <v>0</v>
      </c>
      <c r="AR232">
        <v>0</v>
      </c>
      <c r="AS232">
        <v>0</v>
      </c>
      <c r="AT232">
        <v>0</v>
      </c>
      <c r="AU232">
        <v>0</v>
      </c>
      <c r="AV232">
        <f t="shared" si="51"/>
        <v>0</v>
      </c>
      <c r="AW232">
        <f t="shared" si="52"/>
        <v>0</v>
      </c>
      <c r="AX232">
        <f t="shared" si="53"/>
        <v>0</v>
      </c>
      <c r="AY232">
        <f t="shared" si="54"/>
        <v>0</v>
      </c>
      <c r="AZ232">
        <f t="shared" si="55"/>
        <v>0</v>
      </c>
      <c r="BA232" t="str">
        <f t="shared" si="56"/>
        <v/>
      </c>
      <c r="BB232">
        <f t="shared" si="57"/>
        <v>1</v>
      </c>
      <c r="BC232">
        <f>MATCH($B232,clean_historis!$B:$B,0)</f>
        <v>232</v>
      </c>
      <c r="BD232">
        <f>IFERROR(INDEX(clean_historis!$AF:$AF,$BC232)/INDEX(clean_historis!$V:$V,$BC232),0)</f>
        <v>0</v>
      </c>
      <c r="BE232">
        <f>IFERROR(INDEX(clean_historis!$AR:$AR,$BC232)/INDEX(clean_historis!$AH:$AH,$BC232),0)</f>
        <v>0</v>
      </c>
      <c r="BF232">
        <f t="shared" si="58"/>
        <v>0</v>
      </c>
      <c r="BG232">
        <f>MAX(IF(INDEX(clean_historis!$CL:$CL,$BC232)=1,2025,0),IF(INDEX(clean_historis!$CK:$CK,$BC232)=1,2024,0),IF(INDEX(clean_historis!$CJ:$CJ,$BC232)=1,2023,0),IF(INDEX(clean_historis!$CI:$CI,$BC232)=1,2022,0),IF(INDEX(clean_historis!$CH:$CH,$BC232)=1,2021,0))</f>
        <v>0</v>
      </c>
      <c r="BH232">
        <f t="shared" si="59"/>
        <v>0</v>
      </c>
      <c r="BI232">
        <f t="shared" si="60"/>
        <v>0</v>
      </c>
      <c r="BJ232">
        <f t="shared" si="61"/>
        <v>0</v>
      </c>
      <c r="BK232">
        <f t="shared" si="62"/>
        <v>13.284699999999999</v>
      </c>
      <c r="BL232">
        <f t="shared" si="63"/>
        <v>0</v>
      </c>
      <c r="BM232">
        <f t="shared" si="64"/>
        <v>0</v>
      </c>
      <c r="BN232">
        <v>0</v>
      </c>
      <c r="BO232">
        <f t="shared" si="67"/>
        <v>1</v>
      </c>
      <c r="BP232">
        <f t="shared" si="65"/>
        <v>0</v>
      </c>
      <c r="BQ232">
        <f t="shared" si="66"/>
        <v>1</v>
      </c>
    </row>
    <row r="233" spans="1:69" x14ac:dyDescent="0.25">
      <c r="A233">
        <v>232</v>
      </c>
      <c r="B233" t="s">
        <v>988</v>
      </c>
      <c r="C233" t="s">
        <v>989</v>
      </c>
      <c r="D233" t="s">
        <v>990</v>
      </c>
      <c r="E233" t="s">
        <v>444</v>
      </c>
      <c r="F233" t="s">
        <v>363</v>
      </c>
      <c r="G233">
        <v>1</v>
      </c>
      <c r="H233">
        <v>1</v>
      </c>
      <c r="I233">
        <v>870</v>
      </c>
      <c r="J233">
        <v>1</v>
      </c>
      <c r="K233">
        <v>0</v>
      </c>
      <c r="L233">
        <v>1145.7</v>
      </c>
      <c r="M233">
        <v>907</v>
      </c>
      <c r="N233">
        <v>2364.5</v>
      </c>
      <c r="O233">
        <v>167.6</v>
      </c>
      <c r="P233">
        <v>28977.7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0.32</v>
      </c>
      <c r="W233">
        <v>0</v>
      </c>
      <c r="X233">
        <v>0</v>
      </c>
      <c r="Y233">
        <v>0.31999999284744263</v>
      </c>
      <c r="Z233">
        <v>0</v>
      </c>
      <c r="AA233">
        <v>0.31999999284744263</v>
      </c>
      <c r="AB233">
        <v>0</v>
      </c>
      <c r="AC233">
        <v>0</v>
      </c>
      <c r="AD233">
        <v>0</v>
      </c>
      <c r="AE233">
        <v>0.31999999284744263</v>
      </c>
      <c r="AF233">
        <v>0</v>
      </c>
      <c r="AG233">
        <v>1</v>
      </c>
      <c r="AH233">
        <v>0</v>
      </c>
      <c r="AI233">
        <v>150</v>
      </c>
      <c r="AJ233">
        <v>0.31999999284744263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2025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f t="shared" si="51"/>
        <v>0</v>
      </c>
      <c r="AW233">
        <f t="shared" si="52"/>
        <v>0</v>
      </c>
      <c r="AX233">
        <f t="shared" si="53"/>
        <v>0</v>
      </c>
      <c r="AY233">
        <f t="shared" si="54"/>
        <v>0</v>
      </c>
      <c r="AZ233">
        <f t="shared" si="55"/>
        <v>0</v>
      </c>
      <c r="BA233">
        <f t="shared" si="56"/>
        <v>0</v>
      </c>
      <c r="BB233">
        <f t="shared" si="57"/>
        <v>1</v>
      </c>
      <c r="BC233">
        <f>MATCH($B233,clean_historis!$B:$B,0)</f>
        <v>233</v>
      </c>
      <c r="BD233">
        <f>IFERROR(INDEX(clean_historis!$AF:$AF,$BC233)/INDEX(clean_historis!$V:$V,$BC233),0)</f>
        <v>0</v>
      </c>
      <c r="BE233">
        <f>IFERROR(INDEX(clean_historis!$AR:$AR,$BC233)/INDEX(clean_historis!$AH:$AH,$BC233),0)</f>
        <v>0</v>
      </c>
      <c r="BF233">
        <f t="shared" si="58"/>
        <v>0</v>
      </c>
      <c r="BG233">
        <f>MAX(IF(INDEX(clean_historis!$CL:$CL,$BC233)=1,2025,0),IF(INDEX(clean_historis!$CK:$CK,$BC233)=1,2024,0),IF(INDEX(clean_historis!$CJ:$CJ,$BC233)=1,2023,0),IF(INDEX(clean_historis!$CI:$CI,$BC233)=1,2022,0),IF(INDEX(clean_historis!$CH:$CH,$BC233)=1,2021,0))</f>
        <v>2025</v>
      </c>
      <c r="BH233">
        <f t="shared" si="59"/>
        <v>0</v>
      </c>
      <c r="BI233">
        <f t="shared" si="60"/>
        <v>0</v>
      </c>
      <c r="BJ233">
        <f t="shared" si="61"/>
        <v>1</v>
      </c>
      <c r="BK233">
        <f t="shared" si="62"/>
        <v>33.3949</v>
      </c>
      <c r="BL233">
        <f t="shared" si="63"/>
        <v>0</v>
      </c>
      <c r="BM233">
        <f t="shared" si="64"/>
        <v>0</v>
      </c>
      <c r="BN233">
        <v>0</v>
      </c>
      <c r="BO233">
        <f t="shared" si="67"/>
        <v>1</v>
      </c>
      <c r="BP233">
        <f t="shared" si="65"/>
        <v>1</v>
      </c>
      <c r="BQ233">
        <f t="shared" si="66"/>
        <v>1</v>
      </c>
    </row>
    <row r="234" spans="1:69" x14ac:dyDescent="0.25">
      <c r="A234">
        <v>233</v>
      </c>
      <c r="B234" t="s">
        <v>991</v>
      </c>
      <c r="C234" t="s">
        <v>992</v>
      </c>
      <c r="D234" t="s">
        <v>993</v>
      </c>
      <c r="E234" t="s">
        <v>994</v>
      </c>
      <c r="F234" t="s">
        <v>363</v>
      </c>
      <c r="G234">
        <v>1</v>
      </c>
      <c r="H234">
        <v>1</v>
      </c>
      <c r="I234">
        <v>359</v>
      </c>
      <c r="J234">
        <v>0</v>
      </c>
      <c r="K234">
        <v>0</v>
      </c>
      <c r="L234">
        <v>3497.9</v>
      </c>
      <c r="M234">
        <v>2862.5</v>
      </c>
      <c r="N234">
        <v>4716.7</v>
      </c>
      <c r="O234">
        <v>1205.8</v>
      </c>
      <c r="P234">
        <v>31329.9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0.27</v>
      </c>
      <c r="W234">
        <v>0</v>
      </c>
      <c r="X234">
        <v>0</v>
      </c>
      <c r="Y234">
        <v>0.27000001072883612</v>
      </c>
      <c r="Z234">
        <v>0</v>
      </c>
      <c r="AA234">
        <v>0</v>
      </c>
      <c r="AB234">
        <v>0.27000001072883612</v>
      </c>
      <c r="AC234">
        <v>0</v>
      </c>
      <c r="AD234">
        <v>0</v>
      </c>
      <c r="AE234">
        <v>0.27000001072883612</v>
      </c>
      <c r="AF234">
        <v>0</v>
      </c>
      <c r="AG234">
        <v>1</v>
      </c>
      <c r="AH234">
        <v>0</v>
      </c>
      <c r="AI234">
        <v>150</v>
      </c>
      <c r="AJ234">
        <v>0</v>
      </c>
      <c r="AK234">
        <v>0.27000001072883612</v>
      </c>
      <c r="AL234">
        <v>0</v>
      </c>
      <c r="AM234">
        <v>0</v>
      </c>
      <c r="AN234">
        <v>0</v>
      </c>
      <c r="AO234">
        <v>0</v>
      </c>
      <c r="AR234">
        <v>0</v>
      </c>
      <c r="AS234">
        <v>0</v>
      </c>
      <c r="AT234">
        <v>0</v>
      </c>
      <c r="AU234">
        <v>0</v>
      </c>
      <c r="AV234">
        <f t="shared" si="51"/>
        <v>0</v>
      </c>
      <c r="AW234">
        <f t="shared" si="52"/>
        <v>0</v>
      </c>
      <c r="AX234">
        <f t="shared" si="53"/>
        <v>0</v>
      </c>
      <c r="AY234">
        <f t="shared" si="54"/>
        <v>0</v>
      </c>
      <c r="AZ234">
        <f t="shared" si="55"/>
        <v>0</v>
      </c>
      <c r="BA234" t="str">
        <f t="shared" si="56"/>
        <v/>
      </c>
      <c r="BB234">
        <f t="shared" si="57"/>
        <v>1</v>
      </c>
      <c r="BC234">
        <f>MATCH($B234,clean_historis!$B:$B,0)</f>
        <v>234</v>
      </c>
      <c r="BD234">
        <f>IFERROR(INDEX(clean_historis!$AF:$AF,$BC234)/INDEX(clean_historis!$V:$V,$BC234),0)</f>
        <v>0</v>
      </c>
      <c r="BE234">
        <f>IFERROR(INDEX(clean_historis!$AR:$AR,$BC234)/INDEX(clean_historis!$AH:$AH,$BC234),0)</f>
        <v>0</v>
      </c>
      <c r="BF234">
        <f t="shared" si="58"/>
        <v>0</v>
      </c>
      <c r="BG234">
        <f>MAX(IF(INDEX(clean_historis!$CL:$CL,$BC234)=1,2025,0),IF(INDEX(clean_historis!$CK:$CK,$BC234)=1,2024,0),IF(INDEX(clean_historis!$CJ:$CJ,$BC234)=1,2023,0),IF(INDEX(clean_historis!$CI:$CI,$BC234)=1,2022,0),IF(INDEX(clean_historis!$CH:$CH,$BC234)=1,2021,0))</f>
        <v>0</v>
      </c>
      <c r="BH234">
        <f t="shared" si="59"/>
        <v>0</v>
      </c>
      <c r="BI234">
        <f t="shared" si="60"/>
        <v>0</v>
      </c>
      <c r="BJ234">
        <f t="shared" si="61"/>
        <v>0</v>
      </c>
      <c r="BK234">
        <f t="shared" si="62"/>
        <v>42.406999999999996</v>
      </c>
      <c r="BL234">
        <f t="shared" si="63"/>
        <v>0</v>
      </c>
      <c r="BM234">
        <f t="shared" si="64"/>
        <v>0</v>
      </c>
      <c r="BN234">
        <v>0</v>
      </c>
      <c r="BO234">
        <f t="shared" si="67"/>
        <v>1</v>
      </c>
      <c r="BP234">
        <f t="shared" si="65"/>
        <v>0</v>
      </c>
      <c r="BQ234">
        <f t="shared" si="66"/>
        <v>1</v>
      </c>
    </row>
    <row r="235" spans="1:69" x14ac:dyDescent="0.25">
      <c r="A235">
        <v>234</v>
      </c>
      <c r="B235" t="s">
        <v>995</v>
      </c>
      <c r="C235" t="s">
        <v>996</v>
      </c>
      <c r="D235" t="s">
        <v>997</v>
      </c>
      <c r="E235" t="s">
        <v>998</v>
      </c>
      <c r="F235" t="s">
        <v>105</v>
      </c>
      <c r="G235">
        <v>2</v>
      </c>
      <c r="H235">
        <v>1</v>
      </c>
      <c r="I235">
        <v>1319</v>
      </c>
      <c r="J235">
        <v>0</v>
      </c>
      <c r="K235">
        <v>0</v>
      </c>
      <c r="L235">
        <v>2155.3000000000002</v>
      </c>
      <c r="M235">
        <v>2905.5</v>
      </c>
      <c r="N235">
        <v>7397.2</v>
      </c>
      <c r="O235">
        <v>688</v>
      </c>
      <c r="P235">
        <v>7561.9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0.82</v>
      </c>
      <c r="W235">
        <v>0</v>
      </c>
      <c r="X235">
        <v>0</v>
      </c>
      <c r="Y235">
        <v>0.81999999284744263</v>
      </c>
      <c r="Z235">
        <v>0</v>
      </c>
      <c r="AA235">
        <v>0.81999999284744263</v>
      </c>
      <c r="AB235">
        <v>0</v>
      </c>
      <c r="AC235">
        <v>0</v>
      </c>
      <c r="AD235">
        <v>0</v>
      </c>
      <c r="AE235">
        <v>0.81999999284744263</v>
      </c>
      <c r="AF235">
        <v>0</v>
      </c>
      <c r="AG235">
        <v>1</v>
      </c>
      <c r="AH235">
        <v>0</v>
      </c>
      <c r="AI235">
        <v>150</v>
      </c>
      <c r="AJ235">
        <v>0.81999999284744263</v>
      </c>
      <c r="AK235">
        <v>0</v>
      </c>
      <c r="AL235">
        <v>0</v>
      </c>
      <c r="AM235">
        <v>0</v>
      </c>
      <c r="AN235">
        <v>1</v>
      </c>
      <c r="AO235">
        <v>2</v>
      </c>
      <c r="AP235">
        <v>2024</v>
      </c>
      <c r="AQ235">
        <v>2</v>
      </c>
      <c r="AR235">
        <v>0</v>
      </c>
      <c r="AS235">
        <v>0</v>
      </c>
      <c r="AT235">
        <v>0</v>
      </c>
      <c r="AU235">
        <v>0</v>
      </c>
      <c r="AV235">
        <f t="shared" si="51"/>
        <v>0</v>
      </c>
      <c r="AW235">
        <f t="shared" si="52"/>
        <v>0</v>
      </c>
      <c r="AX235">
        <f t="shared" si="53"/>
        <v>0</v>
      </c>
      <c r="AY235">
        <f t="shared" si="54"/>
        <v>0</v>
      </c>
      <c r="AZ235">
        <f t="shared" si="55"/>
        <v>0</v>
      </c>
      <c r="BA235">
        <f t="shared" si="56"/>
        <v>1</v>
      </c>
      <c r="BB235">
        <f t="shared" si="57"/>
        <v>1</v>
      </c>
      <c r="BC235">
        <f>MATCH($B235,clean_historis!$B:$B,0)</f>
        <v>235</v>
      </c>
      <c r="BD235">
        <f>IFERROR(INDEX(clean_historis!$AF:$AF,$BC235)/INDEX(clean_historis!$V:$V,$BC235),0)</f>
        <v>0</v>
      </c>
      <c r="BE235">
        <f>IFERROR(INDEX(clean_historis!$AR:$AR,$BC235)/INDEX(clean_historis!$AH:$AH,$BC235),0)</f>
        <v>0</v>
      </c>
      <c r="BF235">
        <f t="shared" si="58"/>
        <v>0</v>
      </c>
      <c r="BG235">
        <f>MAX(IF(INDEX(clean_historis!$CL:$CL,$BC235)=1,2025,0),IF(INDEX(clean_historis!$CK:$CK,$BC235)=1,2024,0),IF(INDEX(clean_historis!$CJ:$CJ,$BC235)=1,2023,0),IF(INDEX(clean_historis!$CI:$CI,$BC235)=1,2022,0),IF(INDEX(clean_historis!$CH:$CH,$BC235)=1,2021,0))</f>
        <v>2024</v>
      </c>
      <c r="BH235">
        <f t="shared" si="59"/>
        <v>0</v>
      </c>
      <c r="BI235">
        <f t="shared" si="60"/>
        <v>0</v>
      </c>
      <c r="BJ235">
        <f t="shared" si="61"/>
        <v>0</v>
      </c>
      <c r="BK235">
        <f t="shared" si="62"/>
        <v>20.0199</v>
      </c>
      <c r="BL235">
        <f t="shared" si="63"/>
        <v>0</v>
      </c>
      <c r="BM235">
        <f t="shared" si="64"/>
        <v>0</v>
      </c>
      <c r="BN235">
        <v>0</v>
      </c>
      <c r="BO235">
        <f t="shared" si="67"/>
        <v>1</v>
      </c>
      <c r="BP235">
        <f t="shared" si="65"/>
        <v>1</v>
      </c>
      <c r="BQ235">
        <f t="shared" si="66"/>
        <v>1</v>
      </c>
    </row>
    <row r="236" spans="1:69" x14ac:dyDescent="0.25">
      <c r="A236">
        <v>235</v>
      </c>
      <c r="B236" t="s">
        <v>999</v>
      </c>
      <c r="C236" t="s">
        <v>1000</v>
      </c>
      <c r="D236" t="s">
        <v>1001</v>
      </c>
      <c r="E236" t="s">
        <v>834</v>
      </c>
      <c r="F236" t="s">
        <v>100</v>
      </c>
      <c r="G236">
        <v>2</v>
      </c>
      <c r="H236">
        <v>1</v>
      </c>
      <c r="I236">
        <v>5063</v>
      </c>
      <c r="J236">
        <v>0</v>
      </c>
      <c r="K236">
        <v>1</v>
      </c>
      <c r="L236">
        <v>705.7</v>
      </c>
      <c r="M236">
        <v>1202.3</v>
      </c>
      <c r="N236">
        <v>2250.3000000000002</v>
      </c>
      <c r="O236">
        <v>328.4</v>
      </c>
      <c r="P236">
        <v>387.4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0.22</v>
      </c>
      <c r="W236">
        <v>0</v>
      </c>
      <c r="X236">
        <v>0</v>
      </c>
      <c r="Y236">
        <v>0.2199999988079071</v>
      </c>
      <c r="Z236">
        <v>0</v>
      </c>
      <c r="AA236">
        <v>0</v>
      </c>
      <c r="AB236">
        <v>0.2199999988079071</v>
      </c>
      <c r="AC236">
        <v>0</v>
      </c>
      <c r="AD236">
        <v>0</v>
      </c>
      <c r="AE236">
        <v>0.2199999988079071</v>
      </c>
      <c r="AF236">
        <v>0</v>
      </c>
      <c r="AG236">
        <v>1</v>
      </c>
      <c r="AH236">
        <v>0</v>
      </c>
      <c r="AI236">
        <v>150</v>
      </c>
      <c r="AJ236">
        <v>0</v>
      </c>
      <c r="AK236">
        <v>0.2199999988079071</v>
      </c>
      <c r="AL236">
        <v>0</v>
      </c>
      <c r="AM236">
        <v>0</v>
      </c>
      <c r="AN236">
        <v>0</v>
      </c>
      <c r="AO236">
        <v>0</v>
      </c>
      <c r="AR236">
        <v>0</v>
      </c>
      <c r="AS236">
        <v>0</v>
      </c>
      <c r="AT236">
        <v>0</v>
      </c>
      <c r="AU236">
        <v>0</v>
      </c>
      <c r="AV236">
        <f t="shared" si="51"/>
        <v>0</v>
      </c>
      <c r="AW236">
        <f t="shared" si="52"/>
        <v>0</v>
      </c>
      <c r="AX236">
        <f t="shared" si="53"/>
        <v>0</v>
      </c>
      <c r="AY236">
        <f t="shared" si="54"/>
        <v>0</v>
      </c>
      <c r="AZ236">
        <f t="shared" si="55"/>
        <v>0</v>
      </c>
      <c r="BA236" t="str">
        <f t="shared" si="56"/>
        <v/>
      </c>
      <c r="BB236">
        <f t="shared" si="57"/>
        <v>1</v>
      </c>
      <c r="BC236">
        <f>MATCH($B236,clean_historis!$B:$B,0)</f>
        <v>236</v>
      </c>
      <c r="BD236">
        <f>IFERROR(INDEX(clean_historis!$AF:$AF,$BC236)/INDEX(clean_historis!$V:$V,$BC236),0)</f>
        <v>0</v>
      </c>
      <c r="BE236">
        <f>IFERROR(INDEX(clean_historis!$AR:$AR,$BC236)/INDEX(clean_historis!$AH:$AH,$BC236),0)</f>
        <v>0</v>
      </c>
      <c r="BF236">
        <f t="shared" si="58"/>
        <v>0</v>
      </c>
      <c r="BG236">
        <f>MAX(IF(INDEX(clean_historis!$CL:$CL,$BC236)=1,2025,0),IF(INDEX(clean_historis!$CK:$CK,$BC236)=1,2024,0),IF(INDEX(clean_historis!$CJ:$CJ,$BC236)=1,2023,0),IF(INDEX(clean_historis!$CI:$CI,$BC236)=1,2022,0),IF(INDEX(clean_historis!$CH:$CH,$BC236)=1,2021,0))</f>
        <v>0</v>
      </c>
      <c r="BH236">
        <f t="shared" si="59"/>
        <v>0</v>
      </c>
      <c r="BI236">
        <f t="shared" si="60"/>
        <v>0</v>
      </c>
      <c r="BJ236">
        <f t="shared" si="61"/>
        <v>1</v>
      </c>
      <c r="BK236">
        <f t="shared" si="62"/>
        <v>4.5457000000000001</v>
      </c>
      <c r="BL236">
        <f t="shared" si="63"/>
        <v>0</v>
      </c>
      <c r="BM236">
        <f t="shared" si="64"/>
        <v>0</v>
      </c>
      <c r="BN236">
        <v>0</v>
      </c>
      <c r="BO236">
        <f t="shared" si="67"/>
        <v>1</v>
      </c>
      <c r="BP236">
        <f t="shared" si="65"/>
        <v>0</v>
      </c>
      <c r="BQ236">
        <f t="shared" si="66"/>
        <v>1</v>
      </c>
    </row>
    <row r="237" spans="1:69" x14ac:dyDescent="0.25">
      <c r="A237">
        <v>236</v>
      </c>
      <c r="B237" t="s">
        <v>1002</v>
      </c>
      <c r="C237" t="s">
        <v>1003</v>
      </c>
      <c r="D237" t="s">
        <v>1004</v>
      </c>
      <c r="E237" t="s">
        <v>1005</v>
      </c>
      <c r="F237" t="s">
        <v>100</v>
      </c>
      <c r="G237">
        <v>2</v>
      </c>
      <c r="H237">
        <v>1</v>
      </c>
      <c r="I237">
        <v>1117</v>
      </c>
      <c r="J237">
        <v>0</v>
      </c>
      <c r="L237">
        <v>2659.6</v>
      </c>
      <c r="M237">
        <v>2809.7</v>
      </c>
      <c r="N237">
        <v>3018.7</v>
      </c>
      <c r="O237">
        <v>1387.7</v>
      </c>
      <c r="P237">
        <v>2514.6999999999998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1.21</v>
      </c>
      <c r="W237">
        <v>0</v>
      </c>
      <c r="X237">
        <v>0</v>
      </c>
      <c r="Y237">
        <v>1.2100000381469731</v>
      </c>
      <c r="Z237">
        <v>0</v>
      </c>
      <c r="AA237">
        <v>0</v>
      </c>
      <c r="AB237">
        <v>0.60000002384185791</v>
      </c>
      <c r="AC237">
        <v>0.20000000298023221</v>
      </c>
      <c r="AD237">
        <v>0.40999999642372131</v>
      </c>
      <c r="AE237">
        <v>0.60000002384185791</v>
      </c>
      <c r="AF237">
        <v>0.60999999940395355</v>
      </c>
      <c r="AG237">
        <v>0.49586777877273469</v>
      </c>
      <c r="AH237">
        <v>0.50413222122726531</v>
      </c>
      <c r="AI237">
        <v>150</v>
      </c>
      <c r="AJ237">
        <v>0</v>
      </c>
      <c r="AK237">
        <v>0.60000002384185791</v>
      </c>
      <c r="AL237">
        <v>0.20000000298023221</v>
      </c>
      <c r="AM237">
        <v>0.40999999642372131</v>
      </c>
      <c r="AN237">
        <v>0</v>
      </c>
      <c r="AO237">
        <v>0</v>
      </c>
      <c r="AR237">
        <v>0</v>
      </c>
      <c r="AS237">
        <v>0</v>
      </c>
      <c r="AT237">
        <v>0</v>
      </c>
      <c r="AU237">
        <v>0</v>
      </c>
      <c r="AV237">
        <f t="shared" si="51"/>
        <v>0.16528925619834708</v>
      </c>
      <c r="AW237">
        <f t="shared" si="52"/>
        <v>-2.9556022074217481E-9</v>
      </c>
      <c r="AX237">
        <f t="shared" si="53"/>
        <v>378.48760000437744</v>
      </c>
      <c r="AY237">
        <f t="shared" si="54"/>
        <v>0</v>
      </c>
      <c r="AZ237">
        <f t="shared" si="55"/>
        <v>0.40999999642372131</v>
      </c>
      <c r="BA237" t="str">
        <f t="shared" si="56"/>
        <v/>
      </c>
      <c r="BB237">
        <f t="shared" si="57"/>
        <v>0.49586777877273469</v>
      </c>
      <c r="BC237">
        <f>MATCH($B237,clean_historis!$B:$B,0)</f>
        <v>237</v>
      </c>
      <c r="BD237">
        <f>IFERROR(INDEX(clean_historis!$AF:$AF,$BC237)/INDEX(clean_historis!$V:$V,$BC237),0)</f>
        <v>0.17355371900826447</v>
      </c>
      <c r="BE237">
        <f>IFERROR(INDEX(clean_historis!$AR:$AR,$BC237)/INDEX(clean_historis!$AH:$AH,$BC237),0)</f>
        <v>0.33884297520661155</v>
      </c>
      <c r="BF237">
        <f t="shared" si="58"/>
        <v>0.33884297225100934</v>
      </c>
      <c r="BG237">
        <f>MAX(IF(INDEX(clean_historis!$CL:$CL,$BC237)=1,2025,0),IF(INDEX(clean_historis!$CK:$CK,$BC237)=1,2024,0),IF(INDEX(clean_historis!$CJ:$CJ,$BC237)=1,2023,0),IF(INDEX(clean_historis!$CI:$CI,$BC237)=1,2022,0),IF(INDEX(clean_historis!$CH:$CH,$BC237)=1,2021,0))</f>
        <v>0</v>
      </c>
      <c r="BH237">
        <f t="shared" si="59"/>
        <v>0.50413222122726531</v>
      </c>
      <c r="BI237">
        <f t="shared" si="60"/>
        <v>563.11569111085532</v>
      </c>
      <c r="BJ237">
        <f t="shared" si="61"/>
        <v>1</v>
      </c>
      <c r="BK237">
        <f t="shared" si="62"/>
        <v>11.002700000000001</v>
      </c>
      <c r="BL237">
        <f t="shared" si="63"/>
        <v>0</v>
      </c>
      <c r="BM237">
        <f t="shared" si="64"/>
        <v>1</v>
      </c>
      <c r="BN237">
        <v>0</v>
      </c>
      <c r="BO237">
        <f t="shared" si="67"/>
        <v>0</v>
      </c>
      <c r="BP237">
        <f t="shared" si="65"/>
        <v>0</v>
      </c>
      <c r="BQ237">
        <f t="shared" si="66"/>
        <v>1</v>
      </c>
    </row>
    <row r="238" spans="1:69" x14ac:dyDescent="0.25">
      <c r="A238">
        <v>237</v>
      </c>
      <c r="B238" t="s">
        <v>1006</v>
      </c>
      <c r="C238" t="s">
        <v>1007</v>
      </c>
      <c r="D238" t="s">
        <v>1008</v>
      </c>
      <c r="E238" t="s">
        <v>1009</v>
      </c>
      <c r="F238" t="s">
        <v>203</v>
      </c>
      <c r="G238">
        <v>3</v>
      </c>
      <c r="H238">
        <v>2</v>
      </c>
      <c r="I238">
        <v>1967</v>
      </c>
      <c r="J238">
        <v>0</v>
      </c>
      <c r="L238">
        <v>1539.1</v>
      </c>
      <c r="M238">
        <v>1398.4</v>
      </c>
      <c r="N238">
        <v>6968.4</v>
      </c>
      <c r="O238">
        <v>1114.5</v>
      </c>
      <c r="P238">
        <v>5105.5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1.18</v>
      </c>
      <c r="W238">
        <v>0</v>
      </c>
      <c r="X238">
        <v>0</v>
      </c>
      <c r="Y238">
        <v>1.179999947547913</v>
      </c>
      <c r="Z238">
        <v>0</v>
      </c>
      <c r="AA238">
        <v>0.98000001907348633</v>
      </c>
      <c r="AB238">
        <v>0.10000000149011611</v>
      </c>
      <c r="AC238">
        <v>0.10000000149011611</v>
      </c>
      <c r="AD238">
        <v>0</v>
      </c>
      <c r="AE238">
        <v>1.080000020563602</v>
      </c>
      <c r="AF238">
        <v>0.10000000149011611</v>
      </c>
      <c r="AG238">
        <v>0.915254237609189</v>
      </c>
      <c r="AH238">
        <v>8.4745762390810955E-2</v>
      </c>
      <c r="AI238">
        <v>150</v>
      </c>
      <c r="AJ238">
        <v>0.98000001907348633</v>
      </c>
      <c r="AK238">
        <v>0.10000000149011611</v>
      </c>
      <c r="AL238">
        <v>0.10000000149011611</v>
      </c>
      <c r="AM238">
        <v>0</v>
      </c>
      <c r="AN238">
        <v>1</v>
      </c>
      <c r="AO238">
        <v>2</v>
      </c>
      <c r="AP238">
        <v>2022</v>
      </c>
      <c r="AQ238">
        <v>4</v>
      </c>
      <c r="AR238">
        <v>0</v>
      </c>
      <c r="AS238">
        <v>0</v>
      </c>
      <c r="AT238">
        <v>0</v>
      </c>
      <c r="AU238">
        <v>0</v>
      </c>
      <c r="AV238">
        <f t="shared" si="51"/>
        <v>0</v>
      </c>
      <c r="AW238">
        <f t="shared" si="52"/>
        <v>0</v>
      </c>
      <c r="AX238">
        <f t="shared" si="53"/>
        <v>0</v>
      </c>
      <c r="AY238">
        <f t="shared" si="54"/>
        <v>0</v>
      </c>
      <c r="AZ238">
        <f t="shared" si="55"/>
        <v>0</v>
      </c>
      <c r="BA238">
        <f t="shared" si="56"/>
        <v>4</v>
      </c>
      <c r="BB238">
        <f t="shared" si="57"/>
        <v>0.915254237609189</v>
      </c>
      <c r="BC238">
        <f>MATCH($B238,clean_historis!$B:$B,0)</f>
        <v>238</v>
      </c>
      <c r="BD238">
        <f>IFERROR(INDEX(clean_historis!$AF:$AF,$BC238)/INDEX(clean_historis!$V:$V,$BC238),0)</f>
        <v>0</v>
      </c>
      <c r="BE238">
        <f>IFERROR(INDEX(clean_historis!$AR:$AR,$BC238)/INDEX(clean_historis!$AH:$AH,$BC238),0)</f>
        <v>0</v>
      </c>
      <c r="BF238">
        <f t="shared" si="58"/>
        <v>0</v>
      </c>
      <c r="BG238">
        <f>MAX(IF(INDEX(clean_historis!$CL:$CL,$BC238)=1,2025,0),IF(INDEX(clean_historis!$CK:$CK,$BC238)=1,2024,0),IF(INDEX(clean_historis!$CJ:$CJ,$BC238)=1,2023,0),IF(INDEX(clean_historis!$CI:$CI,$BC238)=1,2022,0),IF(INDEX(clean_historis!$CH:$CH,$BC238)=1,2021,0))</f>
        <v>2021</v>
      </c>
      <c r="BH238">
        <f t="shared" si="59"/>
        <v>8.4745762390810997E-2</v>
      </c>
      <c r="BI238">
        <f t="shared" si="60"/>
        <v>166.69491462272524</v>
      </c>
      <c r="BJ238">
        <f t="shared" si="61"/>
        <v>1</v>
      </c>
      <c r="BK238">
        <f t="shared" si="62"/>
        <v>15.0114</v>
      </c>
      <c r="BL238">
        <f t="shared" si="63"/>
        <v>0</v>
      </c>
      <c r="BM238">
        <f t="shared" si="64"/>
        <v>0</v>
      </c>
      <c r="BN238">
        <v>0</v>
      </c>
      <c r="BO238">
        <f t="shared" si="67"/>
        <v>0</v>
      </c>
      <c r="BP238">
        <f t="shared" si="65"/>
        <v>1</v>
      </c>
      <c r="BQ238">
        <f t="shared" si="66"/>
        <v>0</v>
      </c>
    </row>
    <row r="239" spans="1:69" x14ac:dyDescent="0.25">
      <c r="A239">
        <v>238</v>
      </c>
      <c r="B239" t="s">
        <v>1010</v>
      </c>
      <c r="C239" t="s">
        <v>1011</v>
      </c>
      <c r="D239" t="s">
        <v>1012</v>
      </c>
      <c r="E239" t="s">
        <v>136</v>
      </c>
      <c r="F239" t="s">
        <v>105</v>
      </c>
      <c r="G239">
        <v>2</v>
      </c>
      <c r="H239">
        <v>1</v>
      </c>
      <c r="I239">
        <v>1032</v>
      </c>
      <c r="J239">
        <v>0</v>
      </c>
      <c r="L239">
        <v>4019.5</v>
      </c>
      <c r="M239">
        <v>4023.5</v>
      </c>
      <c r="N239">
        <v>8065.3</v>
      </c>
      <c r="O239">
        <v>547.5</v>
      </c>
      <c r="P239">
        <v>8229.9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1.21</v>
      </c>
      <c r="W239">
        <v>0</v>
      </c>
      <c r="X239">
        <v>0</v>
      </c>
      <c r="Y239">
        <v>1.2100000381469731</v>
      </c>
      <c r="Z239">
        <v>0</v>
      </c>
      <c r="AA239">
        <v>1.2100000381469731</v>
      </c>
      <c r="AB239">
        <v>0</v>
      </c>
      <c r="AC239">
        <v>0</v>
      </c>
      <c r="AD239">
        <v>0</v>
      </c>
      <c r="AE239">
        <v>1.2100000381469731</v>
      </c>
      <c r="AF239">
        <v>0</v>
      </c>
      <c r="AG239">
        <v>1</v>
      </c>
      <c r="AH239">
        <v>0</v>
      </c>
      <c r="AI239">
        <v>150</v>
      </c>
      <c r="AJ239">
        <v>1.2100000381469731</v>
      </c>
      <c r="AK239">
        <v>0</v>
      </c>
      <c r="AL239">
        <v>0</v>
      </c>
      <c r="AM239">
        <v>0</v>
      </c>
      <c r="AN239">
        <v>0</v>
      </c>
      <c r="AO239">
        <v>0</v>
      </c>
      <c r="AR239">
        <v>0</v>
      </c>
      <c r="AS239">
        <v>0</v>
      </c>
      <c r="AT239">
        <v>0</v>
      </c>
      <c r="AU239">
        <v>0</v>
      </c>
      <c r="AV239">
        <f t="shared" si="51"/>
        <v>0</v>
      </c>
      <c r="AW239">
        <f t="shared" si="52"/>
        <v>0</v>
      </c>
      <c r="AX239">
        <f t="shared" si="53"/>
        <v>0</v>
      </c>
      <c r="AY239">
        <f t="shared" si="54"/>
        <v>0</v>
      </c>
      <c r="AZ239">
        <f t="shared" si="55"/>
        <v>0</v>
      </c>
      <c r="BA239" t="str">
        <f t="shared" si="56"/>
        <v/>
      </c>
      <c r="BB239">
        <f t="shared" si="57"/>
        <v>1</v>
      </c>
      <c r="BC239">
        <f>MATCH($B239,clean_historis!$B:$B,0)</f>
        <v>239</v>
      </c>
      <c r="BD239">
        <f>IFERROR(INDEX(clean_historis!$AF:$AF,$BC239)/INDEX(clean_historis!$V:$V,$BC239),0)</f>
        <v>0</v>
      </c>
      <c r="BE239">
        <f>IFERROR(INDEX(clean_historis!$AR:$AR,$BC239)/INDEX(clean_historis!$AH:$AH,$BC239),0)</f>
        <v>0</v>
      </c>
      <c r="BF239">
        <f t="shared" si="58"/>
        <v>0</v>
      </c>
      <c r="BG239">
        <f>MAX(IF(INDEX(clean_historis!$CL:$CL,$BC239)=1,2025,0),IF(INDEX(clean_historis!$CK:$CK,$BC239)=1,2024,0),IF(INDEX(clean_historis!$CJ:$CJ,$BC239)=1,2023,0),IF(INDEX(clean_historis!$CI:$CI,$BC239)=1,2022,0),IF(INDEX(clean_historis!$CH:$CH,$BC239)=1,2021,0))</f>
        <v>0</v>
      </c>
      <c r="BH239">
        <f t="shared" si="59"/>
        <v>0</v>
      </c>
      <c r="BI239">
        <f t="shared" si="60"/>
        <v>0</v>
      </c>
      <c r="BJ239">
        <f t="shared" si="61"/>
        <v>0</v>
      </c>
      <c r="BK239">
        <f t="shared" si="62"/>
        <v>24.338200000000001</v>
      </c>
      <c r="BL239">
        <f t="shared" si="63"/>
        <v>0</v>
      </c>
      <c r="BM239">
        <f t="shared" si="64"/>
        <v>0</v>
      </c>
      <c r="BN239">
        <v>0</v>
      </c>
      <c r="BO239">
        <f t="shared" si="67"/>
        <v>0</v>
      </c>
      <c r="BP239">
        <f t="shared" si="65"/>
        <v>0</v>
      </c>
      <c r="BQ239">
        <f t="shared" si="66"/>
        <v>0</v>
      </c>
    </row>
    <row r="240" spans="1:69" x14ac:dyDescent="0.25">
      <c r="A240">
        <v>239</v>
      </c>
      <c r="B240" t="s">
        <v>1013</v>
      </c>
      <c r="C240" t="s">
        <v>1014</v>
      </c>
      <c r="D240" t="s">
        <v>1015</v>
      </c>
      <c r="E240" t="s">
        <v>1016</v>
      </c>
      <c r="F240" t="s">
        <v>149</v>
      </c>
      <c r="G240">
        <v>3</v>
      </c>
      <c r="H240">
        <v>1</v>
      </c>
      <c r="I240">
        <v>2178</v>
      </c>
      <c r="J240">
        <v>0</v>
      </c>
      <c r="K240">
        <v>1</v>
      </c>
      <c r="L240">
        <v>1350.7</v>
      </c>
      <c r="M240">
        <v>2417.8000000000002</v>
      </c>
      <c r="N240">
        <v>9440.5</v>
      </c>
      <c r="O240">
        <v>1818.7</v>
      </c>
      <c r="P240">
        <v>7577.6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3.63</v>
      </c>
      <c r="W240">
        <v>0</v>
      </c>
      <c r="X240">
        <v>0</v>
      </c>
      <c r="Y240">
        <v>1.3999999761581421</v>
      </c>
      <c r="Z240">
        <v>0</v>
      </c>
      <c r="AA240">
        <v>0</v>
      </c>
      <c r="AB240">
        <v>0.20000000298023221</v>
      </c>
      <c r="AC240">
        <v>1.1000000238418579</v>
      </c>
      <c r="AD240">
        <v>0.10000000149011611</v>
      </c>
      <c r="AE240">
        <v>0.20000000298023221</v>
      </c>
      <c r="AF240">
        <v>1.200000025331974</v>
      </c>
      <c r="AG240">
        <v>0.14285714209687961</v>
      </c>
      <c r="AH240">
        <v>0.8571428579031205</v>
      </c>
      <c r="AI240">
        <v>150</v>
      </c>
      <c r="AJ240">
        <v>0</v>
      </c>
      <c r="AK240">
        <v>0.20000000298023221</v>
      </c>
      <c r="AL240">
        <v>1.1000000238418579</v>
      </c>
      <c r="AM240">
        <v>0.10000000149011611</v>
      </c>
      <c r="AN240">
        <v>1</v>
      </c>
      <c r="AO240">
        <v>2</v>
      </c>
      <c r="AP240">
        <v>2023</v>
      </c>
      <c r="AQ240">
        <v>3</v>
      </c>
      <c r="AR240">
        <v>0</v>
      </c>
      <c r="AS240">
        <v>0</v>
      </c>
      <c r="AT240">
        <v>0</v>
      </c>
      <c r="AU240">
        <v>0</v>
      </c>
      <c r="AV240">
        <f t="shared" si="51"/>
        <v>2.2204460492503131E-16</v>
      </c>
      <c r="AW240">
        <f t="shared" si="52"/>
        <v>-0.61432506846002333</v>
      </c>
      <c r="AX240">
        <f t="shared" si="53"/>
        <v>60.000000894069665</v>
      </c>
      <c r="AY240">
        <f t="shared" si="54"/>
        <v>0</v>
      </c>
      <c r="AZ240">
        <f t="shared" si="55"/>
        <v>0.10000000149011611</v>
      </c>
      <c r="BA240" t="str">
        <f t="shared" si="56"/>
        <v/>
      </c>
      <c r="BB240">
        <f t="shared" si="57"/>
        <v>0.14285714209687961</v>
      </c>
      <c r="BC240">
        <f>MATCH($B240,clean_historis!$B:$B,0)</f>
        <v>240</v>
      </c>
      <c r="BD240">
        <f>IFERROR(INDEX(clean_historis!$AF:$AF,$BC240)/INDEX(clean_historis!$V:$V,$BC240),0)</f>
        <v>0.64187327823691465</v>
      </c>
      <c r="BE240">
        <f>IFERROR(INDEX(clean_historis!$AR:$AR,$BC240)/INDEX(clean_historis!$AH:$AH,$BC240),0)</f>
        <v>0.64187327823691487</v>
      </c>
      <c r="BF240">
        <f t="shared" si="58"/>
        <v>2.7548209776891489E-2</v>
      </c>
      <c r="BG240">
        <f>MAX(IF(INDEX(clean_historis!$CL:$CL,$BC240)=1,2025,0),IF(INDEX(clean_historis!$CK:$CK,$BC240)=1,2024,0),IF(INDEX(clean_historis!$CJ:$CJ,$BC240)=1,2023,0),IF(INDEX(clean_historis!$CI:$CI,$BC240)=1,2022,0),IF(INDEX(clean_historis!$CH:$CH,$BC240)=1,2021,0))</f>
        <v>0</v>
      </c>
      <c r="BH240">
        <f t="shared" si="59"/>
        <v>0.85714285790312039</v>
      </c>
      <c r="BI240">
        <f t="shared" si="60"/>
        <v>1866.8571445129962</v>
      </c>
      <c r="BJ240">
        <f t="shared" si="61"/>
        <v>1</v>
      </c>
      <c r="BK240">
        <f t="shared" si="62"/>
        <v>20.786600000000004</v>
      </c>
      <c r="BL240">
        <f t="shared" si="63"/>
        <v>0</v>
      </c>
      <c r="BM240">
        <f t="shared" si="64"/>
        <v>0</v>
      </c>
      <c r="BN240">
        <v>0</v>
      </c>
      <c r="BO240">
        <f t="shared" si="67"/>
        <v>0</v>
      </c>
      <c r="BP240">
        <f t="shared" si="65"/>
        <v>1</v>
      </c>
      <c r="BQ240">
        <f t="shared" si="66"/>
        <v>1</v>
      </c>
    </row>
    <row r="241" spans="1:69" x14ac:dyDescent="0.25">
      <c r="A241">
        <v>240</v>
      </c>
      <c r="B241" t="s">
        <v>1017</v>
      </c>
      <c r="C241" t="s">
        <v>1018</v>
      </c>
      <c r="D241" t="s">
        <v>1019</v>
      </c>
      <c r="E241" t="s">
        <v>586</v>
      </c>
      <c r="F241" t="s">
        <v>176</v>
      </c>
      <c r="G241">
        <v>1</v>
      </c>
      <c r="H241">
        <v>1</v>
      </c>
      <c r="I241">
        <v>837</v>
      </c>
      <c r="J241">
        <v>0</v>
      </c>
      <c r="L241">
        <v>1776.3</v>
      </c>
      <c r="M241">
        <v>1926.4</v>
      </c>
      <c r="N241">
        <v>41.4</v>
      </c>
      <c r="O241">
        <v>827.3</v>
      </c>
      <c r="P241">
        <v>1821.5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0</v>
      </c>
      <c r="X241">
        <v>0</v>
      </c>
      <c r="Y241">
        <v>0.10000000149011611</v>
      </c>
      <c r="Z241">
        <v>0</v>
      </c>
      <c r="AA241">
        <v>0</v>
      </c>
      <c r="AB241">
        <v>0.10000000149011611</v>
      </c>
      <c r="AC241">
        <v>0</v>
      </c>
      <c r="AD241">
        <v>0</v>
      </c>
      <c r="AE241">
        <v>0.10000000149011611</v>
      </c>
      <c r="AF241">
        <v>0</v>
      </c>
      <c r="AG241">
        <v>1</v>
      </c>
      <c r="AH241">
        <v>0</v>
      </c>
      <c r="AI241">
        <v>150</v>
      </c>
      <c r="AJ241">
        <v>0</v>
      </c>
      <c r="AK241">
        <v>0.10000000149011611</v>
      </c>
      <c r="AL241">
        <v>0</v>
      </c>
      <c r="AM241">
        <v>0</v>
      </c>
      <c r="AN241">
        <v>0</v>
      </c>
      <c r="AO241">
        <v>0</v>
      </c>
      <c r="AR241">
        <v>0</v>
      </c>
      <c r="AS241">
        <v>0</v>
      </c>
      <c r="AT241">
        <v>0</v>
      </c>
      <c r="AU241">
        <v>0</v>
      </c>
      <c r="AV241">
        <f t="shared" si="51"/>
        <v>1</v>
      </c>
      <c r="AW241">
        <f t="shared" si="52"/>
        <v>-1</v>
      </c>
      <c r="AX241">
        <f t="shared" si="53"/>
        <v>0</v>
      </c>
      <c r="AY241">
        <f t="shared" si="54"/>
        <v>0</v>
      </c>
      <c r="AZ241">
        <f t="shared" si="55"/>
        <v>0</v>
      </c>
      <c r="BA241" t="str">
        <f t="shared" si="56"/>
        <v/>
      </c>
      <c r="BB241">
        <f t="shared" si="57"/>
        <v>1</v>
      </c>
      <c r="BC241">
        <f>MATCH($B241,clean_historis!$B:$B,0)</f>
        <v>241</v>
      </c>
      <c r="BD241">
        <f>IFERROR(INDEX(clean_historis!$AF:$AF,$BC241)/INDEX(clean_historis!$V:$V,$BC241),0)</f>
        <v>0</v>
      </c>
      <c r="BE241">
        <f>IFERROR(INDEX(clean_historis!$AR:$AR,$BC241)/INDEX(clean_historis!$AH:$AH,$BC241),0)</f>
        <v>1</v>
      </c>
      <c r="BF241">
        <f t="shared" si="58"/>
        <v>0</v>
      </c>
      <c r="BG241">
        <f>MAX(IF(INDEX(clean_historis!$CL:$CL,$BC241)=1,2025,0),IF(INDEX(clean_historis!$CK:$CK,$BC241)=1,2024,0),IF(INDEX(clean_historis!$CJ:$CJ,$BC241)=1,2023,0),IF(INDEX(clean_historis!$CI:$CI,$BC241)=1,2022,0),IF(INDEX(clean_historis!$CH:$CH,$BC241)=1,2021,0))</f>
        <v>0</v>
      </c>
      <c r="BH241">
        <f t="shared" si="59"/>
        <v>0</v>
      </c>
      <c r="BI241">
        <f t="shared" si="60"/>
        <v>0</v>
      </c>
      <c r="BJ241">
        <f t="shared" si="61"/>
        <v>1</v>
      </c>
      <c r="BK241">
        <f t="shared" si="62"/>
        <v>5.5656000000000008</v>
      </c>
      <c r="BL241">
        <f t="shared" si="63"/>
        <v>0</v>
      </c>
      <c r="BM241">
        <f t="shared" si="64"/>
        <v>0</v>
      </c>
      <c r="BN241">
        <v>0</v>
      </c>
      <c r="BO241">
        <f t="shared" si="67"/>
        <v>1</v>
      </c>
      <c r="BP241">
        <f t="shared" si="65"/>
        <v>0</v>
      </c>
      <c r="BQ241">
        <f t="shared" si="66"/>
        <v>1</v>
      </c>
    </row>
    <row r="242" spans="1:69" x14ac:dyDescent="0.25">
      <c r="A242">
        <v>241</v>
      </c>
      <c r="B242" t="s">
        <v>1020</v>
      </c>
      <c r="C242" t="s">
        <v>1021</v>
      </c>
      <c r="D242" t="s">
        <v>1022</v>
      </c>
      <c r="E242" t="s">
        <v>456</v>
      </c>
      <c r="F242" t="s">
        <v>363</v>
      </c>
      <c r="G242">
        <v>1</v>
      </c>
      <c r="H242">
        <v>1</v>
      </c>
      <c r="I242">
        <v>670</v>
      </c>
      <c r="J242">
        <v>1</v>
      </c>
      <c r="L242">
        <v>6687</v>
      </c>
      <c r="M242">
        <v>9170.7000000000007</v>
      </c>
      <c r="N242">
        <v>14571.4</v>
      </c>
      <c r="O242">
        <v>2304.8000000000002</v>
      </c>
      <c r="P242">
        <v>41184.5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1.34</v>
      </c>
      <c r="W242">
        <v>1.0399999618530269</v>
      </c>
      <c r="X242">
        <v>0</v>
      </c>
      <c r="Y242">
        <v>0</v>
      </c>
      <c r="Z242">
        <v>0</v>
      </c>
      <c r="AA242">
        <v>0</v>
      </c>
      <c r="AB242">
        <v>0.34000000357627869</v>
      </c>
      <c r="AC242">
        <v>0.60000002384185791</v>
      </c>
      <c r="AD242">
        <v>0.10000000149011611</v>
      </c>
      <c r="AE242">
        <v>0.34000000357627869</v>
      </c>
      <c r="AF242">
        <v>0.70000002533197403</v>
      </c>
      <c r="AG242">
        <v>0.32692307127452302</v>
      </c>
      <c r="AH242">
        <v>0.67307692872547698</v>
      </c>
      <c r="AI242">
        <v>150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2023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f t="shared" si="51"/>
        <v>0.22388059701492535</v>
      </c>
      <c r="AW242">
        <f t="shared" si="52"/>
        <v>-0.14925373023125663</v>
      </c>
      <c r="AX242">
        <f t="shared" si="53"/>
        <v>50.000000745058045</v>
      </c>
      <c r="AY242">
        <f t="shared" si="54"/>
        <v>0</v>
      </c>
      <c r="AZ242">
        <f t="shared" si="55"/>
        <v>0.10000000149011611</v>
      </c>
      <c r="BA242" t="str">
        <f t="shared" si="56"/>
        <v/>
      </c>
      <c r="BB242">
        <f t="shared" si="57"/>
        <v>0.32692307127452302</v>
      </c>
      <c r="BC242">
        <f>MATCH($B242,clean_historis!$B:$B,0)</f>
        <v>242</v>
      </c>
      <c r="BD242">
        <f>IFERROR(INDEX(clean_historis!$AF:$AF,$BC242)/INDEX(clean_historis!$V:$V,$BC242),0)</f>
        <v>0</v>
      </c>
      <c r="BE242">
        <f>IFERROR(INDEX(clean_historis!$AR:$AR,$BC242)/INDEX(clean_historis!$AH:$AH,$BC242),0)</f>
        <v>0.22388059701492535</v>
      </c>
      <c r="BF242">
        <f t="shared" si="58"/>
        <v>7.4626866783668727E-2</v>
      </c>
      <c r="BG242">
        <f>MAX(IF(INDEX(clean_historis!$CL:$CL,$BC242)=1,2025,0),IF(INDEX(clean_historis!$CK:$CK,$BC242)=1,2024,0),IF(INDEX(clean_historis!$CJ:$CJ,$BC242)=1,2023,0),IF(INDEX(clean_historis!$CI:$CI,$BC242)=1,2022,0),IF(INDEX(clean_historis!$CH:$CH,$BC242)=1,2021,0))</f>
        <v>0</v>
      </c>
      <c r="BH242">
        <f t="shared" si="59"/>
        <v>0.67307692872547698</v>
      </c>
      <c r="BI242">
        <f t="shared" si="60"/>
        <v>450.9615422460696</v>
      </c>
      <c r="BJ242">
        <f t="shared" si="61"/>
        <v>0</v>
      </c>
      <c r="BK242">
        <f t="shared" si="62"/>
        <v>71.613600000000005</v>
      </c>
      <c r="BL242">
        <f t="shared" si="63"/>
        <v>0</v>
      </c>
      <c r="BM242">
        <f t="shared" si="64"/>
        <v>0</v>
      </c>
      <c r="BN242">
        <v>0</v>
      </c>
      <c r="BO242">
        <f t="shared" si="67"/>
        <v>0</v>
      </c>
      <c r="BP242">
        <f t="shared" si="65"/>
        <v>1</v>
      </c>
      <c r="BQ242">
        <f t="shared" si="66"/>
        <v>1</v>
      </c>
    </row>
    <row r="243" spans="1:69" x14ac:dyDescent="0.25">
      <c r="A243">
        <v>242</v>
      </c>
      <c r="B243" t="s">
        <v>1023</v>
      </c>
      <c r="C243" t="s">
        <v>1024</v>
      </c>
      <c r="D243" t="s">
        <v>1025</v>
      </c>
      <c r="E243" t="s">
        <v>323</v>
      </c>
      <c r="F243" t="s">
        <v>100</v>
      </c>
      <c r="G243">
        <v>1</v>
      </c>
      <c r="H243">
        <v>1</v>
      </c>
      <c r="I243">
        <v>938</v>
      </c>
      <c r="J243">
        <v>0</v>
      </c>
      <c r="L243">
        <v>971.4</v>
      </c>
      <c r="M243">
        <v>1121.5</v>
      </c>
      <c r="N243">
        <v>1273</v>
      </c>
      <c r="O243">
        <v>333</v>
      </c>
      <c r="P243">
        <v>826.4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0.19</v>
      </c>
      <c r="W243">
        <v>0</v>
      </c>
      <c r="X243">
        <v>0</v>
      </c>
      <c r="Y243">
        <v>0.18999999761581421</v>
      </c>
      <c r="Z243">
        <v>0</v>
      </c>
      <c r="AA243">
        <v>0</v>
      </c>
      <c r="AB243">
        <v>0</v>
      </c>
      <c r="AC243">
        <v>0.18999999761581421</v>
      </c>
      <c r="AD243">
        <v>0</v>
      </c>
      <c r="AE243">
        <v>0</v>
      </c>
      <c r="AF243">
        <v>0.18999999761581421</v>
      </c>
      <c r="AG243">
        <v>0</v>
      </c>
      <c r="AH243">
        <v>1</v>
      </c>
      <c r="AI243">
        <v>150</v>
      </c>
      <c r="AJ243">
        <v>0</v>
      </c>
      <c r="AK243">
        <v>0</v>
      </c>
      <c r="AL243">
        <v>0.18999999761581421</v>
      </c>
      <c r="AM243">
        <v>0</v>
      </c>
      <c r="AN243">
        <v>1</v>
      </c>
      <c r="AO243">
        <v>1</v>
      </c>
      <c r="AP243">
        <v>2025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f t="shared" si="51"/>
        <v>0</v>
      </c>
      <c r="AW243">
        <f t="shared" si="52"/>
        <v>0</v>
      </c>
      <c r="AX243">
        <f t="shared" si="53"/>
        <v>0</v>
      </c>
      <c r="AY243">
        <f t="shared" si="54"/>
        <v>0</v>
      </c>
      <c r="AZ243">
        <f t="shared" si="55"/>
        <v>0</v>
      </c>
      <c r="BA243">
        <f t="shared" si="56"/>
        <v>0</v>
      </c>
      <c r="BB243">
        <f t="shared" si="57"/>
        <v>0</v>
      </c>
      <c r="BC243">
        <f>MATCH($B243,clean_historis!$B:$B,0)</f>
        <v>243</v>
      </c>
      <c r="BD243">
        <f>IFERROR(INDEX(clean_historis!$AF:$AF,$BC243)/INDEX(clean_historis!$V:$V,$BC243),0)</f>
        <v>0</v>
      </c>
      <c r="BE243">
        <f>IFERROR(INDEX(clean_historis!$AR:$AR,$BC243)/INDEX(clean_historis!$AH:$AH,$BC243),0)</f>
        <v>0</v>
      </c>
      <c r="BF243">
        <f t="shared" si="58"/>
        <v>0</v>
      </c>
      <c r="BG243">
        <f>MAX(IF(INDEX(clean_historis!$CL:$CL,$BC243)=1,2025,0),IF(INDEX(clean_historis!$CK:$CK,$BC243)=1,2024,0),IF(INDEX(clean_historis!$CJ:$CJ,$BC243)=1,2023,0),IF(INDEX(clean_historis!$CI:$CI,$BC243)=1,2022,0),IF(INDEX(clean_historis!$CH:$CH,$BC243)=1,2021,0))</f>
        <v>2025</v>
      </c>
      <c r="BH243">
        <f t="shared" si="59"/>
        <v>1</v>
      </c>
      <c r="BI243">
        <f t="shared" si="60"/>
        <v>938</v>
      </c>
      <c r="BJ243">
        <f t="shared" si="61"/>
        <v>1</v>
      </c>
      <c r="BK243">
        <f t="shared" si="62"/>
        <v>4.1923000000000004</v>
      </c>
      <c r="BL243">
        <f t="shared" si="63"/>
        <v>0</v>
      </c>
      <c r="BM243">
        <f t="shared" si="64"/>
        <v>0</v>
      </c>
      <c r="BN243">
        <v>0</v>
      </c>
      <c r="BO243">
        <f t="shared" si="67"/>
        <v>1</v>
      </c>
      <c r="BP243">
        <f t="shared" si="65"/>
        <v>1</v>
      </c>
      <c r="BQ243">
        <f t="shared" si="66"/>
        <v>1</v>
      </c>
    </row>
    <row r="244" spans="1:69" x14ac:dyDescent="0.25">
      <c r="A244">
        <v>243</v>
      </c>
      <c r="B244" t="s">
        <v>1026</v>
      </c>
      <c r="C244" t="s">
        <v>1027</v>
      </c>
      <c r="D244" t="s">
        <v>1028</v>
      </c>
      <c r="E244" t="s">
        <v>895</v>
      </c>
      <c r="F244" t="s">
        <v>363</v>
      </c>
      <c r="G244">
        <v>1</v>
      </c>
      <c r="H244">
        <v>1</v>
      </c>
      <c r="I244">
        <v>539</v>
      </c>
      <c r="J244">
        <v>0</v>
      </c>
      <c r="L244">
        <v>1229.4000000000001</v>
      </c>
      <c r="M244">
        <v>594</v>
      </c>
      <c r="N244">
        <v>2448.3000000000002</v>
      </c>
      <c r="O244">
        <v>68.099999999999994</v>
      </c>
      <c r="P244">
        <v>29061.4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0.15</v>
      </c>
      <c r="W244">
        <v>0</v>
      </c>
      <c r="X244">
        <v>0</v>
      </c>
      <c r="Y244">
        <v>0.15000000596046451</v>
      </c>
      <c r="Z244">
        <v>0</v>
      </c>
      <c r="AA244">
        <v>0</v>
      </c>
      <c r="AB244">
        <v>0.15000000596046451</v>
      </c>
      <c r="AC244">
        <v>0</v>
      </c>
      <c r="AD244">
        <v>0</v>
      </c>
      <c r="AE244">
        <v>0.15000000596046451</v>
      </c>
      <c r="AF244">
        <v>0</v>
      </c>
      <c r="AG244">
        <v>1</v>
      </c>
      <c r="AH244">
        <v>0</v>
      </c>
      <c r="AI244">
        <v>150</v>
      </c>
      <c r="AJ244">
        <v>0</v>
      </c>
      <c r="AK244">
        <v>0.15000000596046451</v>
      </c>
      <c r="AL244">
        <v>0</v>
      </c>
      <c r="AM244">
        <v>0</v>
      </c>
      <c r="AN244">
        <v>0</v>
      </c>
      <c r="AO244">
        <v>0</v>
      </c>
      <c r="AR244">
        <v>0</v>
      </c>
      <c r="AS244">
        <v>0</v>
      </c>
      <c r="AT244">
        <v>0</v>
      </c>
      <c r="AU244">
        <v>0</v>
      </c>
      <c r="AV244">
        <f t="shared" si="51"/>
        <v>0</v>
      </c>
      <c r="AW244">
        <f t="shared" si="52"/>
        <v>0</v>
      </c>
      <c r="AX244">
        <f t="shared" si="53"/>
        <v>0</v>
      </c>
      <c r="AY244">
        <f t="shared" si="54"/>
        <v>0</v>
      </c>
      <c r="AZ244">
        <f t="shared" si="55"/>
        <v>0</v>
      </c>
      <c r="BA244" t="str">
        <f t="shared" si="56"/>
        <v/>
      </c>
      <c r="BB244">
        <f t="shared" si="57"/>
        <v>1</v>
      </c>
      <c r="BC244">
        <f>MATCH($B244,clean_historis!$B:$B,0)</f>
        <v>244</v>
      </c>
      <c r="BD244">
        <f>IFERROR(INDEX(clean_historis!$AF:$AF,$BC244)/INDEX(clean_historis!$V:$V,$BC244),0)</f>
        <v>0</v>
      </c>
      <c r="BE244">
        <f>IFERROR(INDEX(clean_historis!$AR:$AR,$BC244)/INDEX(clean_historis!$AH:$AH,$BC244),0)</f>
        <v>0</v>
      </c>
      <c r="BF244">
        <f t="shared" si="58"/>
        <v>0</v>
      </c>
      <c r="BG244">
        <f>MAX(IF(INDEX(clean_historis!$CL:$CL,$BC244)=1,2025,0),IF(INDEX(clean_historis!$CK:$CK,$BC244)=1,2024,0),IF(INDEX(clean_historis!$CJ:$CJ,$BC244)=1,2023,0),IF(INDEX(clean_historis!$CI:$CI,$BC244)=1,2022,0),IF(INDEX(clean_historis!$CH:$CH,$BC244)=1,2021,0))</f>
        <v>0</v>
      </c>
      <c r="BH244">
        <f t="shared" si="59"/>
        <v>0</v>
      </c>
      <c r="BI244">
        <f t="shared" si="60"/>
        <v>0</v>
      </c>
      <c r="BJ244">
        <f t="shared" si="61"/>
        <v>1</v>
      </c>
      <c r="BK244">
        <f t="shared" si="62"/>
        <v>33.333100000000009</v>
      </c>
      <c r="BL244">
        <f t="shared" si="63"/>
        <v>1</v>
      </c>
      <c r="BM244">
        <f t="shared" si="64"/>
        <v>0</v>
      </c>
      <c r="BN244">
        <v>0</v>
      </c>
      <c r="BO244">
        <f t="shared" si="67"/>
        <v>1</v>
      </c>
      <c r="BP244">
        <f t="shared" si="65"/>
        <v>0</v>
      </c>
      <c r="BQ244">
        <f t="shared" si="66"/>
        <v>1</v>
      </c>
    </row>
    <row r="245" spans="1:69" x14ac:dyDescent="0.25">
      <c r="A245">
        <v>244</v>
      </c>
      <c r="B245" t="s">
        <v>1029</v>
      </c>
      <c r="C245" t="s">
        <v>1030</v>
      </c>
      <c r="D245" t="s">
        <v>1031</v>
      </c>
      <c r="E245" t="s">
        <v>800</v>
      </c>
      <c r="F245" t="s">
        <v>127</v>
      </c>
      <c r="G245">
        <v>1</v>
      </c>
      <c r="H245">
        <v>1</v>
      </c>
      <c r="I245">
        <v>719</v>
      </c>
      <c r="J245">
        <v>0</v>
      </c>
      <c r="K245">
        <v>1</v>
      </c>
      <c r="L245">
        <v>8162.8</v>
      </c>
      <c r="M245">
        <v>4120.1000000000004</v>
      </c>
      <c r="N245">
        <v>10373.200000000001</v>
      </c>
      <c r="O245">
        <v>1501.9</v>
      </c>
      <c r="P245">
        <v>10275.6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0.24</v>
      </c>
      <c r="W245">
        <v>0</v>
      </c>
      <c r="X245">
        <v>0</v>
      </c>
      <c r="Y245">
        <v>0.239999994635582</v>
      </c>
      <c r="Z245">
        <v>0</v>
      </c>
      <c r="AA245">
        <v>0</v>
      </c>
      <c r="AB245">
        <v>0.14000000059604639</v>
      </c>
      <c r="AC245">
        <v>0.10000000149011611</v>
      </c>
      <c r="AD245">
        <v>0</v>
      </c>
      <c r="AE245">
        <v>0.14000000059604639</v>
      </c>
      <c r="AF245">
        <v>0.10000000149011611</v>
      </c>
      <c r="AG245">
        <v>0.58333333074632621</v>
      </c>
      <c r="AH245">
        <v>0.41666666925367379</v>
      </c>
      <c r="AI245">
        <v>150</v>
      </c>
      <c r="AJ245">
        <v>0</v>
      </c>
      <c r="AK245">
        <v>0.14000000059604639</v>
      </c>
      <c r="AL245">
        <v>0.10000000149011611</v>
      </c>
      <c r="AM245">
        <v>0</v>
      </c>
      <c r="AN245">
        <v>1</v>
      </c>
      <c r="AO245">
        <v>1</v>
      </c>
      <c r="AP245">
        <v>2021</v>
      </c>
      <c r="AQ245">
        <v>5</v>
      </c>
      <c r="AR245">
        <v>0</v>
      </c>
      <c r="AS245">
        <v>0</v>
      </c>
      <c r="AT245">
        <v>0</v>
      </c>
      <c r="AU245">
        <v>0</v>
      </c>
      <c r="AV245">
        <f t="shared" si="51"/>
        <v>0</v>
      </c>
      <c r="AW245">
        <f t="shared" si="52"/>
        <v>0</v>
      </c>
      <c r="AX245">
        <f t="shared" si="53"/>
        <v>0</v>
      </c>
      <c r="AY245">
        <f t="shared" si="54"/>
        <v>0</v>
      </c>
      <c r="AZ245">
        <f t="shared" si="55"/>
        <v>0</v>
      </c>
      <c r="BA245">
        <f t="shared" si="56"/>
        <v>4</v>
      </c>
      <c r="BB245">
        <f t="shared" si="57"/>
        <v>0.58333333074632621</v>
      </c>
      <c r="BC245">
        <f>MATCH($B245,clean_historis!$B:$B,0)</f>
        <v>245</v>
      </c>
      <c r="BD245">
        <f>IFERROR(INDEX(clean_historis!$AF:$AF,$BC245)/INDEX(clean_historis!$V:$V,$BC245),0)</f>
        <v>0</v>
      </c>
      <c r="BE245">
        <f>IFERROR(INDEX(clean_historis!$AR:$AR,$BC245)/INDEX(clean_historis!$AH:$AH,$BC245),0)</f>
        <v>0</v>
      </c>
      <c r="BF245">
        <f t="shared" si="58"/>
        <v>0</v>
      </c>
      <c r="BG245">
        <f>MAX(IF(INDEX(clean_historis!$CL:$CL,$BC245)=1,2025,0),IF(INDEX(clean_historis!$CK:$CK,$BC245)=1,2024,0),IF(INDEX(clean_historis!$CJ:$CJ,$BC245)=1,2023,0),IF(INDEX(clean_historis!$CI:$CI,$BC245)=1,2022,0),IF(INDEX(clean_historis!$CH:$CH,$BC245)=1,2021,0))</f>
        <v>2021</v>
      </c>
      <c r="BH245">
        <f t="shared" si="59"/>
        <v>0.41666666925367379</v>
      </c>
      <c r="BI245">
        <f t="shared" si="60"/>
        <v>299.58333519339146</v>
      </c>
      <c r="BJ245">
        <f t="shared" si="61"/>
        <v>0</v>
      </c>
      <c r="BK245">
        <f t="shared" si="62"/>
        <v>32.931700000000006</v>
      </c>
      <c r="BL245">
        <f t="shared" si="63"/>
        <v>0</v>
      </c>
      <c r="BM245">
        <f t="shared" si="64"/>
        <v>0</v>
      </c>
      <c r="BN245">
        <v>0</v>
      </c>
      <c r="BO245">
        <f t="shared" si="67"/>
        <v>1</v>
      </c>
      <c r="BP245">
        <f t="shared" si="65"/>
        <v>1</v>
      </c>
      <c r="BQ245">
        <f t="shared" si="66"/>
        <v>1</v>
      </c>
    </row>
    <row r="246" spans="1:69" x14ac:dyDescent="0.25">
      <c r="A246">
        <v>245</v>
      </c>
      <c r="B246" t="s">
        <v>1032</v>
      </c>
      <c r="C246" t="s">
        <v>1033</v>
      </c>
      <c r="D246" t="s">
        <v>1034</v>
      </c>
      <c r="E246" t="s">
        <v>1035</v>
      </c>
      <c r="F246" t="s">
        <v>262</v>
      </c>
      <c r="G246">
        <v>5</v>
      </c>
      <c r="H246">
        <v>2</v>
      </c>
      <c r="I246">
        <v>2647</v>
      </c>
      <c r="J246">
        <v>0</v>
      </c>
      <c r="L246">
        <v>4267</v>
      </c>
      <c r="M246">
        <v>6331.9</v>
      </c>
      <c r="N246">
        <v>9887.5</v>
      </c>
      <c r="O246">
        <v>3256.1</v>
      </c>
      <c r="P246">
        <v>40166.6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8.5</v>
      </c>
      <c r="W246">
        <v>0</v>
      </c>
      <c r="X246">
        <v>0</v>
      </c>
      <c r="Y246">
        <v>8.5</v>
      </c>
      <c r="Z246">
        <v>0</v>
      </c>
      <c r="AA246">
        <v>5</v>
      </c>
      <c r="AB246">
        <v>0.80000001192092896</v>
      </c>
      <c r="AC246">
        <v>0.69999998807907104</v>
      </c>
      <c r="AD246">
        <v>2</v>
      </c>
      <c r="AE246">
        <v>5.800000011920929</v>
      </c>
      <c r="AF246">
        <v>2.699999988079071</v>
      </c>
      <c r="AG246">
        <v>0.68235294257893286</v>
      </c>
      <c r="AH246">
        <v>0.31764705742106719</v>
      </c>
      <c r="AI246">
        <v>150</v>
      </c>
      <c r="AJ246">
        <v>5</v>
      </c>
      <c r="AK246">
        <v>0.80000001192092896</v>
      </c>
      <c r="AL246">
        <v>0.69999998807907104</v>
      </c>
      <c r="AM246">
        <v>2</v>
      </c>
      <c r="AN246">
        <v>1</v>
      </c>
      <c r="AO246">
        <v>4</v>
      </c>
      <c r="AP246">
        <v>2025</v>
      </c>
      <c r="AQ246">
        <v>1</v>
      </c>
      <c r="AR246">
        <v>1</v>
      </c>
      <c r="AS246">
        <v>0</v>
      </c>
      <c r="AT246">
        <v>1</v>
      </c>
      <c r="AU246">
        <v>0</v>
      </c>
      <c r="AV246">
        <f t="shared" si="51"/>
        <v>-0.35294117647058826</v>
      </c>
      <c r="AW246">
        <f t="shared" si="52"/>
        <v>0</v>
      </c>
      <c r="AX246">
        <f t="shared" si="53"/>
        <v>622.82352941176475</v>
      </c>
      <c r="AY246">
        <f t="shared" si="54"/>
        <v>0</v>
      </c>
      <c r="AZ246">
        <f t="shared" si="55"/>
        <v>2</v>
      </c>
      <c r="BA246">
        <f t="shared" si="56"/>
        <v>0</v>
      </c>
      <c r="BB246">
        <f t="shared" si="57"/>
        <v>0.68235294257893286</v>
      </c>
      <c r="BC246">
        <f>MATCH($B246,clean_historis!$B:$B,0)</f>
        <v>246</v>
      </c>
      <c r="BD246">
        <f>IFERROR(INDEX(clean_historis!$AF:$AF,$BC246)/INDEX(clean_historis!$V:$V,$BC246),0)</f>
        <v>0.58823529411764708</v>
      </c>
      <c r="BE246">
        <f>IFERROR(INDEX(clean_historis!$AR:$AR,$BC246)/INDEX(clean_historis!$AH:$AH,$BC246),0)</f>
        <v>0.23529411764705882</v>
      </c>
      <c r="BF246">
        <f t="shared" si="58"/>
        <v>0.23529411764705882</v>
      </c>
      <c r="BG246">
        <f>MAX(IF(INDEX(clean_historis!$CL:$CL,$BC246)=1,2025,0),IF(INDEX(clean_historis!$CK:$CK,$BC246)=1,2024,0),IF(INDEX(clean_historis!$CJ:$CJ,$BC246)=1,2023,0),IF(INDEX(clean_historis!$CI:$CI,$BC246)=1,2022,0),IF(INDEX(clean_historis!$CH:$CH,$BC246)=1,2021,0))</f>
        <v>2025</v>
      </c>
      <c r="BH246">
        <f t="shared" si="59"/>
        <v>0.31764705742106714</v>
      </c>
      <c r="BI246">
        <f t="shared" si="60"/>
        <v>840.81176099356469</v>
      </c>
      <c r="BJ246">
        <f t="shared" si="61"/>
        <v>0</v>
      </c>
      <c r="BK246">
        <f t="shared" si="62"/>
        <v>60.652999999999999</v>
      </c>
      <c r="BL246">
        <f t="shared" si="63"/>
        <v>0</v>
      </c>
      <c r="BM246">
        <f t="shared" si="64"/>
        <v>0</v>
      </c>
      <c r="BN246">
        <v>0</v>
      </c>
      <c r="BO246">
        <f t="shared" si="67"/>
        <v>0</v>
      </c>
      <c r="BP246">
        <f t="shared" si="65"/>
        <v>1</v>
      </c>
      <c r="BQ246">
        <f t="shared" si="66"/>
        <v>0</v>
      </c>
    </row>
    <row r="247" spans="1:69" x14ac:dyDescent="0.25">
      <c r="A247">
        <v>246</v>
      </c>
      <c r="B247" t="s">
        <v>1036</v>
      </c>
      <c r="C247" t="s">
        <v>1037</v>
      </c>
      <c r="D247" t="s">
        <v>1038</v>
      </c>
      <c r="E247" t="s">
        <v>1039</v>
      </c>
      <c r="F247" t="s">
        <v>176</v>
      </c>
      <c r="G247">
        <v>2</v>
      </c>
      <c r="H247">
        <v>1</v>
      </c>
      <c r="I247">
        <v>567</v>
      </c>
      <c r="J247">
        <v>0</v>
      </c>
      <c r="L247">
        <v>1667.8</v>
      </c>
      <c r="M247">
        <v>1698.5</v>
      </c>
      <c r="N247">
        <v>6822.7</v>
      </c>
      <c r="O247">
        <v>319</v>
      </c>
      <c r="P247">
        <v>8494.6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2.11</v>
      </c>
      <c r="W247">
        <v>0</v>
      </c>
      <c r="X247">
        <v>0</v>
      </c>
      <c r="Y247">
        <v>2.1099998950958252</v>
      </c>
      <c r="Z247">
        <v>0</v>
      </c>
      <c r="AA247">
        <v>0.5</v>
      </c>
      <c r="AB247">
        <v>1.110000014305115</v>
      </c>
      <c r="AC247">
        <v>0.20000000298023221</v>
      </c>
      <c r="AD247">
        <v>0.30000001192092901</v>
      </c>
      <c r="AE247">
        <v>1.610000014305115</v>
      </c>
      <c r="AF247">
        <v>0.50000001490116119</v>
      </c>
      <c r="AG247">
        <v>0.76303317157334472</v>
      </c>
      <c r="AH247">
        <v>0.23696682842665531</v>
      </c>
      <c r="AI247">
        <v>150</v>
      </c>
      <c r="AJ247">
        <v>0.5</v>
      </c>
      <c r="AK247">
        <v>1.110000014305115</v>
      </c>
      <c r="AL247">
        <v>0.20000000298023221</v>
      </c>
      <c r="AM247">
        <v>0.30000001192092901</v>
      </c>
      <c r="AN247">
        <v>1</v>
      </c>
      <c r="AO247">
        <v>2</v>
      </c>
      <c r="AP247">
        <v>2023</v>
      </c>
      <c r="AQ247">
        <v>3</v>
      </c>
      <c r="AR247">
        <v>0</v>
      </c>
      <c r="AS247">
        <v>0</v>
      </c>
      <c r="AT247">
        <v>0</v>
      </c>
      <c r="AU247">
        <v>0</v>
      </c>
      <c r="AV247">
        <f t="shared" si="51"/>
        <v>0</v>
      </c>
      <c r="AW247">
        <f t="shared" si="52"/>
        <v>-4.7393359279180564E-2</v>
      </c>
      <c r="AX247">
        <f t="shared" si="53"/>
        <v>80.616116947472406</v>
      </c>
      <c r="AY247">
        <f t="shared" si="54"/>
        <v>0</v>
      </c>
      <c r="AZ247">
        <f t="shared" si="55"/>
        <v>0.30000001192092901</v>
      </c>
      <c r="BA247" t="str">
        <f t="shared" si="56"/>
        <v/>
      </c>
      <c r="BB247">
        <f t="shared" si="57"/>
        <v>0.76303317157334472</v>
      </c>
      <c r="BC247">
        <f>MATCH($B247,clean_historis!$B:$B,0)</f>
        <v>247</v>
      </c>
      <c r="BD247">
        <f>IFERROR(INDEX(clean_historis!$AF:$AF,$BC247)/INDEX(clean_historis!$V:$V,$BC247),0)</f>
        <v>0.18957345971563982</v>
      </c>
      <c r="BE247">
        <f>IFERROR(INDEX(clean_historis!$AR:$AR,$BC247)/INDEX(clean_historis!$AH:$AH,$BC247),0)</f>
        <v>0.18957345971563982</v>
      </c>
      <c r="BF247">
        <f t="shared" si="58"/>
        <v>0.14218010043645926</v>
      </c>
      <c r="BG247">
        <f>MAX(IF(INDEX(clean_historis!$CL:$CL,$BC247)=1,2025,0),IF(INDEX(clean_historis!$CK:$CK,$BC247)=1,2024,0),IF(INDEX(clean_historis!$CJ:$CJ,$BC247)=1,2023,0),IF(INDEX(clean_historis!$CI:$CI,$BC247)=1,2022,0),IF(INDEX(clean_historis!$CH:$CH,$BC247)=1,2021,0))</f>
        <v>0</v>
      </c>
      <c r="BH247">
        <f t="shared" si="59"/>
        <v>0.23696682842665528</v>
      </c>
      <c r="BI247">
        <f t="shared" si="60"/>
        <v>134.36019171791355</v>
      </c>
      <c r="BJ247">
        <f t="shared" si="61"/>
        <v>1</v>
      </c>
      <c r="BK247">
        <f t="shared" si="62"/>
        <v>18.683599999999998</v>
      </c>
      <c r="BL247">
        <f t="shared" si="63"/>
        <v>0</v>
      </c>
      <c r="BM247">
        <f t="shared" si="64"/>
        <v>0</v>
      </c>
      <c r="BN247">
        <v>0</v>
      </c>
      <c r="BO247">
        <f t="shared" si="67"/>
        <v>0</v>
      </c>
      <c r="BP247">
        <f t="shared" si="65"/>
        <v>1</v>
      </c>
      <c r="BQ247">
        <f t="shared" si="66"/>
        <v>0</v>
      </c>
    </row>
    <row r="248" spans="1:69" x14ac:dyDescent="0.25">
      <c r="A248">
        <v>247</v>
      </c>
      <c r="B248" t="s">
        <v>1040</v>
      </c>
      <c r="C248" t="s">
        <v>1041</v>
      </c>
      <c r="D248" t="s">
        <v>1042</v>
      </c>
      <c r="E248" t="s">
        <v>624</v>
      </c>
      <c r="F248" t="s">
        <v>315</v>
      </c>
      <c r="G248">
        <v>1</v>
      </c>
      <c r="H248">
        <v>1</v>
      </c>
      <c r="I248">
        <v>923</v>
      </c>
      <c r="J248">
        <v>0</v>
      </c>
      <c r="L248">
        <v>330.2</v>
      </c>
      <c r="M248">
        <v>687.1</v>
      </c>
      <c r="N248">
        <v>1549.1</v>
      </c>
      <c r="O248">
        <v>293.3</v>
      </c>
      <c r="P248">
        <v>28162.2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0.37</v>
      </c>
      <c r="W248">
        <v>0</v>
      </c>
      <c r="X248">
        <v>0</v>
      </c>
      <c r="Y248">
        <v>0.37000000476837158</v>
      </c>
      <c r="Z248">
        <v>0</v>
      </c>
      <c r="AA248">
        <v>0.37000000476837158</v>
      </c>
      <c r="AB248">
        <v>0</v>
      </c>
      <c r="AC248">
        <v>0</v>
      </c>
      <c r="AD248">
        <v>0</v>
      </c>
      <c r="AE248">
        <v>0.37000000476837158</v>
      </c>
      <c r="AF248">
        <v>0</v>
      </c>
      <c r="AG248">
        <v>1</v>
      </c>
      <c r="AH248">
        <v>0</v>
      </c>
      <c r="AI248">
        <v>150</v>
      </c>
      <c r="AJ248">
        <v>0.37000000476837158</v>
      </c>
      <c r="AK248">
        <v>0</v>
      </c>
      <c r="AL248">
        <v>0</v>
      </c>
      <c r="AM248">
        <v>0</v>
      </c>
      <c r="AN248">
        <v>0</v>
      </c>
      <c r="AO248">
        <v>0</v>
      </c>
      <c r="AR248">
        <v>0</v>
      </c>
      <c r="AS248">
        <v>0</v>
      </c>
      <c r="AT248">
        <v>0</v>
      </c>
      <c r="AU248">
        <v>0</v>
      </c>
      <c r="AV248">
        <f t="shared" si="51"/>
        <v>0</v>
      </c>
      <c r="AW248">
        <f t="shared" si="52"/>
        <v>0</v>
      </c>
      <c r="AX248">
        <f t="shared" si="53"/>
        <v>0</v>
      </c>
      <c r="AY248">
        <f t="shared" si="54"/>
        <v>0</v>
      </c>
      <c r="AZ248">
        <f t="shared" si="55"/>
        <v>0</v>
      </c>
      <c r="BA248" t="str">
        <f t="shared" si="56"/>
        <v/>
      </c>
      <c r="BB248">
        <f t="shared" si="57"/>
        <v>1</v>
      </c>
      <c r="BC248">
        <f>MATCH($B248,clean_historis!$B:$B,0)</f>
        <v>248</v>
      </c>
      <c r="BD248">
        <f>IFERROR(INDEX(clean_historis!$AF:$AF,$BC248)/INDEX(clean_historis!$V:$V,$BC248),0)</f>
        <v>0</v>
      </c>
      <c r="BE248">
        <f>IFERROR(INDEX(clean_historis!$AR:$AR,$BC248)/INDEX(clean_historis!$AH:$AH,$BC248),0)</f>
        <v>0</v>
      </c>
      <c r="BF248">
        <f t="shared" si="58"/>
        <v>0</v>
      </c>
      <c r="BG248">
        <f>MAX(IF(INDEX(clean_historis!$CL:$CL,$BC248)=1,2025,0),IF(INDEX(clean_historis!$CK:$CK,$BC248)=1,2024,0),IF(INDEX(clean_historis!$CJ:$CJ,$BC248)=1,2023,0),IF(INDEX(clean_historis!$CI:$CI,$BC248)=1,2022,0),IF(INDEX(clean_historis!$CH:$CH,$BC248)=1,2021,0))</f>
        <v>0</v>
      </c>
      <c r="BH248">
        <f t="shared" si="59"/>
        <v>0</v>
      </c>
      <c r="BI248">
        <f t="shared" si="60"/>
        <v>0</v>
      </c>
      <c r="BJ248">
        <f t="shared" si="61"/>
        <v>1</v>
      </c>
      <c r="BK248">
        <f t="shared" si="62"/>
        <v>30.7286</v>
      </c>
      <c r="BL248">
        <f t="shared" si="63"/>
        <v>0</v>
      </c>
      <c r="BM248">
        <f t="shared" si="64"/>
        <v>0</v>
      </c>
      <c r="BN248">
        <v>0</v>
      </c>
      <c r="BO248">
        <f t="shared" si="67"/>
        <v>1</v>
      </c>
      <c r="BP248">
        <f t="shared" si="65"/>
        <v>0</v>
      </c>
      <c r="BQ248">
        <f t="shared" si="66"/>
        <v>1</v>
      </c>
    </row>
    <row r="249" spans="1:69" x14ac:dyDescent="0.25">
      <c r="A249">
        <v>248</v>
      </c>
      <c r="B249" t="s">
        <v>1043</v>
      </c>
      <c r="C249" t="s">
        <v>1044</v>
      </c>
      <c r="D249" t="s">
        <v>1045</v>
      </c>
      <c r="E249" t="s">
        <v>332</v>
      </c>
      <c r="F249" t="s">
        <v>100</v>
      </c>
      <c r="G249">
        <v>2</v>
      </c>
      <c r="H249">
        <v>1</v>
      </c>
      <c r="I249">
        <v>1848</v>
      </c>
      <c r="J249">
        <v>1</v>
      </c>
      <c r="L249">
        <v>8527.2999999999993</v>
      </c>
      <c r="M249">
        <v>7774.8</v>
      </c>
      <c r="N249">
        <v>9936.2999999999993</v>
      </c>
      <c r="O249">
        <v>646</v>
      </c>
      <c r="P249">
        <v>8262.6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2.36</v>
      </c>
      <c r="W249">
        <v>5.9999998658895493E-2</v>
      </c>
      <c r="X249">
        <v>0</v>
      </c>
      <c r="Y249">
        <v>2.2999999523162842</v>
      </c>
      <c r="Z249">
        <v>0</v>
      </c>
      <c r="AA249">
        <v>1.5</v>
      </c>
      <c r="AB249">
        <v>0.86000001430511475</v>
      </c>
      <c r="AC249">
        <v>0</v>
      </c>
      <c r="AD249">
        <v>0</v>
      </c>
      <c r="AE249">
        <v>2.3600000143051152</v>
      </c>
      <c r="AF249">
        <v>0</v>
      </c>
      <c r="AG249">
        <v>1</v>
      </c>
      <c r="AH249">
        <v>0</v>
      </c>
      <c r="AI249">
        <v>150</v>
      </c>
      <c r="AJ249">
        <v>1.5</v>
      </c>
      <c r="AK249">
        <v>0.80000001192092896</v>
      </c>
      <c r="AL249">
        <v>0</v>
      </c>
      <c r="AM249">
        <v>0</v>
      </c>
      <c r="AN249">
        <v>0</v>
      </c>
      <c r="AO249">
        <v>0</v>
      </c>
      <c r="AR249">
        <v>0</v>
      </c>
      <c r="AS249">
        <v>0</v>
      </c>
      <c r="AT249">
        <v>0</v>
      </c>
      <c r="AU249">
        <v>0</v>
      </c>
      <c r="AV249">
        <f t="shared" si="51"/>
        <v>0</v>
      </c>
      <c r="AW249">
        <f t="shared" si="52"/>
        <v>0</v>
      </c>
      <c r="AX249">
        <f t="shared" si="53"/>
        <v>0</v>
      </c>
      <c r="AY249">
        <f t="shared" si="54"/>
        <v>0</v>
      </c>
      <c r="AZ249">
        <f t="shared" si="55"/>
        <v>0</v>
      </c>
      <c r="BA249" t="str">
        <f t="shared" si="56"/>
        <v/>
      </c>
      <c r="BB249">
        <f t="shared" si="57"/>
        <v>1</v>
      </c>
      <c r="BC249">
        <f>MATCH($B249,clean_historis!$B:$B,0)</f>
        <v>249</v>
      </c>
      <c r="BD249">
        <f>IFERROR(INDEX(clean_historis!$AF:$AF,$BC249)/INDEX(clean_historis!$V:$V,$BC249),0)</f>
        <v>0</v>
      </c>
      <c r="BE249">
        <f>IFERROR(INDEX(clean_historis!$AR:$AR,$BC249)/INDEX(clean_historis!$AH:$AH,$BC249),0)</f>
        <v>0</v>
      </c>
      <c r="BF249">
        <f t="shared" si="58"/>
        <v>0</v>
      </c>
      <c r="BG249">
        <f>MAX(IF(INDEX(clean_historis!$CL:$CL,$BC249)=1,2025,0),IF(INDEX(clean_historis!$CK:$CK,$BC249)=1,2024,0),IF(INDEX(clean_historis!$CJ:$CJ,$BC249)=1,2023,0),IF(INDEX(clean_historis!$CI:$CI,$BC249)=1,2022,0),IF(INDEX(clean_historis!$CH:$CH,$BC249)=1,2021,0))</f>
        <v>0</v>
      </c>
      <c r="BH249">
        <f t="shared" si="59"/>
        <v>0</v>
      </c>
      <c r="BI249">
        <f t="shared" si="60"/>
        <v>0</v>
      </c>
      <c r="BJ249">
        <f t="shared" si="61"/>
        <v>0</v>
      </c>
      <c r="BK249">
        <f t="shared" si="62"/>
        <v>34.500999999999998</v>
      </c>
      <c r="BL249">
        <f t="shared" si="63"/>
        <v>0</v>
      </c>
      <c r="BM249">
        <f t="shared" si="64"/>
        <v>0</v>
      </c>
      <c r="BN249">
        <v>0</v>
      </c>
      <c r="BO249">
        <f t="shared" si="67"/>
        <v>0</v>
      </c>
      <c r="BP249">
        <f t="shared" si="65"/>
        <v>0</v>
      </c>
      <c r="BQ249">
        <f t="shared" si="66"/>
        <v>0</v>
      </c>
    </row>
    <row r="250" spans="1:69" x14ac:dyDescent="0.25">
      <c r="A250">
        <v>249</v>
      </c>
      <c r="B250" t="s">
        <v>1046</v>
      </c>
      <c r="C250" t="s">
        <v>1047</v>
      </c>
      <c r="D250" t="s">
        <v>1048</v>
      </c>
      <c r="E250" t="s">
        <v>1049</v>
      </c>
      <c r="F250" t="s">
        <v>363</v>
      </c>
      <c r="G250">
        <v>4</v>
      </c>
      <c r="H250">
        <v>1</v>
      </c>
      <c r="I250">
        <v>1766</v>
      </c>
      <c r="J250">
        <v>1</v>
      </c>
      <c r="L250">
        <v>1237.4000000000001</v>
      </c>
      <c r="M250">
        <v>1128.8</v>
      </c>
      <c r="N250">
        <v>806.8</v>
      </c>
      <c r="O250">
        <v>247.1</v>
      </c>
      <c r="P250">
        <v>28042.799999999999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2.1</v>
      </c>
      <c r="W250">
        <v>0</v>
      </c>
      <c r="X250">
        <v>0</v>
      </c>
      <c r="Y250">
        <v>2.0999999046325679</v>
      </c>
      <c r="Z250">
        <v>0</v>
      </c>
      <c r="AA250">
        <v>0.10000000149011611</v>
      </c>
      <c r="AB250">
        <v>0.30000001192092901</v>
      </c>
      <c r="AC250">
        <v>1</v>
      </c>
      <c r="AD250">
        <v>0.69999998807907104</v>
      </c>
      <c r="AE250">
        <v>0.40000001341104507</v>
      </c>
      <c r="AF250">
        <v>1.699999988079071</v>
      </c>
      <c r="AG250">
        <v>0.1904761967272445</v>
      </c>
      <c r="AH250">
        <v>0.80952380327275553</v>
      </c>
      <c r="AI250">
        <v>150</v>
      </c>
      <c r="AJ250">
        <v>0.10000000149011611</v>
      </c>
      <c r="AK250">
        <v>0.30000001192092901</v>
      </c>
      <c r="AL250">
        <v>1</v>
      </c>
      <c r="AM250">
        <v>0.69999998807907104</v>
      </c>
      <c r="AN250">
        <v>0</v>
      </c>
      <c r="AO250">
        <v>0</v>
      </c>
      <c r="AR250">
        <v>0</v>
      </c>
      <c r="AS250">
        <v>0</v>
      </c>
      <c r="AT250">
        <v>0</v>
      </c>
      <c r="AU250">
        <v>1</v>
      </c>
      <c r="AV250">
        <f t="shared" si="51"/>
        <v>9.5238095238095233E-2</v>
      </c>
      <c r="AW250">
        <f t="shared" si="52"/>
        <v>0.14285713718051002</v>
      </c>
      <c r="AX250">
        <f t="shared" si="53"/>
        <v>588.66665664173308</v>
      </c>
      <c r="AY250">
        <f t="shared" si="54"/>
        <v>0</v>
      </c>
      <c r="AZ250">
        <f t="shared" si="55"/>
        <v>0.69999998807907104</v>
      </c>
      <c r="BA250" t="str">
        <f t="shared" si="56"/>
        <v/>
      </c>
      <c r="BB250">
        <f t="shared" si="57"/>
        <v>0.1904761967272445</v>
      </c>
      <c r="BC250">
        <f>MATCH($B250,clean_historis!$B:$B,0)</f>
        <v>250</v>
      </c>
      <c r="BD250">
        <f>IFERROR(INDEX(clean_historis!$AF:$AF,$BC250)/INDEX(clean_historis!$V:$V,$BC250),0)</f>
        <v>9.5238095238095233E-2</v>
      </c>
      <c r="BE250">
        <f>IFERROR(INDEX(clean_historis!$AR:$AR,$BC250)/INDEX(clean_historis!$AH:$AH,$BC250),0)</f>
        <v>0.19047619047619047</v>
      </c>
      <c r="BF250">
        <f t="shared" si="58"/>
        <v>0.33333332765670048</v>
      </c>
      <c r="BG250">
        <f>MAX(IF(INDEX(clean_historis!$CL:$CL,$BC250)=1,2025,0),IF(INDEX(clean_historis!$CK:$CK,$BC250)=1,2024,0),IF(INDEX(clean_historis!$CJ:$CJ,$BC250)=1,2023,0),IF(INDEX(clean_historis!$CI:$CI,$BC250)=1,2022,0),IF(INDEX(clean_historis!$CH:$CH,$BC250)=1,2021,0))</f>
        <v>0</v>
      </c>
      <c r="BH250">
        <f t="shared" si="59"/>
        <v>0.80952380327275553</v>
      </c>
      <c r="BI250">
        <f t="shared" si="60"/>
        <v>1429.6190365796863</v>
      </c>
      <c r="BJ250">
        <f t="shared" si="61"/>
        <v>1</v>
      </c>
      <c r="BK250">
        <f t="shared" si="62"/>
        <v>31.215799999999998</v>
      </c>
      <c r="BL250">
        <f t="shared" si="63"/>
        <v>0</v>
      </c>
      <c r="BM250">
        <f t="shared" si="64"/>
        <v>1</v>
      </c>
      <c r="BN250">
        <v>1</v>
      </c>
      <c r="BO250">
        <f t="shared" si="67"/>
        <v>0</v>
      </c>
      <c r="BP250">
        <f t="shared" si="65"/>
        <v>0</v>
      </c>
      <c r="BQ250">
        <f t="shared" si="66"/>
        <v>1</v>
      </c>
    </row>
    <row r="251" spans="1:69" x14ac:dyDescent="0.25">
      <c r="A251">
        <v>250</v>
      </c>
      <c r="B251" t="s">
        <v>1050</v>
      </c>
      <c r="C251" t="s">
        <v>1051</v>
      </c>
      <c r="D251" t="s">
        <v>1052</v>
      </c>
      <c r="E251" t="s">
        <v>194</v>
      </c>
      <c r="F251" t="s">
        <v>100</v>
      </c>
      <c r="G251">
        <v>1</v>
      </c>
      <c r="H251">
        <v>1</v>
      </c>
      <c r="I251">
        <v>1874</v>
      </c>
      <c r="J251">
        <v>0</v>
      </c>
      <c r="K251">
        <v>1</v>
      </c>
      <c r="L251">
        <v>978.5</v>
      </c>
      <c r="M251">
        <v>1471.4</v>
      </c>
      <c r="N251">
        <v>2523.1</v>
      </c>
      <c r="O251">
        <v>597.5</v>
      </c>
      <c r="P251">
        <v>660.2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</v>
      </c>
      <c r="W251">
        <v>0</v>
      </c>
      <c r="X251">
        <v>0</v>
      </c>
      <c r="Y251">
        <v>0.20000000298023221</v>
      </c>
      <c r="Z251">
        <v>0</v>
      </c>
      <c r="AA251">
        <v>0.20000000298023221</v>
      </c>
      <c r="AB251">
        <v>0</v>
      </c>
      <c r="AC251">
        <v>0</v>
      </c>
      <c r="AD251">
        <v>0</v>
      </c>
      <c r="AE251">
        <v>0.20000000298023221</v>
      </c>
      <c r="AF251">
        <v>0</v>
      </c>
      <c r="AG251">
        <v>1</v>
      </c>
      <c r="AH251">
        <v>0</v>
      </c>
      <c r="AI251">
        <v>150</v>
      </c>
      <c r="AJ251">
        <v>0.20000000298023221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2024</v>
      </c>
      <c r="AQ251">
        <v>2</v>
      </c>
      <c r="AR251">
        <v>0</v>
      </c>
      <c r="AS251">
        <v>0</v>
      </c>
      <c r="AT251">
        <v>0</v>
      </c>
      <c r="AU251">
        <v>0</v>
      </c>
      <c r="AV251">
        <f t="shared" si="51"/>
        <v>0</v>
      </c>
      <c r="AW251">
        <f t="shared" si="52"/>
        <v>0</v>
      </c>
      <c r="AX251">
        <f t="shared" si="53"/>
        <v>0</v>
      </c>
      <c r="AY251">
        <f t="shared" si="54"/>
        <v>0</v>
      </c>
      <c r="AZ251">
        <f t="shared" si="55"/>
        <v>0</v>
      </c>
      <c r="BA251">
        <f t="shared" si="56"/>
        <v>1</v>
      </c>
      <c r="BB251">
        <f t="shared" si="57"/>
        <v>1</v>
      </c>
      <c r="BC251">
        <f>MATCH($B251,clean_historis!$B:$B,0)</f>
        <v>251</v>
      </c>
      <c r="BD251">
        <f>IFERROR(INDEX(clean_historis!$AF:$AF,$BC251)/INDEX(clean_historis!$V:$V,$BC251),0)</f>
        <v>0</v>
      </c>
      <c r="BE251">
        <f>IFERROR(INDEX(clean_historis!$AR:$AR,$BC251)/INDEX(clean_historis!$AH:$AH,$BC251),0)</f>
        <v>0</v>
      </c>
      <c r="BF251">
        <f t="shared" si="58"/>
        <v>0</v>
      </c>
      <c r="BG251">
        <f>MAX(IF(INDEX(clean_historis!$CL:$CL,$BC251)=1,2025,0),IF(INDEX(clean_historis!$CK:$CK,$BC251)=1,2024,0),IF(INDEX(clean_historis!$CJ:$CJ,$BC251)=1,2023,0),IF(INDEX(clean_historis!$CI:$CI,$BC251)=1,2022,0),IF(INDEX(clean_historis!$CH:$CH,$BC251)=1,2021,0))</f>
        <v>2024</v>
      </c>
      <c r="BH251">
        <f t="shared" si="59"/>
        <v>0</v>
      </c>
      <c r="BI251">
        <f t="shared" si="60"/>
        <v>0</v>
      </c>
      <c r="BJ251">
        <f t="shared" si="61"/>
        <v>1</v>
      </c>
      <c r="BK251">
        <f t="shared" si="62"/>
        <v>5.6332000000000004</v>
      </c>
      <c r="BL251">
        <f t="shared" si="63"/>
        <v>1</v>
      </c>
      <c r="BM251">
        <f t="shared" si="64"/>
        <v>0</v>
      </c>
      <c r="BN251">
        <v>0</v>
      </c>
      <c r="BO251">
        <f t="shared" si="67"/>
        <v>1</v>
      </c>
      <c r="BP251">
        <f t="shared" si="65"/>
        <v>1</v>
      </c>
      <c r="BQ251">
        <f t="shared" si="66"/>
        <v>1</v>
      </c>
    </row>
    <row r="252" spans="1:69" x14ac:dyDescent="0.25">
      <c r="A252">
        <v>251</v>
      </c>
      <c r="B252" t="s">
        <v>1053</v>
      </c>
      <c r="C252" t="s">
        <v>1054</v>
      </c>
      <c r="D252" t="s">
        <v>1055</v>
      </c>
      <c r="E252" t="s">
        <v>448</v>
      </c>
      <c r="F252" t="s">
        <v>315</v>
      </c>
      <c r="G252">
        <v>1</v>
      </c>
      <c r="H252">
        <v>1</v>
      </c>
      <c r="I252">
        <v>706</v>
      </c>
      <c r="J252">
        <v>0</v>
      </c>
      <c r="L252">
        <v>1189.4000000000001</v>
      </c>
      <c r="M252">
        <v>691.1</v>
      </c>
      <c r="N252">
        <v>2147.9</v>
      </c>
      <c r="O252">
        <v>452.2</v>
      </c>
      <c r="P252">
        <v>28761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0.4</v>
      </c>
      <c r="W252">
        <v>0</v>
      </c>
      <c r="X252">
        <v>0</v>
      </c>
      <c r="Y252">
        <v>0.40000000596046448</v>
      </c>
      <c r="Z252">
        <v>0</v>
      </c>
      <c r="AA252">
        <v>0.40000000596046448</v>
      </c>
      <c r="AB252">
        <v>0</v>
      </c>
      <c r="AC252">
        <v>0</v>
      </c>
      <c r="AD252">
        <v>0</v>
      </c>
      <c r="AE252">
        <v>0.40000000596046448</v>
      </c>
      <c r="AF252">
        <v>0</v>
      </c>
      <c r="AG252">
        <v>1</v>
      </c>
      <c r="AH252">
        <v>0</v>
      </c>
      <c r="AI252">
        <v>150</v>
      </c>
      <c r="AJ252">
        <v>0.40000000596046448</v>
      </c>
      <c r="AK252">
        <v>0</v>
      </c>
      <c r="AL252">
        <v>0</v>
      </c>
      <c r="AM252">
        <v>0</v>
      </c>
      <c r="AN252">
        <v>0</v>
      </c>
      <c r="AO252">
        <v>0</v>
      </c>
      <c r="AR252">
        <v>0</v>
      </c>
      <c r="AS252">
        <v>0</v>
      </c>
      <c r="AT252">
        <v>0</v>
      </c>
      <c r="AU252">
        <v>0</v>
      </c>
      <c r="AV252">
        <f t="shared" si="51"/>
        <v>0</v>
      </c>
      <c r="AW252">
        <f t="shared" si="52"/>
        <v>0</v>
      </c>
      <c r="AX252">
        <f t="shared" si="53"/>
        <v>0</v>
      </c>
      <c r="AY252">
        <f t="shared" si="54"/>
        <v>0</v>
      </c>
      <c r="AZ252">
        <f t="shared" si="55"/>
        <v>0</v>
      </c>
      <c r="BA252" t="str">
        <f t="shared" si="56"/>
        <v/>
      </c>
      <c r="BB252">
        <f t="shared" si="57"/>
        <v>1</v>
      </c>
      <c r="BC252">
        <f>MATCH($B252,clean_historis!$B:$B,0)</f>
        <v>252</v>
      </c>
      <c r="BD252">
        <f>IFERROR(INDEX(clean_historis!$AF:$AF,$BC252)/INDEX(clean_historis!$V:$V,$BC252),0)</f>
        <v>0</v>
      </c>
      <c r="BE252">
        <f>IFERROR(INDEX(clean_historis!$AR:$AR,$BC252)/INDEX(clean_historis!$AH:$AH,$BC252),0)</f>
        <v>0</v>
      </c>
      <c r="BF252">
        <f t="shared" si="58"/>
        <v>0</v>
      </c>
      <c r="BG252">
        <f>MAX(IF(INDEX(clean_historis!$CL:$CL,$BC252)=1,2025,0),IF(INDEX(clean_historis!$CK:$CK,$BC252)=1,2024,0),IF(INDEX(clean_historis!$CJ:$CJ,$BC252)=1,2023,0),IF(INDEX(clean_historis!$CI:$CI,$BC252)=1,2022,0),IF(INDEX(clean_historis!$CH:$CH,$BC252)=1,2021,0))</f>
        <v>0</v>
      </c>
      <c r="BH252">
        <f t="shared" si="59"/>
        <v>0</v>
      </c>
      <c r="BI252">
        <f t="shared" si="60"/>
        <v>0</v>
      </c>
      <c r="BJ252">
        <f t="shared" si="61"/>
        <v>1</v>
      </c>
      <c r="BK252">
        <f t="shared" si="62"/>
        <v>32.789400000000001</v>
      </c>
      <c r="BL252">
        <f t="shared" si="63"/>
        <v>1</v>
      </c>
      <c r="BM252">
        <f t="shared" si="64"/>
        <v>0</v>
      </c>
      <c r="BN252">
        <v>0</v>
      </c>
      <c r="BO252">
        <f t="shared" si="67"/>
        <v>1</v>
      </c>
      <c r="BP252">
        <f t="shared" si="65"/>
        <v>0</v>
      </c>
      <c r="BQ252">
        <f t="shared" si="66"/>
        <v>1</v>
      </c>
    </row>
    <row r="253" spans="1:69" x14ac:dyDescent="0.25">
      <c r="A253">
        <v>252</v>
      </c>
      <c r="B253" t="s">
        <v>1056</v>
      </c>
      <c r="C253" t="s">
        <v>1057</v>
      </c>
      <c r="D253" t="s">
        <v>1058</v>
      </c>
      <c r="E253" t="s">
        <v>1059</v>
      </c>
      <c r="F253" t="s">
        <v>185</v>
      </c>
      <c r="G253">
        <v>2</v>
      </c>
      <c r="H253">
        <v>1</v>
      </c>
      <c r="I253">
        <v>661</v>
      </c>
      <c r="J253">
        <v>0</v>
      </c>
      <c r="L253">
        <v>5869.6</v>
      </c>
      <c r="M253">
        <v>7934.5</v>
      </c>
      <c r="N253">
        <v>956069302</v>
      </c>
      <c r="O253">
        <v>2013.1</v>
      </c>
      <c r="P253">
        <v>47122.1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6.93</v>
      </c>
      <c r="W253">
        <v>1.929999947547913</v>
      </c>
      <c r="X253">
        <v>0</v>
      </c>
      <c r="Y253">
        <v>3.5999999046325679</v>
      </c>
      <c r="Z253">
        <v>0</v>
      </c>
      <c r="AA253">
        <v>0</v>
      </c>
      <c r="AB253">
        <v>1.929999947547913</v>
      </c>
      <c r="AC253">
        <v>0.60000002384185791</v>
      </c>
      <c r="AD253">
        <v>3</v>
      </c>
      <c r="AE253">
        <v>1.929999947547913</v>
      </c>
      <c r="AF253">
        <v>3.6000000238418579</v>
      </c>
      <c r="AG253">
        <v>0.34900541727541368</v>
      </c>
      <c r="AH253">
        <v>0.65099458272458632</v>
      </c>
      <c r="AI253">
        <v>150</v>
      </c>
      <c r="AJ253">
        <v>0</v>
      </c>
      <c r="AK253">
        <v>0</v>
      </c>
      <c r="AL253">
        <v>0.60000002384185791</v>
      </c>
      <c r="AM253">
        <v>3</v>
      </c>
      <c r="AN253">
        <v>1</v>
      </c>
      <c r="AO253">
        <v>3</v>
      </c>
      <c r="AP253">
        <v>2025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f t="shared" si="51"/>
        <v>8.6580086580086757E-2</v>
      </c>
      <c r="AW253">
        <f t="shared" si="52"/>
        <v>8.2251082251082075E-2</v>
      </c>
      <c r="AX253">
        <f t="shared" si="53"/>
        <v>286.14718614718612</v>
      </c>
      <c r="AY253">
        <f t="shared" si="54"/>
        <v>0</v>
      </c>
      <c r="AZ253">
        <f t="shared" si="55"/>
        <v>3</v>
      </c>
      <c r="BA253">
        <f t="shared" si="56"/>
        <v>0</v>
      </c>
      <c r="BB253">
        <f t="shared" si="57"/>
        <v>0.34900541727541368</v>
      </c>
      <c r="BC253">
        <f>MATCH($B253,clean_historis!$B:$B,0)</f>
        <v>253</v>
      </c>
      <c r="BD253">
        <f>IFERROR(INDEX(clean_historis!$AF:$AF,$BC253)/INDEX(clean_historis!$V:$V,$BC253),0)</f>
        <v>0.26406926406926406</v>
      </c>
      <c r="BE253">
        <f>IFERROR(INDEX(clean_historis!$AR:$AR,$BC253)/INDEX(clean_historis!$AH:$AH,$BC253),0)</f>
        <v>0.35064935064935082</v>
      </c>
      <c r="BF253">
        <f t="shared" si="58"/>
        <v>0.4329004329004329</v>
      </c>
      <c r="BG253">
        <f>MAX(IF(INDEX(clean_historis!$CL:$CL,$BC253)=1,2025,0),IF(INDEX(clean_historis!$CK:$CK,$BC253)=1,2024,0),IF(INDEX(clean_historis!$CJ:$CJ,$BC253)=1,2023,0),IF(INDEX(clean_historis!$CI:$CI,$BC253)=1,2022,0),IF(INDEX(clean_historis!$CH:$CH,$BC253)=1,2021,0))</f>
        <v>2025</v>
      </c>
      <c r="BH253">
        <f t="shared" si="59"/>
        <v>0.65099458272458632</v>
      </c>
      <c r="BI253">
        <f t="shared" si="60"/>
        <v>430.30741918095157</v>
      </c>
      <c r="BJ253">
        <f t="shared" si="61"/>
        <v>0</v>
      </c>
      <c r="BK253">
        <f t="shared" si="62"/>
        <v>956130.22820000001</v>
      </c>
      <c r="BL253">
        <f t="shared" si="63"/>
        <v>0</v>
      </c>
      <c r="BM253">
        <f t="shared" si="64"/>
        <v>1</v>
      </c>
      <c r="BN253">
        <v>1</v>
      </c>
      <c r="BO253">
        <f t="shared" si="67"/>
        <v>0</v>
      </c>
      <c r="BP253">
        <f t="shared" si="65"/>
        <v>1</v>
      </c>
      <c r="BQ253">
        <f t="shared" si="66"/>
        <v>1</v>
      </c>
    </row>
    <row r="254" spans="1:69" x14ac:dyDescent="0.25">
      <c r="A254">
        <v>253</v>
      </c>
      <c r="B254" t="s">
        <v>1060</v>
      </c>
      <c r="C254" t="s">
        <v>1061</v>
      </c>
      <c r="D254" t="s">
        <v>1062</v>
      </c>
      <c r="E254" t="s">
        <v>1063</v>
      </c>
      <c r="F254" t="s">
        <v>363</v>
      </c>
      <c r="G254">
        <v>1</v>
      </c>
      <c r="H254">
        <v>1</v>
      </c>
      <c r="I254">
        <v>406</v>
      </c>
      <c r="J254">
        <v>1</v>
      </c>
      <c r="L254">
        <v>847.4</v>
      </c>
      <c r="M254">
        <v>608.70000000000005</v>
      </c>
      <c r="N254">
        <v>2066.3000000000002</v>
      </c>
      <c r="O254">
        <v>365.6</v>
      </c>
      <c r="P254">
        <v>28679.4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0.28000000000000003</v>
      </c>
      <c r="W254">
        <v>0</v>
      </c>
      <c r="X254">
        <v>0</v>
      </c>
      <c r="Y254">
        <v>0.2800000011920929</v>
      </c>
      <c r="Z254">
        <v>0</v>
      </c>
      <c r="AA254">
        <v>0.2800000011920929</v>
      </c>
      <c r="AB254">
        <v>0</v>
      </c>
      <c r="AC254">
        <v>0</v>
      </c>
      <c r="AD254">
        <v>0</v>
      </c>
      <c r="AE254">
        <v>0.2800000011920929</v>
      </c>
      <c r="AF254">
        <v>0</v>
      </c>
      <c r="AG254">
        <v>1</v>
      </c>
      <c r="AH254">
        <v>0</v>
      </c>
      <c r="AI254">
        <v>150</v>
      </c>
      <c r="AJ254">
        <v>0.2800000011920929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2025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f t="shared" si="51"/>
        <v>0</v>
      </c>
      <c r="AW254">
        <f t="shared" si="52"/>
        <v>0</v>
      </c>
      <c r="AX254">
        <f t="shared" si="53"/>
        <v>0</v>
      </c>
      <c r="AY254">
        <f t="shared" si="54"/>
        <v>0</v>
      </c>
      <c r="AZ254">
        <f t="shared" si="55"/>
        <v>0</v>
      </c>
      <c r="BA254">
        <f t="shared" si="56"/>
        <v>0</v>
      </c>
      <c r="BB254">
        <f t="shared" si="57"/>
        <v>1</v>
      </c>
      <c r="BC254">
        <f>MATCH($B254,clean_historis!$B:$B,0)</f>
        <v>254</v>
      </c>
      <c r="BD254">
        <f>IFERROR(INDEX(clean_historis!$AF:$AF,$BC254)/INDEX(clean_historis!$V:$V,$BC254),0)</f>
        <v>0</v>
      </c>
      <c r="BE254">
        <f>IFERROR(INDEX(clean_historis!$AR:$AR,$BC254)/INDEX(clean_historis!$AH:$AH,$BC254),0)</f>
        <v>0</v>
      </c>
      <c r="BF254">
        <f t="shared" si="58"/>
        <v>0</v>
      </c>
      <c r="BG254">
        <f>MAX(IF(INDEX(clean_historis!$CL:$CL,$BC254)=1,2025,0),IF(INDEX(clean_historis!$CK:$CK,$BC254)=1,2024,0),IF(INDEX(clean_historis!$CJ:$CJ,$BC254)=1,2023,0),IF(INDEX(clean_historis!$CI:$CI,$BC254)=1,2022,0),IF(INDEX(clean_historis!$CH:$CH,$BC254)=1,2021,0))</f>
        <v>2025</v>
      </c>
      <c r="BH254">
        <f t="shared" si="59"/>
        <v>0</v>
      </c>
      <c r="BI254">
        <f t="shared" si="60"/>
        <v>0</v>
      </c>
      <c r="BJ254">
        <f t="shared" si="61"/>
        <v>1</v>
      </c>
      <c r="BK254">
        <f t="shared" si="62"/>
        <v>32.201800000000006</v>
      </c>
      <c r="BL254">
        <f t="shared" si="63"/>
        <v>0</v>
      </c>
      <c r="BM254">
        <f t="shared" si="64"/>
        <v>0</v>
      </c>
      <c r="BN254">
        <v>0</v>
      </c>
      <c r="BO254">
        <f t="shared" si="67"/>
        <v>1</v>
      </c>
      <c r="BP254">
        <f t="shared" si="65"/>
        <v>1</v>
      </c>
      <c r="BQ254">
        <f t="shared" si="66"/>
        <v>1</v>
      </c>
    </row>
    <row r="255" spans="1:69" x14ac:dyDescent="0.25">
      <c r="A255">
        <v>254</v>
      </c>
      <c r="B255" t="s">
        <v>1064</v>
      </c>
      <c r="C255" t="s">
        <v>1065</v>
      </c>
      <c r="D255" t="s">
        <v>1066</v>
      </c>
      <c r="E255" t="s">
        <v>498</v>
      </c>
      <c r="F255" t="s">
        <v>176</v>
      </c>
      <c r="G255">
        <v>2</v>
      </c>
      <c r="H255">
        <v>1</v>
      </c>
      <c r="I255">
        <v>1245</v>
      </c>
      <c r="J255">
        <v>0</v>
      </c>
      <c r="L255">
        <v>3149.3</v>
      </c>
      <c r="M255">
        <v>3299.4</v>
      </c>
      <c r="N255">
        <v>1522.6</v>
      </c>
      <c r="O255">
        <v>800.7</v>
      </c>
      <c r="P255">
        <v>3194.5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0.68</v>
      </c>
      <c r="W255">
        <v>0</v>
      </c>
      <c r="X255">
        <v>0</v>
      </c>
      <c r="Y255">
        <v>0.68000000715255737</v>
      </c>
      <c r="Z255">
        <v>0</v>
      </c>
      <c r="AA255">
        <v>7.9999998211860657E-2</v>
      </c>
      <c r="AB255">
        <v>0.40000000596046448</v>
      </c>
      <c r="AC255">
        <v>0.10000000149011611</v>
      </c>
      <c r="AD255">
        <v>0.10000000149011611</v>
      </c>
      <c r="AE255">
        <v>0.48000000417232508</v>
      </c>
      <c r="AF255">
        <v>0.20000000298023221</v>
      </c>
      <c r="AG255">
        <v>0.70588235165214874</v>
      </c>
      <c r="AH255">
        <v>0.29411764834785131</v>
      </c>
      <c r="AI255">
        <v>150</v>
      </c>
      <c r="AJ255">
        <v>7.9999998211860657E-2</v>
      </c>
      <c r="AK255">
        <v>0.40000000596046448</v>
      </c>
      <c r="AL255">
        <v>0.10000000149011611</v>
      </c>
      <c r="AM255">
        <v>0.10000000149011611</v>
      </c>
      <c r="AN255">
        <v>0</v>
      </c>
      <c r="AO255">
        <v>0</v>
      </c>
      <c r="AR255">
        <v>1</v>
      </c>
      <c r="AS255">
        <v>1</v>
      </c>
      <c r="AT255">
        <v>0</v>
      </c>
      <c r="AU255">
        <v>0</v>
      </c>
      <c r="AV255">
        <f t="shared" si="51"/>
        <v>0</v>
      </c>
      <c r="AW255">
        <f t="shared" si="52"/>
        <v>0.14705882572075896</v>
      </c>
      <c r="AX255">
        <f t="shared" si="53"/>
        <v>183.08823802234491</v>
      </c>
      <c r="AY255">
        <f t="shared" si="54"/>
        <v>0</v>
      </c>
      <c r="AZ255">
        <f t="shared" si="55"/>
        <v>0.10000000149011609</v>
      </c>
      <c r="BA255" t="str">
        <f t="shared" si="56"/>
        <v/>
      </c>
      <c r="BB255">
        <f t="shared" si="57"/>
        <v>0.70588235165214874</v>
      </c>
      <c r="BC255">
        <f>MATCH($B255,clean_historis!$B:$B,0)</f>
        <v>255</v>
      </c>
      <c r="BD255">
        <f>IFERROR(INDEX(clean_historis!$AF:$AF,$BC255)/INDEX(clean_historis!$V:$V,$BC255),0)</f>
        <v>0</v>
      </c>
      <c r="BE255">
        <f>IFERROR(INDEX(clean_historis!$AR:$AR,$BC255)/INDEX(clean_historis!$AH:$AH,$BC255),0)</f>
        <v>0</v>
      </c>
      <c r="BF255">
        <f t="shared" si="58"/>
        <v>0.14705882572075896</v>
      </c>
      <c r="BG255">
        <f>MAX(IF(INDEX(clean_historis!$CL:$CL,$BC255)=1,2025,0),IF(INDEX(clean_historis!$CK:$CK,$BC255)=1,2024,0),IF(INDEX(clean_historis!$CJ:$CJ,$BC255)=1,2023,0),IF(INDEX(clean_historis!$CI:$CI,$BC255)=1,2022,0),IF(INDEX(clean_historis!$CH:$CH,$BC255)=1,2021,0))</f>
        <v>0</v>
      </c>
      <c r="BH255">
        <f t="shared" si="59"/>
        <v>0.29411764834785126</v>
      </c>
      <c r="BI255">
        <f t="shared" si="60"/>
        <v>366.1764721930748</v>
      </c>
      <c r="BJ255">
        <f t="shared" si="61"/>
        <v>1</v>
      </c>
      <c r="BK255">
        <f t="shared" si="62"/>
        <v>11.165799999999999</v>
      </c>
      <c r="BL255">
        <f t="shared" si="63"/>
        <v>0</v>
      </c>
      <c r="BM255">
        <f t="shared" si="64"/>
        <v>0</v>
      </c>
      <c r="BN255">
        <v>0</v>
      </c>
      <c r="BO255">
        <f t="shared" si="67"/>
        <v>1</v>
      </c>
      <c r="BP255">
        <f t="shared" si="65"/>
        <v>0</v>
      </c>
      <c r="BQ255">
        <f t="shared" si="66"/>
        <v>1</v>
      </c>
    </row>
    <row r="256" spans="1:69" x14ac:dyDescent="0.25">
      <c r="A256">
        <v>255</v>
      </c>
      <c r="B256" t="s">
        <v>1067</v>
      </c>
      <c r="C256" t="s">
        <v>1068</v>
      </c>
      <c r="D256" t="s">
        <v>1069</v>
      </c>
      <c r="E256" t="s">
        <v>1070</v>
      </c>
      <c r="F256" t="s">
        <v>315</v>
      </c>
      <c r="G256">
        <v>1</v>
      </c>
      <c r="H256">
        <v>1</v>
      </c>
      <c r="I256">
        <v>1352</v>
      </c>
      <c r="J256">
        <v>0</v>
      </c>
      <c r="L256">
        <v>8023.3</v>
      </c>
      <c r="M256">
        <v>10088.200000000001</v>
      </c>
      <c r="N256">
        <v>6771.5</v>
      </c>
      <c r="O256">
        <v>500.2</v>
      </c>
      <c r="P256">
        <v>40497.1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0.66</v>
      </c>
      <c r="W256">
        <v>0.6600000262260437</v>
      </c>
      <c r="X256">
        <v>0</v>
      </c>
      <c r="Y256">
        <v>0</v>
      </c>
      <c r="Z256">
        <v>0</v>
      </c>
      <c r="AA256">
        <v>0</v>
      </c>
      <c r="AB256">
        <v>0.6600000262260437</v>
      </c>
      <c r="AC256">
        <v>0</v>
      </c>
      <c r="AD256">
        <v>0</v>
      </c>
      <c r="AE256">
        <v>0.6600000262260437</v>
      </c>
      <c r="AF256">
        <v>0</v>
      </c>
      <c r="AG256">
        <v>1</v>
      </c>
      <c r="AH256">
        <v>0</v>
      </c>
      <c r="AI256">
        <v>150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2023</v>
      </c>
      <c r="AQ256">
        <v>3</v>
      </c>
      <c r="AR256">
        <v>0</v>
      </c>
      <c r="AS256">
        <v>0</v>
      </c>
      <c r="AT256">
        <v>0</v>
      </c>
      <c r="AU256">
        <v>0</v>
      </c>
      <c r="AV256">
        <f t="shared" si="51"/>
        <v>0</v>
      </c>
      <c r="AW256">
        <f t="shared" si="52"/>
        <v>0</v>
      </c>
      <c r="AX256">
        <f t="shared" si="53"/>
        <v>0</v>
      </c>
      <c r="AY256">
        <f t="shared" si="54"/>
        <v>0</v>
      </c>
      <c r="AZ256">
        <f t="shared" si="55"/>
        <v>0</v>
      </c>
      <c r="BA256" t="str">
        <f t="shared" si="56"/>
        <v/>
      </c>
      <c r="BB256">
        <f t="shared" si="57"/>
        <v>1</v>
      </c>
      <c r="BC256">
        <f>MATCH($B256,clean_historis!$B:$B,0)</f>
        <v>256</v>
      </c>
      <c r="BD256">
        <f>IFERROR(INDEX(clean_historis!$AF:$AF,$BC256)/INDEX(clean_historis!$V:$V,$BC256),0)</f>
        <v>0</v>
      </c>
      <c r="BE256">
        <f>IFERROR(INDEX(clean_historis!$AR:$AR,$BC256)/INDEX(clean_historis!$AH:$AH,$BC256),0)</f>
        <v>0</v>
      </c>
      <c r="BF256">
        <f t="shared" si="58"/>
        <v>0</v>
      </c>
      <c r="BG256">
        <f>MAX(IF(INDEX(clean_historis!$CL:$CL,$BC256)=1,2025,0),IF(INDEX(clean_historis!$CK:$CK,$BC256)=1,2024,0),IF(INDEX(clean_historis!$CJ:$CJ,$BC256)=1,2023,0),IF(INDEX(clean_historis!$CI:$CI,$BC256)=1,2022,0),IF(INDEX(clean_historis!$CH:$CH,$BC256)=1,2021,0))</f>
        <v>0</v>
      </c>
      <c r="BH256">
        <f t="shared" si="59"/>
        <v>0</v>
      </c>
      <c r="BI256">
        <f t="shared" si="60"/>
        <v>0</v>
      </c>
      <c r="BJ256">
        <f t="shared" si="61"/>
        <v>0</v>
      </c>
      <c r="BK256">
        <f t="shared" si="62"/>
        <v>65.380099999999999</v>
      </c>
      <c r="BL256">
        <f t="shared" si="63"/>
        <v>0</v>
      </c>
      <c r="BM256">
        <f t="shared" si="64"/>
        <v>0</v>
      </c>
      <c r="BN256">
        <v>0</v>
      </c>
      <c r="BO256">
        <f t="shared" si="67"/>
        <v>1</v>
      </c>
      <c r="BP256">
        <f t="shared" si="65"/>
        <v>1</v>
      </c>
      <c r="BQ256">
        <f t="shared" si="66"/>
        <v>1</v>
      </c>
    </row>
    <row r="257" spans="1:69" x14ac:dyDescent="0.25">
      <c r="A257">
        <v>256</v>
      </c>
      <c r="B257" t="s">
        <v>1071</v>
      </c>
      <c r="C257" t="s">
        <v>1072</v>
      </c>
      <c r="D257" t="s">
        <v>1073</v>
      </c>
      <c r="E257" t="s">
        <v>1074</v>
      </c>
      <c r="F257" t="s">
        <v>539</v>
      </c>
      <c r="G257">
        <v>4</v>
      </c>
      <c r="H257">
        <v>2</v>
      </c>
      <c r="I257">
        <v>1988</v>
      </c>
      <c r="J257">
        <v>0</v>
      </c>
      <c r="L257">
        <v>8950.1</v>
      </c>
      <c r="M257">
        <v>6258.4</v>
      </c>
      <c r="N257">
        <v>8924.7000000000007</v>
      </c>
      <c r="O257">
        <v>2875.1</v>
      </c>
      <c r="P257">
        <v>9268.4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4.51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150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R257">
        <v>1</v>
      </c>
      <c r="AS257">
        <v>0</v>
      </c>
      <c r="AT257">
        <v>1</v>
      </c>
      <c r="AU257">
        <v>0</v>
      </c>
      <c r="AV257">
        <f t="shared" si="51"/>
        <v>0</v>
      </c>
      <c r="AW257">
        <f t="shared" si="52"/>
        <v>-1</v>
      </c>
      <c r="AX257">
        <f t="shared" si="53"/>
        <v>0</v>
      </c>
      <c r="AY257">
        <f t="shared" si="54"/>
        <v>0</v>
      </c>
      <c r="AZ257">
        <f t="shared" si="55"/>
        <v>0</v>
      </c>
      <c r="BA257" t="str">
        <f t="shared" si="56"/>
        <v/>
      </c>
      <c r="BB257">
        <f t="shared" si="57"/>
        <v>0</v>
      </c>
      <c r="BC257">
        <f>MATCH($B257,clean_historis!$B:$B,0)</f>
        <v>257</v>
      </c>
      <c r="BD257">
        <f>IFERROR(INDEX(clean_historis!$AF:$AF,$BC257)/INDEX(clean_historis!$V:$V,$BC257),0)</f>
        <v>1</v>
      </c>
      <c r="BE257">
        <f>IFERROR(INDEX(clean_historis!$AR:$AR,$BC257)/INDEX(clean_historis!$AH:$AH,$BC257),0)</f>
        <v>1</v>
      </c>
      <c r="BF257">
        <f t="shared" si="58"/>
        <v>0</v>
      </c>
      <c r="BG257">
        <f>MAX(IF(INDEX(clean_historis!$CL:$CL,$BC257)=1,2025,0),IF(INDEX(clean_historis!$CK:$CK,$BC257)=1,2024,0),IF(INDEX(clean_historis!$CJ:$CJ,$BC257)=1,2023,0),IF(INDEX(clean_historis!$CI:$CI,$BC257)=1,2022,0),IF(INDEX(clean_historis!$CH:$CH,$BC257)=1,2021,0))</f>
        <v>0</v>
      </c>
      <c r="BH257">
        <f t="shared" si="59"/>
        <v>1</v>
      </c>
      <c r="BI257">
        <f t="shared" si="60"/>
        <v>1988</v>
      </c>
      <c r="BJ257">
        <f t="shared" si="61"/>
        <v>0</v>
      </c>
      <c r="BK257">
        <f t="shared" si="62"/>
        <v>33.401600000000002</v>
      </c>
      <c r="BL257">
        <f t="shared" si="63"/>
        <v>0</v>
      </c>
      <c r="BM257">
        <f t="shared" si="64"/>
        <v>0</v>
      </c>
      <c r="BN257">
        <v>0</v>
      </c>
      <c r="BO257">
        <f t="shared" si="67"/>
        <v>0</v>
      </c>
      <c r="BP257">
        <f t="shared" si="65"/>
        <v>0</v>
      </c>
      <c r="BQ257">
        <f t="shared" si="66"/>
        <v>1</v>
      </c>
    </row>
    <row r="258" spans="1:69" x14ac:dyDescent="0.25">
      <c r="A258">
        <v>257</v>
      </c>
      <c r="B258" t="s">
        <v>1075</v>
      </c>
      <c r="C258" t="s">
        <v>1076</v>
      </c>
      <c r="D258" t="s">
        <v>1077</v>
      </c>
      <c r="E258" t="s">
        <v>1078</v>
      </c>
      <c r="F258" t="s">
        <v>127</v>
      </c>
      <c r="G258">
        <v>2</v>
      </c>
      <c r="H258">
        <v>1</v>
      </c>
      <c r="I258">
        <v>938</v>
      </c>
      <c r="J258">
        <v>0</v>
      </c>
      <c r="L258">
        <v>8550.7999999999993</v>
      </c>
      <c r="M258">
        <v>4601.1000000000004</v>
      </c>
      <c r="N258">
        <v>10761.2</v>
      </c>
      <c r="O258">
        <v>2190.3000000000002</v>
      </c>
      <c r="P258">
        <v>10663.6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2.87</v>
      </c>
      <c r="W258">
        <v>0</v>
      </c>
      <c r="X258">
        <v>0</v>
      </c>
      <c r="Y258">
        <v>2.869999885559082</v>
      </c>
      <c r="Z258">
        <v>0</v>
      </c>
      <c r="AA258">
        <v>0.80000001192092896</v>
      </c>
      <c r="AB258">
        <v>1</v>
      </c>
      <c r="AC258">
        <v>0.76999998092651367</v>
      </c>
      <c r="AD258">
        <v>0.30000001192092901</v>
      </c>
      <c r="AE258">
        <v>1.800000011920929</v>
      </c>
      <c r="AF258">
        <v>1.0699999928474431</v>
      </c>
      <c r="AG258">
        <v>0.6271777034600392</v>
      </c>
      <c r="AH258">
        <v>0.37282229653996068</v>
      </c>
      <c r="AI258">
        <v>150</v>
      </c>
      <c r="AJ258">
        <v>0.80000001192092896</v>
      </c>
      <c r="AK258">
        <v>1</v>
      </c>
      <c r="AL258">
        <v>0.76999998092651367</v>
      </c>
      <c r="AM258">
        <v>0.30000001192092901</v>
      </c>
      <c r="AN258">
        <v>1</v>
      </c>
      <c r="AO258">
        <v>1</v>
      </c>
      <c r="AP258">
        <v>2021</v>
      </c>
      <c r="AQ258">
        <v>5</v>
      </c>
      <c r="AR258">
        <v>0</v>
      </c>
      <c r="AS258">
        <v>0</v>
      </c>
      <c r="AT258">
        <v>0</v>
      </c>
      <c r="AU258">
        <v>0</v>
      </c>
      <c r="AV258">
        <f t="shared" ref="AV258:AV321" si="68">IFERROR($BE258-$BD258,0)</f>
        <v>6.968641114982578E-2</v>
      </c>
      <c r="AW258">
        <f t="shared" ref="AW258:AW321" si="69">IFERROR($BF258-$BE258,0)</f>
        <v>3.4843209728546695E-2</v>
      </c>
      <c r="AX258">
        <f t="shared" ref="AX258:AX321" si="70">IFERROR($BF258*$I258,0)</f>
        <v>98.048784383913386</v>
      </c>
      <c r="AY258">
        <f t="shared" ref="AY258:AY321" si="71">SUM($Q258:$U258)</f>
        <v>0</v>
      </c>
      <c r="AZ258">
        <f t="shared" ref="AZ258:AZ321" si="72">IFERROR($V258*$BF258,0)</f>
        <v>0.30000001192092901</v>
      </c>
      <c r="BA258">
        <f t="shared" ref="BA258:BA321" si="73">IFERROR(IF($BG258=0,"",2025-$BG258),"")</f>
        <v>4</v>
      </c>
      <c r="BB258">
        <f t="shared" ref="BB258:BB321" si="74">$AG258</f>
        <v>0.6271777034600392</v>
      </c>
      <c r="BC258">
        <f>MATCH($B258,clean_historis!$B:$B,0)</f>
        <v>258</v>
      </c>
      <c r="BD258">
        <f>IFERROR(INDEX(clean_historis!$AF:$AF,$BC258)/INDEX(clean_historis!$V:$V,$BC258),0)</f>
        <v>0</v>
      </c>
      <c r="BE258">
        <f>IFERROR(INDEX(clean_historis!$AR:$AR,$BC258)/INDEX(clean_historis!$AH:$AH,$BC258),0)</f>
        <v>6.968641114982578E-2</v>
      </c>
      <c r="BF258">
        <f t="shared" ref="BF258:BF321" si="75">IFERROR($AD258/$V258,0)</f>
        <v>0.10452962087837248</v>
      </c>
      <c r="BG258">
        <f>MAX(IF(INDEX(clean_historis!$CL:$CL,$BC258)=1,2025,0),IF(INDEX(clean_historis!$CK:$CK,$BC258)=1,2024,0),IF(INDEX(clean_historis!$CJ:$CJ,$BC258)=1,2023,0),IF(INDEX(clean_historis!$CI:$CI,$BC258)=1,2022,0),IF(INDEX(clean_historis!$CH:$CH,$BC258)=1,2021,0))</f>
        <v>2021</v>
      </c>
      <c r="BH258">
        <f t="shared" ref="BH258:BH321" si="76">IF($AG258&lt;&gt;"",1-$AG258,IF($BB258&lt;&gt;"",1-$BB258,IFERROR($AF258/$V258,0)))</f>
        <v>0.3728222965399608</v>
      </c>
      <c r="BI258">
        <f t="shared" ref="BI258:BI321" si="77">IFERROR($BH258*$I258,0)</f>
        <v>349.70731415448324</v>
      </c>
      <c r="BJ258">
        <f t="shared" ref="BJ258:BJ321" si="78">IF(OR(AND($P258&lt;&gt;"",$P258&lt;=5000),AND($L258&lt;&gt;"",$L258&lt;=2000)),1,0)</f>
        <v>0</v>
      </c>
      <c r="BK258">
        <f t="shared" ref="BK258:BK321" si="79">IFERROR(($P258+$L258+$N258+$M258)/1000,0)</f>
        <v>34.576700000000002</v>
      </c>
      <c r="BL258">
        <f t="shared" ref="BL258:BL321" si="80">IF(OR(ISNUMBER(SEARCH("stadion",$C258)),ISNUMBER(SEARCH("pasar",$C258)),ISNUMBER(SEARCH("pustu",$C258)),ISNUMBER(SEARCH("puskesmas",$C258)),ISNUMBER(SEARCH("sekolah",$C258)),ISNUMBER(SEARCH("kantor",$C258)),ISNUMBER(SEARCH("terminal",$C258))),1,0)</f>
        <v>0</v>
      </c>
      <c r="BM258">
        <f t="shared" ref="BM258:BM321" si="81">IF(IF($BF258&lt;&gt;"",$BF258,IFERROR($AD258/$V258,0))&gt;=0.3,1,0)</f>
        <v>0</v>
      </c>
      <c r="BN258">
        <v>0</v>
      </c>
      <c r="BO258">
        <f t="shared" si="67"/>
        <v>0</v>
      </c>
      <c r="BP258">
        <f t="shared" ref="BP258:BP321" si="82">IF(AO258&gt;=1,1,0)</f>
        <v>1</v>
      </c>
      <c r="BQ258">
        <f t="shared" ref="BQ258:BQ321" si="83">IF(OR(BO258=1,BL258=1,BH258&gt;0.5),1,0)</f>
        <v>0</v>
      </c>
    </row>
    <row r="259" spans="1:69" x14ac:dyDescent="0.25">
      <c r="A259">
        <v>258</v>
      </c>
      <c r="B259" t="s">
        <v>1079</v>
      </c>
      <c r="C259" t="s">
        <v>1080</v>
      </c>
      <c r="D259" t="s">
        <v>1081</v>
      </c>
      <c r="E259" t="s">
        <v>105</v>
      </c>
      <c r="F259" t="s">
        <v>105</v>
      </c>
      <c r="G259">
        <v>1</v>
      </c>
      <c r="H259">
        <v>1</v>
      </c>
      <c r="I259">
        <v>423</v>
      </c>
      <c r="J259">
        <v>0</v>
      </c>
      <c r="K259">
        <v>1</v>
      </c>
      <c r="L259">
        <v>1326.5</v>
      </c>
      <c r="M259">
        <v>974.6</v>
      </c>
      <c r="N259">
        <v>7130</v>
      </c>
      <c r="O259">
        <v>997.9</v>
      </c>
      <c r="P259">
        <v>8509.5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1.03</v>
      </c>
      <c r="W259">
        <v>0</v>
      </c>
      <c r="X259">
        <v>0</v>
      </c>
      <c r="Y259">
        <v>1.029999971389771</v>
      </c>
      <c r="Z259">
        <v>0</v>
      </c>
      <c r="AA259">
        <v>0.23000000417232511</v>
      </c>
      <c r="AB259">
        <v>0.60000002384185791</v>
      </c>
      <c r="AC259">
        <v>0.20000000298023221</v>
      </c>
      <c r="AD259">
        <v>0</v>
      </c>
      <c r="AE259">
        <v>0.83000002801418304</v>
      </c>
      <c r="AF259">
        <v>0.20000000298023221</v>
      </c>
      <c r="AG259">
        <v>0.80582524566805902</v>
      </c>
      <c r="AH259">
        <v>0.19417475433194101</v>
      </c>
      <c r="AI259">
        <v>150</v>
      </c>
      <c r="AJ259">
        <v>0.23000000417232511</v>
      </c>
      <c r="AK259">
        <v>0.60000002384185791</v>
      </c>
      <c r="AL259">
        <v>0.20000000298023221</v>
      </c>
      <c r="AM259">
        <v>0</v>
      </c>
      <c r="AN259">
        <v>0</v>
      </c>
      <c r="AO259">
        <v>0</v>
      </c>
      <c r="AR259">
        <v>0</v>
      </c>
      <c r="AS259">
        <v>0</v>
      </c>
      <c r="AT259">
        <v>0</v>
      </c>
      <c r="AU259">
        <v>0</v>
      </c>
      <c r="AV259">
        <f t="shared" si="68"/>
        <v>0</v>
      </c>
      <c r="AW259">
        <f t="shared" si="69"/>
        <v>0</v>
      </c>
      <c r="AX259">
        <f t="shared" si="70"/>
        <v>0</v>
      </c>
      <c r="AY259">
        <f t="shared" si="71"/>
        <v>0</v>
      </c>
      <c r="AZ259">
        <f t="shared" si="72"/>
        <v>0</v>
      </c>
      <c r="BA259" t="str">
        <f t="shared" si="73"/>
        <v/>
      </c>
      <c r="BB259">
        <f t="shared" si="74"/>
        <v>0.80582524566805902</v>
      </c>
      <c r="BC259">
        <f>MATCH($B259,clean_historis!$B:$B,0)</f>
        <v>259</v>
      </c>
      <c r="BD259">
        <f>IFERROR(INDEX(clean_historis!$AF:$AF,$BC259)/INDEX(clean_historis!$V:$V,$BC259),0)</f>
        <v>0</v>
      </c>
      <c r="BE259">
        <f>IFERROR(INDEX(clean_historis!$AR:$AR,$BC259)/INDEX(clean_historis!$AH:$AH,$BC259),0)</f>
        <v>0</v>
      </c>
      <c r="BF259">
        <f t="shared" si="75"/>
        <v>0</v>
      </c>
      <c r="BG259">
        <f>MAX(IF(INDEX(clean_historis!$CL:$CL,$BC259)=1,2025,0),IF(INDEX(clean_historis!$CK:$CK,$BC259)=1,2024,0),IF(INDEX(clean_historis!$CJ:$CJ,$BC259)=1,2023,0),IF(INDEX(clean_historis!$CI:$CI,$BC259)=1,2022,0),IF(INDEX(clean_historis!$CH:$CH,$BC259)=1,2021,0))</f>
        <v>0</v>
      </c>
      <c r="BH259">
        <f t="shared" si="76"/>
        <v>0.19417475433194098</v>
      </c>
      <c r="BI259">
        <f t="shared" si="77"/>
        <v>82.135921082411031</v>
      </c>
      <c r="BJ259">
        <f t="shared" si="78"/>
        <v>1</v>
      </c>
      <c r="BK259">
        <f t="shared" si="79"/>
        <v>17.9406</v>
      </c>
      <c r="BL259">
        <f t="shared" si="80"/>
        <v>0</v>
      </c>
      <c r="BM259">
        <f t="shared" si="81"/>
        <v>0</v>
      </c>
      <c r="BN259">
        <v>0</v>
      </c>
      <c r="BO259">
        <f t="shared" ref="BO259:BO322" si="84">IF($V259&lt;1,1,0)</f>
        <v>0</v>
      </c>
      <c r="BP259">
        <f t="shared" si="82"/>
        <v>0</v>
      </c>
      <c r="BQ259">
        <f t="shared" si="83"/>
        <v>0</v>
      </c>
    </row>
    <row r="260" spans="1:69" x14ac:dyDescent="0.25">
      <c r="A260">
        <v>259</v>
      </c>
      <c r="B260" t="s">
        <v>1082</v>
      </c>
      <c r="C260" t="s">
        <v>1083</v>
      </c>
      <c r="D260" t="s">
        <v>1084</v>
      </c>
      <c r="E260" t="s">
        <v>1085</v>
      </c>
      <c r="F260" t="s">
        <v>503</v>
      </c>
      <c r="G260">
        <v>4</v>
      </c>
      <c r="H260">
        <v>2</v>
      </c>
      <c r="I260">
        <v>1341</v>
      </c>
      <c r="J260">
        <v>0</v>
      </c>
      <c r="K260">
        <v>1</v>
      </c>
      <c r="L260">
        <v>2386.8000000000002</v>
      </c>
      <c r="M260">
        <v>1123.5</v>
      </c>
      <c r="N260">
        <v>8060.7</v>
      </c>
      <c r="O260">
        <v>90.4</v>
      </c>
      <c r="P260">
        <v>9459.2999999999993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2.73</v>
      </c>
      <c r="W260">
        <v>0</v>
      </c>
      <c r="X260">
        <v>0</v>
      </c>
      <c r="Y260">
        <v>2.7300000190734859</v>
      </c>
      <c r="Z260">
        <v>0</v>
      </c>
      <c r="AA260">
        <v>1.029999971389771</v>
      </c>
      <c r="AB260">
        <v>1.5</v>
      </c>
      <c r="AC260">
        <v>0.20000000298023221</v>
      </c>
      <c r="AD260">
        <v>0</v>
      </c>
      <c r="AE260">
        <v>2.529999971389771</v>
      </c>
      <c r="AF260">
        <v>0.20000000298023221</v>
      </c>
      <c r="AG260">
        <v>0.92673992496048063</v>
      </c>
      <c r="AH260">
        <v>7.3260075039519326E-2</v>
      </c>
      <c r="AI260">
        <v>150</v>
      </c>
      <c r="AJ260">
        <v>1.029999971389771</v>
      </c>
      <c r="AK260">
        <v>1.5</v>
      </c>
      <c r="AL260">
        <v>0.20000000298023221</v>
      </c>
      <c r="AM260">
        <v>0</v>
      </c>
      <c r="AN260">
        <v>1</v>
      </c>
      <c r="AO260">
        <v>2</v>
      </c>
      <c r="AP260">
        <v>2024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f t="shared" si="68"/>
        <v>-0.19413919413919414</v>
      </c>
      <c r="AW260">
        <f t="shared" si="69"/>
        <v>0</v>
      </c>
      <c r="AX260">
        <f t="shared" si="70"/>
        <v>0</v>
      </c>
      <c r="AY260">
        <f t="shared" si="71"/>
        <v>0</v>
      </c>
      <c r="AZ260">
        <f t="shared" si="72"/>
        <v>0</v>
      </c>
      <c r="BA260">
        <f t="shared" si="73"/>
        <v>1</v>
      </c>
      <c r="BB260">
        <f t="shared" si="74"/>
        <v>0.92673992496048063</v>
      </c>
      <c r="BC260">
        <f>MATCH($B260,clean_historis!$B:$B,0)</f>
        <v>260</v>
      </c>
      <c r="BD260">
        <f>IFERROR(INDEX(clean_historis!$AF:$AF,$BC260)/INDEX(clean_historis!$V:$V,$BC260),0)</f>
        <v>0.19413919413919414</v>
      </c>
      <c r="BE260">
        <f>IFERROR(INDEX(clean_historis!$AR:$AR,$BC260)/INDEX(clean_historis!$AH:$AH,$BC260),0)</f>
        <v>0</v>
      </c>
      <c r="BF260">
        <f t="shared" si="75"/>
        <v>0</v>
      </c>
      <c r="BG260">
        <f>MAX(IF(INDEX(clean_historis!$CL:$CL,$BC260)=1,2025,0),IF(INDEX(clean_historis!$CK:$CK,$BC260)=1,2024,0),IF(INDEX(clean_historis!$CJ:$CJ,$BC260)=1,2023,0),IF(INDEX(clean_historis!$CI:$CI,$BC260)=1,2022,0),IF(INDEX(clean_historis!$CH:$CH,$BC260)=1,2021,0))</f>
        <v>2024</v>
      </c>
      <c r="BH260">
        <f t="shared" si="76"/>
        <v>7.3260075039519368E-2</v>
      </c>
      <c r="BI260">
        <f t="shared" si="77"/>
        <v>98.241760627995475</v>
      </c>
      <c r="BJ260">
        <f t="shared" si="78"/>
        <v>0</v>
      </c>
      <c r="BK260">
        <f t="shared" si="79"/>
        <v>21.0303</v>
      </c>
      <c r="BL260">
        <f t="shared" si="80"/>
        <v>0</v>
      </c>
      <c r="BM260">
        <f t="shared" si="81"/>
        <v>0</v>
      </c>
      <c r="BN260">
        <v>0</v>
      </c>
      <c r="BO260">
        <f t="shared" si="84"/>
        <v>0</v>
      </c>
      <c r="BP260">
        <f t="shared" si="82"/>
        <v>1</v>
      </c>
      <c r="BQ260">
        <f t="shared" si="83"/>
        <v>0</v>
      </c>
    </row>
    <row r="261" spans="1:69" x14ac:dyDescent="0.25">
      <c r="A261">
        <v>260</v>
      </c>
      <c r="B261" t="s">
        <v>1086</v>
      </c>
      <c r="C261" t="s">
        <v>1087</v>
      </c>
      <c r="D261" t="s">
        <v>1088</v>
      </c>
      <c r="E261" t="s">
        <v>1089</v>
      </c>
      <c r="F261" t="s">
        <v>100</v>
      </c>
      <c r="G261">
        <v>2</v>
      </c>
      <c r="H261">
        <v>1</v>
      </c>
      <c r="I261">
        <v>2613</v>
      </c>
      <c r="J261">
        <v>0</v>
      </c>
      <c r="L261">
        <v>2905.9</v>
      </c>
      <c r="M261">
        <v>3449</v>
      </c>
      <c r="N261">
        <v>4261.3</v>
      </c>
      <c r="O261">
        <v>143.1</v>
      </c>
      <c r="P261">
        <v>2587.6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</v>
      </c>
      <c r="W261">
        <v>0</v>
      </c>
      <c r="X261">
        <v>0</v>
      </c>
      <c r="Y261">
        <v>0.20000000298023221</v>
      </c>
      <c r="Z261">
        <v>0</v>
      </c>
      <c r="AA261">
        <v>0</v>
      </c>
      <c r="AB261">
        <v>0.20000000298023221</v>
      </c>
      <c r="AC261">
        <v>0</v>
      </c>
      <c r="AD261">
        <v>0</v>
      </c>
      <c r="AE261">
        <v>0.20000000298023221</v>
      </c>
      <c r="AF261">
        <v>0</v>
      </c>
      <c r="AG261">
        <v>1</v>
      </c>
      <c r="AH261">
        <v>0</v>
      </c>
      <c r="AI261">
        <v>150</v>
      </c>
      <c r="AJ261">
        <v>0</v>
      </c>
      <c r="AK261">
        <v>0.20000000298023221</v>
      </c>
      <c r="AL261">
        <v>0</v>
      </c>
      <c r="AM261">
        <v>0</v>
      </c>
      <c r="AN261">
        <v>0</v>
      </c>
      <c r="AO261">
        <v>0</v>
      </c>
      <c r="AR261">
        <v>0</v>
      </c>
      <c r="AS261">
        <v>0</v>
      </c>
      <c r="AT261">
        <v>0</v>
      </c>
      <c r="AU261">
        <v>0</v>
      </c>
      <c r="AV261">
        <f t="shared" si="68"/>
        <v>0</v>
      </c>
      <c r="AW261">
        <f t="shared" si="69"/>
        <v>0</v>
      </c>
      <c r="AX261">
        <f t="shared" si="70"/>
        <v>0</v>
      </c>
      <c r="AY261">
        <f t="shared" si="71"/>
        <v>0</v>
      </c>
      <c r="AZ261">
        <f t="shared" si="72"/>
        <v>0</v>
      </c>
      <c r="BA261" t="str">
        <f t="shared" si="73"/>
        <v/>
      </c>
      <c r="BB261">
        <f t="shared" si="74"/>
        <v>1</v>
      </c>
      <c r="BC261">
        <f>MATCH($B261,clean_historis!$B:$B,0)</f>
        <v>261</v>
      </c>
      <c r="BD261">
        <f>IFERROR(INDEX(clean_historis!$AF:$AF,$BC261)/INDEX(clean_historis!$V:$V,$BC261),0)</f>
        <v>0</v>
      </c>
      <c r="BE261">
        <f>IFERROR(INDEX(clean_historis!$AR:$AR,$BC261)/INDEX(clean_historis!$AH:$AH,$BC261),0)</f>
        <v>0</v>
      </c>
      <c r="BF261">
        <f t="shared" si="75"/>
        <v>0</v>
      </c>
      <c r="BG261">
        <f>MAX(IF(INDEX(clean_historis!$CL:$CL,$BC261)=1,2025,0),IF(INDEX(clean_historis!$CK:$CK,$BC261)=1,2024,0),IF(INDEX(clean_historis!$CJ:$CJ,$BC261)=1,2023,0),IF(INDEX(clean_historis!$CI:$CI,$BC261)=1,2022,0),IF(INDEX(clean_historis!$CH:$CH,$BC261)=1,2021,0))</f>
        <v>0</v>
      </c>
      <c r="BH261">
        <f t="shared" si="76"/>
        <v>0</v>
      </c>
      <c r="BI261">
        <f t="shared" si="77"/>
        <v>0</v>
      </c>
      <c r="BJ261">
        <f t="shared" si="78"/>
        <v>1</v>
      </c>
      <c r="BK261">
        <f t="shared" si="79"/>
        <v>13.203799999999999</v>
      </c>
      <c r="BL261">
        <f t="shared" si="80"/>
        <v>0</v>
      </c>
      <c r="BM261">
        <f t="shared" si="81"/>
        <v>0</v>
      </c>
      <c r="BN261">
        <v>0</v>
      </c>
      <c r="BO261">
        <f t="shared" si="84"/>
        <v>1</v>
      </c>
      <c r="BP261">
        <f t="shared" si="82"/>
        <v>0</v>
      </c>
      <c r="BQ261">
        <f t="shared" si="83"/>
        <v>1</v>
      </c>
    </row>
    <row r="262" spans="1:69" x14ac:dyDescent="0.25">
      <c r="A262">
        <v>261</v>
      </c>
      <c r="B262" t="s">
        <v>1090</v>
      </c>
      <c r="C262" t="s">
        <v>1091</v>
      </c>
      <c r="D262" t="s">
        <v>1092</v>
      </c>
      <c r="E262" t="s">
        <v>1093</v>
      </c>
      <c r="F262" t="s">
        <v>100</v>
      </c>
      <c r="G262">
        <v>6</v>
      </c>
      <c r="H262">
        <v>1</v>
      </c>
      <c r="I262">
        <v>8588</v>
      </c>
      <c r="J262">
        <v>1</v>
      </c>
      <c r="K262">
        <v>1</v>
      </c>
      <c r="L262">
        <v>3075.6</v>
      </c>
      <c r="M262">
        <v>3618.6</v>
      </c>
      <c r="N262">
        <v>4430.8999999999996</v>
      </c>
      <c r="O262">
        <v>365.8</v>
      </c>
      <c r="P262">
        <v>2757.2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5.32</v>
      </c>
      <c r="W262">
        <v>0</v>
      </c>
      <c r="X262">
        <v>0</v>
      </c>
      <c r="Y262">
        <v>5.320000171661377</v>
      </c>
      <c r="Z262">
        <v>0</v>
      </c>
      <c r="AA262">
        <v>1.1000000238418579</v>
      </c>
      <c r="AB262">
        <v>1.700000047683716</v>
      </c>
      <c r="AC262">
        <v>1.320000052452087</v>
      </c>
      <c r="AD262">
        <v>1.200000047683716</v>
      </c>
      <c r="AE262">
        <v>2.8000000715255742</v>
      </c>
      <c r="AF262">
        <v>2.5200001001358028</v>
      </c>
      <c r="AG262">
        <v>0.52631578593561679</v>
      </c>
      <c r="AH262">
        <v>0.47368421406438321</v>
      </c>
      <c r="AI262">
        <v>150</v>
      </c>
      <c r="AJ262">
        <v>1.1000000238418579</v>
      </c>
      <c r="AK262">
        <v>1.700000047683716</v>
      </c>
      <c r="AL262">
        <v>1.320000052452087</v>
      </c>
      <c r="AM262">
        <v>1.200000047683716</v>
      </c>
      <c r="AN262">
        <v>1</v>
      </c>
      <c r="AO262">
        <v>2</v>
      </c>
      <c r="AP262">
        <v>2024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f t="shared" si="68"/>
        <v>3.7593984962406013E-2</v>
      </c>
      <c r="AW262">
        <f t="shared" si="69"/>
        <v>0.18796993377513457</v>
      </c>
      <c r="AX262">
        <f t="shared" si="70"/>
        <v>1937.1429341179985</v>
      </c>
      <c r="AY262">
        <f t="shared" si="71"/>
        <v>0</v>
      </c>
      <c r="AZ262">
        <f t="shared" si="72"/>
        <v>1.200000047683716</v>
      </c>
      <c r="BA262" t="str">
        <f t="shared" si="73"/>
        <v/>
      </c>
      <c r="BB262">
        <f t="shared" si="74"/>
        <v>0.52631578593561679</v>
      </c>
      <c r="BC262">
        <f>MATCH($B262,clean_historis!$B:$B,0)</f>
        <v>262</v>
      </c>
      <c r="BD262">
        <f>IFERROR(INDEX(clean_historis!$AF:$AF,$BC262)/INDEX(clean_historis!$V:$V,$BC262),0)</f>
        <v>0</v>
      </c>
      <c r="BE262">
        <f>IFERROR(INDEX(clean_historis!$AR:$AR,$BC262)/INDEX(clean_historis!$AH:$AH,$BC262),0)</f>
        <v>3.7593984962406013E-2</v>
      </c>
      <c r="BF262">
        <f t="shared" si="75"/>
        <v>0.22556391873754059</v>
      </c>
      <c r="BG262">
        <f>MAX(IF(INDEX(clean_historis!$CL:$CL,$BC262)=1,2025,0),IF(INDEX(clean_historis!$CK:$CK,$BC262)=1,2024,0),IF(INDEX(clean_historis!$CJ:$CJ,$BC262)=1,2023,0),IF(INDEX(clean_historis!$CI:$CI,$BC262)=1,2022,0),IF(INDEX(clean_historis!$CH:$CH,$BC262)=1,2021,0))</f>
        <v>0</v>
      </c>
      <c r="BH262">
        <f t="shared" si="76"/>
        <v>0.47368421406438321</v>
      </c>
      <c r="BI262">
        <f t="shared" si="77"/>
        <v>4068.0000303849229</v>
      </c>
      <c r="BJ262">
        <f t="shared" si="78"/>
        <v>1</v>
      </c>
      <c r="BK262">
        <f t="shared" si="79"/>
        <v>13.882299999999999</v>
      </c>
      <c r="BL262">
        <f t="shared" si="80"/>
        <v>0</v>
      </c>
      <c r="BM262">
        <f t="shared" si="81"/>
        <v>0</v>
      </c>
      <c r="BN262">
        <v>0</v>
      </c>
      <c r="BO262">
        <f t="shared" si="84"/>
        <v>0</v>
      </c>
      <c r="BP262">
        <f t="shared" si="82"/>
        <v>1</v>
      </c>
      <c r="BQ262">
        <f t="shared" si="83"/>
        <v>0</v>
      </c>
    </row>
    <row r="263" spans="1:69" x14ac:dyDescent="0.25">
      <c r="A263">
        <v>262</v>
      </c>
      <c r="B263" t="s">
        <v>1094</v>
      </c>
      <c r="C263" t="s">
        <v>1095</v>
      </c>
      <c r="D263" t="s">
        <v>1096</v>
      </c>
      <c r="E263" t="s">
        <v>1097</v>
      </c>
      <c r="F263" t="s">
        <v>190</v>
      </c>
      <c r="G263">
        <v>1</v>
      </c>
      <c r="H263">
        <v>1</v>
      </c>
      <c r="I263">
        <v>371</v>
      </c>
      <c r="J263">
        <v>0</v>
      </c>
      <c r="K263">
        <v>1</v>
      </c>
      <c r="L263">
        <v>608.29999999999995</v>
      </c>
      <c r="M263">
        <v>2430.4</v>
      </c>
      <c r="N263">
        <v>11122</v>
      </c>
      <c r="O263">
        <v>277.2</v>
      </c>
      <c r="P263">
        <v>12501.5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0.64</v>
      </c>
      <c r="W263">
        <v>0</v>
      </c>
      <c r="X263">
        <v>0</v>
      </c>
      <c r="Y263">
        <v>0.5</v>
      </c>
      <c r="Z263">
        <v>0</v>
      </c>
      <c r="AA263">
        <v>0</v>
      </c>
      <c r="AB263">
        <v>0.40000000596046448</v>
      </c>
      <c r="AC263">
        <v>0</v>
      </c>
      <c r="AD263">
        <v>0.10000000149011611</v>
      </c>
      <c r="AE263">
        <v>0.40000000596046448</v>
      </c>
      <c r="AF263">
        <v>0.10000000149011611</v>
      </c>
      <c r="AG263">
        <v>0.8</v>
      </c>
      <c r="AH263">
        <v>0.2</v>
      </c>
      <c r="AI263">
        <v>150</v>
      </c>
      <c r="AJ263">
        <v>0</v>
      </c>
      <c r="AK263">
        <v>0.40000000596046448</v>
      </c>
      <c r="AL263">
        <v>0</v>
      </c>
      <c r="AM263">
        <v>0.10000000149011611</v>
      </c>
      <c r="AN263">
        <v>0</v>
      </c>
      <c r="AO263">
        <v>0</v>
      </c>
      <c r="AR263">
        <v>0</v>
      </c>
      <c r="AS263">
        <v>0</v>
      </c>
      <c r="AT263">
        <v>0</v>
      </c>
      <c r="AU263">
        <v>1</v>
      </c>
      <c r="AV263">
        <f t="shared" si="68"/>
        <v>0</v>
      </c>
      <c r="AW263">
        <f t="shared" si="69"/>
        <v>-6.2499997671693619E-2</v>
      </c>
      <c r="AX263">
        <f t="shared" si="70"/>
        <v>57.968750863801681</v>
      </c>
      <c r="AY263">
        <f t="shared" si="71"/>
        <v>0</v>
      </c>
      <c r="AZ263">
        <f t="shared" si="72"/>
        <v>0.10000000149011611</v>
      </c>
      <c r="BA263" t="str">
        <f t="shared" si="73"/>
        <v/>
      </c>
      <c r="BB263">
        <f t="shared" si="74"/>
        <v>0.8</v>
      </c>
      <c r="BC263">
        <f>MATCH($B263,clean_historis!$B:$B,0)</f>
        <v>263</v>
      </c>
      <c r="BD263">
        <f>IFERROR(INDEX(clean_historis!$AF:$AF,$BC263)/INDEX(clean_historis!$V:$V,$BC263),0)</f>
        <v>0.21875000000000003</v>
      </c>
      <c r="BE263">
        <f>IFERROR(INDEX(clean_historis!$AR:$AR,$BC263)/INDEX(clean_historis!$AH:$AH,$BC263),0)</f>
        <v>0.21875000000000003</v>
      </c>
      <c r="BF263">
        <f t="shared" si="75"/>
        <v>0.15625000232830641</v>
      </c>
      <c r="BG263">
        <f>MAX(IF(INDEX(clean_historis!$CL:$CL,$BC263)=1,2025,0),IF(INDEX(clean_historis!$CK:$CK,$BC263)=1,2024,0),IF(INDEX(clean_historis!$CJ:$CJ,$BC263)=1,2023,0),IF(INDEX(clean_historis!$CI:$CI,$BC263)=1,2022,0),IF(INDEX(clean_historis!$CH:$CH,$BC263)=1,2021,0))</f>
        <v>0</v>
      </c>
      <c r="BH263">
        <f t="shared" si="76"/>
        <v>0.19999999999999996</v>
      </c>
      <c r="BI263">
        <f t="shared" si="77"/>
        <v>74.199999999999989</v>
      </c>
      <c r="BJ263">
        <f t="shared" si="78"/>
        <v>1</v>
      </c>
      <c r="BK263">
        <f t="shared" si="79"/>
        <v>26.662200000000002</v>
      </c>
      <c r="BL263">
        <f t="shared" si="80"/>
        <v>0</v>
      </c>
      <c r="BM263">
        <f t="shared" si="81"/>
        <v>0</v>
      </c>
      <c r="BN263">
        <v>0</v>
      </c>
      <c r="BO263">
        <f t="shared" si="84"/>
        <v>1</v>
      </c>
      <c r="BP263">
        <f t="shared" si="82"/>
        <v>0</v>
      </c>
      <c r="BQ263">
        <f t="shared" si="83"/>
        <v>1</v>
      </c>
    </row>
    <row r="264" spans="1:69" x14ac:dyDescent="0.25">
      <c r="A264">
        <v>263</v>
      </c>
      <c r="B264" t="s">
        <v>1098</v>
      </c>
      <c r="C264" t="s">
        <v>1099</v>
      </c>
      <c r="D264" t="s">
        <v>1100</v>
      </c>
      <c r="E264" t="s">
        <v>1097</v>
      </c>
      <c r="F264" t="s">
        <v>190</v>
      </c>
      <c r="G264">
        <v>1</v>
      </c>
      <c r="H264">
        <v>1</v>
      </c>
      <c r="I264">
        <v>371</v>
      </c>
      <c r="J264">
        <v>0</v>
      </c>
      <c r="K264">
        <v>1</v>
      </c>
      <c r="L264">
        <v>744.7</v>
      </c>
      <c r="M264">
        <v>3138.6</v>
      </c>
      <c r="N264">
        <v>11056.8</v>
      </c>
      <c r="O264">
        <v>1075.9000000000001</v>
      </c>
      <c r="P264">
        <v>12436.3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1.26</v>
      </c>
      <c r="W264">
        <v>0</v>
      </c>
      <c r="X264">
        <v>0</v>
      </c>
      <c r="Y264">
        <v>1.2599999904632571</v>
      </c>
      <c r="Z264">
        <v>0</v>
      </c>
      <c r="AA264">
        <v>0</v>
      </c>
      <c r="AB264">
        <v>1.1599999666213989</v>
      </c>
      <c r="AC264">
        <v>0.10000000149011611</v>
      </c>
      <c r="AD264">
        <v>0</v>
      </c>
      <c r="AE264">
        <v>1.1599999666213989</v>
      </c>
      <c r="AF264">
        <v>0.10000000149011611</v>
      </c>
      <c r="AG264">
        <v>0.92063491744369175</v>
      </c>
      <c r="AH264">
        <v>7.9365082556308225E-2</v>
      </c>
      <c r="AI264">
        <v>150</v>
      </c>
      <c r="AJ264">
        <v>0</v>
      </c>
      <c r="AK264">
        <v>1.1599999666213989</v>
      </c>
      <c r="AL264">
        <v>0.10000000149011611</v>
      </c>
      <c r="AM264">
        <v>0</v>
      </c>
      <c r="AN264">
        <v>1</v>
      </c>
      <c r="AO264">
        <v>2</v>
      </c>
      <c r="AP264">
        <v>2023</v>
      </c>
      <c r="AQ264">
        <v>3</v>
      </c>
      <c r="AR264">
        <v>0</v>
      </c>
      <c r="AS264">
        <v>0</v>
      </c>
      <c r="AT264">
        <v>0</v>
      </c>
      <c r="AU264">
        <v>0</v>
      </c>
      <c r="AV264">
        <f t="shared" si="68"/>
        <v>0</v>
      </c>
      <c r="AW264">
        <f t="shared" si="69"/>
        <v>0</v>
      </c>
      <c r="AX264">
        <f t="shared" si="70"/>
        <v>0</v>
      </c>
      <c r="AY264">
        <f t="shared" si="71"/>
        <v>0</v>
      </c>
      <c r="AZ264">
        <f t="shared" si="72"/>
        <v>0</v>
      </c>
      <c r="BA264" t="str">
        <f t="shared" si="73"/>
        <v/>
      </c>
      <c r="BB264">
        <f t="shared" si="74"/>
        <v>0.92063491744369175</v>
      </c>
      <c r="BC264">
        <f>MATCH($B264,clean_historis!$B:$B,0)</f>
        <v>264</v>
      </c>
      <c r="BD264">
        <f>IFERROR(INDEX(clean_historis!$AF:$AF,$BC264)/INDEX(clean_historis!$V:$V,$BC264),0)</f>
        <v>0</v>
      </c>
      <c r="BE264">
        <f>IFERROR(INDEX(clean_historis!$AR:$AR,$BC264)/INDEX(clean_historis!$AH:$AH,$BC264),0)</f>
        <v>0</v>
      </c>
      <c r="BF264">
        <f t="shared" si="75"/>
        <v>0</v>
      </c>
      <c r="BG264">
        <f>MAX(IF(INDEX(clean_historis!$CL:$CL,$BC264)=1,2025,0),IF(INDEX(clean_historis!$CK:$CK,$BC264)=1,2024,0),IF(INDEX(clean_historis!$CJ:$CJ,$BC264)=1,2023,0),IF(INDEX(clean_historis!$CI:$CI,$BC264)=1,2022,0),IF(INDEX(clean_historis!$CH:$CH,$BC264)=1,2021,0))</f>
        <v>0</v>
      </c>
      <c r="BH264">
        <f t="shared" si="76"/>
        <v>7.9365082556308253E-2</v>
      </c>
      <c r="BI264">
        <f t="shared" si="77"/>
        <v>29.444445628390362</v>
      </c>
      <c r="BJ264">
        <f t="shared" si="78"/>
        <v>1</v>
      </c>
      <c r="BK264">
        <f t="shared" si="79"/>
        <v>27.376399999999997</v>
      </c>
      <c r="BL264">
        <f t="shared" si="80"/>
        <v>0</v>
      </c>
      <c r="BM264">
        <f t="shared" si="81"/>
        <v>0</v>
      </c>
      <c r="BN264">
        <v>0</v>
      </c>
      <c r="BO264">
        <f t="shared" si="84"/>
        <v>0</v>
      </c>
      <c r="BP264">
        <f t="shared" si="82"/>
        <v>1</v>
      </c>
      <c r="BQ264">
        <f t="shared" si="83"/>
        <v>0</v>
      </c>
    </row>
    <row r="265" spans="1:69" x14ac:dyDescent="0.25">
      <c r="A265">
        <v>264</v>
      </c>
      <c r="B265" t="s">
        <v>1101</v>
      </c>
      <c r="C265" t="s">
        <v>1102</v>
      </c>
      <c r="D265" t="s">
        <v>1103</v>
      </c>
      <c r="E265" t="s">
        <v>1104</v>
      </c>
      <c r="F265" t="s">
        <v>503</v>
      </c>
      <c r="G265">
        <v>2</v>
      </c>
      <c r="H265">
        <v>2</v>
      </c>
      <c r="I265">
        <v>1350</v>
      </c>
      <c r="J265">
        <v>0</v>
      </c>
      <c r="K265">
        <v>0</v>
      </c>
      <c r="L265">
        <v>3564.5</v>
      </c>
      <c r="M265">
        <v>3474.2</v>
      </c>
      <c r="N265">
        <v>3534.9</v>
      </c>
      <c r="O265">
        <v>1060.3</v>
      </c>
      <c r="P265">
        <v>4933.5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0</v>
      </c>
      <c r="X265">
        <v>0</v>
      </c>
      <c r="Y265">
        <v>0.5</v>
      </c>
      <c r="Z265">
        <v>0</v>
      </c>
      <c r="AA265">
        <v>0</v>
      </c>
      <c r="AB265">
        <v>0.5</v>
      </c>
      <c r="AC265">
        <v>0</v>
      </c>
      <c r="AD265">
        <v>0</v>
      </c>
      <c r="AE265">
        <v>0.5</v>
      </c>
      <c r="AF265">
        <v>0</v>
      </c>
      <c r="AG265">
        <v>1</v>
      </c>
      <c r="AH265">
        <v>0</v>
      </c>
      <c r="AI265">
        <v>150</v>
      </c>
      <c r="AJ265">
        <v>0</v>
      </c>
      <c r="AK265">
        <v>0.5</v>
      </c>
      <c r="AL265">
        <v>0</v>
      </c>
      <c r="AM265">
        <v>0</v>
      </c>
      <c r="AN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f t="shared" si="68"/>
        <v>0</v>
      </c>
      <c r="AW265">
        <f t="shared" si="69"/>
        <v>0</v>
      </c>
      <c r="AX265">
        <f t="shared" si="70"/>
        <v>0</v>
      </c>
      <c r="AY265">
        <f t="shared" si="71"/>
        <v>0</v>
      </c>
      <c r="AZ265">
        <f t="shared" si="72"/>
        <v>0</v>
      </c>
      <c r="BA265" t="str">
        <f t="shared" si="73"/>
        <v/>
      </c>
      <c r="BB265">
        <f t="shared" si="74"/>
        <v>1</v>
      </c>
      <c r="BC265">
        <f>MATCH($B265,clean_historis!$B:$B,0)</f>
        <v>265</v>
      </c>
      <c r="BD265">
        <f>IFERROR(INDEX(clean_historis!$AF:$AF,$BC265)/INDEX(clean_historis!$V:$V,$BC265),0)</f>
        <v>0</v>
      </c>
      <c r="BE265">
        <f>IFERROR(INDEX(clean_historis!$AR:$AR,$BC265)/INDEX(clean_historis!$AH:$AH,$BC265),0)</f>
        <v>0</v>
      </c>
      <c r="BF265">
        <f t="shared" si="75"/>
        <v>0</v>
      </c>
      <c r="BG265">
        <f>MAX(IF(INDEX(clean_historis!$CL:$CL,$BC265)=1,2025,0),IF(INDEX(clean_historis!$CK:$CK,$BC265)=1,2024,0),IF(INDEX(clean_historis!$CJ:$CJ,$BC265)=1,2023,0),IF(INDEX(clean_historis!$CI:$CI,$BC265)=1,2022,0),IF(INDEX(clean_historis!$CH:$CH,$BC265)=1,2021,0))</f>
        <v>0</v>
      </c>
      <c r="BH265">
        <f t="shared" si="76"/>
        <v>0</v>
      </c>
      <c r="BI265">
        <f t="shared" si="77"/>
        <v>0</v>
      </c>
      <c r="BJ265">
        <f t="shared" si="78"/>
        <v>1</v>
      </c>
      <c r="BK265">
        <f t="shared" si="79"/>
        <v>15.507099999999998</v>
      </c>
      <c r="BL265">
        <f t="shared" si="80"/>
        <v>0</v>
      </c>
      <c r="BM265">
        <f t="shared" si="81"/>
        <v>0</v>
      </c>
      <c r="BN265">
        <v>0</v>
      </c>
      <c r="BO265">
        <f t="shared" si="84"/>
        <v>1</v>
      </c>
      <c r="BP265">
        <f t="shared" si="82"/>
        <v>0</v>
      </c>
      <c r="BQ265">
        <f t="shared" si="83"/>
        <v>1</v>
      </c>
    </row>
    <row r="266" spans="1:69" x14ac:dyDescent="0.25">
      <c r="A266">
        <v>265</v>
      </c>
      <c r="B266" t="s">
        <v>1105</v>
      </c>
      <c r="C266" t="s">
        <v>1106</v>
      </c>
      <c r="D266" t="s">
        <v>1107</v>
      </c>
      <c r="E266" t="s">
        <v>444</v>
      </c>
      <c r="F266" t="s">
        <v>363</v>
      </c>
      <c r="G266">
        <v>1</v>
      </c>
      <c r="H266">
        <v>1</v>
      </c>
      <c r="I266">
        <v>870</v>
      </c>
      <c r="J266">
        <v>1</v>
      </c>
      <c r="K266">
        <v>0</v>
      </c>
      <c r="L266">
        <v>1337.2</v>
      </c>
      <c r="M266">
        <v>1098.5999999999999</v>
      </c>
      <c r="N266">
        <v>2556.1</v>
      </c>
      <c r="O266">
        <v>657.2</v>
      </c>
      <c r="P266">
        <v>29169.200000000001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0.34</v>
      </c>
      <c r="W266">
        <v>0</v>
      </c>
      <c r="X266">
        <v>0</v>
      </c>
      <c r="Y266">
        <v>0.34000000357627869</v>
      </c>
      <c r="Z266">
        <v>0</v>
      </c>
      <c r="AA266">
        <v>0.34000000357627869</v>
      </c>
      <c r="AB266">
        <v>0</v>
      </c>
      <c r="AC266">
        <v>0</v>
      </c>
      <c r="AD266">
        <v>0</v>
      </c>
      <c r="AE266">
        <v>0.34000000357627869</v>
      </c>
      <c r="AF266">
        <v>0</v>
      </c>
      <c r="AG266">
        <v>1</v>
      </c>
      <c r="AH266">
        <v>0</v>
      </c>
      <c r="AI266">
        <v>150</v>
      </c>
      <c r="AJ266">
        <v>0.34000000357627869</v>
      </c>
      <c r="AK266">
        <v>0</v>
      </c>
      <c r="AL266">
        <v>0</v>
      </c>
      <c r="AM266">
        <v>0</v>
      </c>
      <c r="AN266">
        <v>1</v>
      </c>
      <c r="AO266">
        <v>2</v>
      </c>
      <c r="AP266">
        <v>2024</v>
      </c>
      <c r="AQ266">
        <v>2</v>
      </c>
      <c r="AR266">
        <v>0</v>
      </c>
      <c r="AS266">
        <v>0</v>
      </c>
      <c r="AT266">
        <v>0</v>
      </c>
      <c r="AU266">
        <v>0</v>
      </c>
      <c r="AV266">
        <f t="shared" si="68"/>
        <v>0</v>
      </c>
      <c r="AW266">
        <f t="shared" si="69"/>
        <v>-0.41176470588235298</v>
      </c>
      <c r="AX266">
        <f t="shared" si="70"/>
        <v>0</v>
      </c>
      <c r="AY266">
        <f t="shared" si="71"/>
        <v>0</v>
      </c>
      <c r="AZ266">
        <f t="shared" si="72"/>
        <v>0</v>
      </c>
      <c r="BA266">
        <f t="shared" si="73"/>
        <v>1</v>
      </c>
      <c r="BB266">
        <f t="shared" si="74"/>
        <v>1</v>
      </c>
      <c r="BC266">
        <f>MATCH($B266,clean_historis!$B:$B,0)</f>
        <v>266</v>
      </c>
      <c r="BD266">
        <f>IFERROR(INDEX(clean_historis!$AF:$AF,$BC266)/INDEX(clean_historis!$V:$V,$BC266),0)</f>
        <v>0.41176470588235298</v>
      </c>
      <c r="BE266">
        <f>IFERROR(INDEX(clean_historis!$AR:$AR,$BC266)/INDEX(clean_historis!$AH:$AH,$BC266),0)</f>
        <v>0.41176470588235298</v>
      </c>
      <c r="BF266">
        <f t="shared" si="75"/>
        <v>0</v>
      </c>
      <c r="BG266">
        <f>MAX(IF(INDEX(clean_historis!$CL:$CL,$BC266)=1,2025,0),IF(INDEX(clean_historis!$CK:$CK,$BC266)=1,2024,0),IF(INDEX(clean_historis!$CJ:$CJ,$BC266)=1,2023,0),IF(INDEX(clean_historis!$CI:$CI,$BC266)=1,2022,0),IF(INDEX(clean_historis!$CH:$CH,$BC266)=1,2021,0))</f>
        <v>2024</v>
      </c>
      <c r="BH266">
        <f t="shared" si="76"/>
        <v>0</v>
      </c>
      <c r="BI266">
        <f t="shared" si="77"/>
        <v>0</v>
      </c>
      <c r="BJ266">
        <f t="shared" si="78"/>
        <v>1</v>
      </c>
      <c r="BK266">
        <f t="shared" si="79"/>
        <v>34.161099999999998</v>
      </c>
      <c r="BL266">
        <f t="shared" si="80"/>
        <v>0</v>
      </c>
      <c r="BM266">
        <f t="shared" si="81"/>
        <v>0</v>
      </c>
      <c r="BN266">
        <v>0</v>
      </c>
      <c r="BO266">
        <f t="shared" si="84"/>
        <v>1</v>
      </c>
      <c r="BP266">
        <f t="shared" si="82"/>
        <v>1</v>
      </c>
      <c r="BQ266">
        <f t="shared" si="83"/>
        <v>1</v>
      </c>
    </row>
    <row r="267" spans="1:69" x14ac:dyDescent="0.25">
      <c r="A267">
        <v>266</v>
      </c>
      <c r="B267" t="s">
        <v>1108</v>
      </c>
      <c r="C267" t="s">
        <v>1109</v>
      </c>
      <c r="D267" t="s">
        <v>1110</v>
      </c>
      <c r="E267" t="s">
        <v>705</v>
      </c>
      <c r="F267" t="s">
        <v>100</v>
      </c>
      <c r="G267">
        <v>1</v>
      </c>
      <c r="H267">
        <v>1</v>
      </c>
      <c r="I267">
        <v>3189</v>
      </c>
      <c r="J267">
        <v>0</v>
      </c>
      <c r="K267">
        <v>0</v>
      </c>
      <c r="L267">
        <v>419.6</v>
      </c>
      <c r="M267">
        <v>1094.4000000000001</v>
      </c>
      <c r="N267">
        <v>2197.3000000000002</v>
      </c>
      <c r="O267">
        <v>383.2</v>
      </c>
      <c r="P267">
        <v>334.4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0.52</v>
      </c>
      <c r="W267">
        <v>0</v>
      </c>
      <c r="X267">
        <v>0</v>
      </c>
      <c r="Y267">
        <v>0.51999998092651367</v>
      </c>
      <c r="Z267">
        <v>0</v>
      </c>
      <c r="AA267">
        <v>0</v>
      </c>
      <c r="AB267">
        <v>0.51999998092651367</v>
      </c>
      <c r="AC267">
        <v>0</v>
      </c>
      <c r="AD267">
        <v>0</v>
      </c>
      <c r="AE267">
        <v>0.51999998092651367</v>
      </c>
      <c r="AF267">
        <v>0</v>
      </c>
      <c r="AG267">
        <v>1</v>
      </c>
      <c r="AH267">
        <v>0</v>
      </c>
      <c r="AI267">
        <v>200</v>
      </c>
      <c r="AJ267">
        <v>0</v>
      </c>
      <c r="AK267">
        <v>0.51999998092651367</v>
      </c>
      <c r="AL267">
        <v>0</v>
      </c>
      <c r="AM267">
        <v>0</v>
      </c>
      <c r="AN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f t="shared" si="68"/>
        <v>0</v>
      </c>
      <c r="AW267">
        <f t="shared" si="69"/>
        <v>0</v>
      </c>
      <c r="AX267">
        <f t="shared" si="70"/>
        <v>0</v>
      </c>
      <c r="AY267">
        <f t="shared" si="71"/>
        <v>0</v>
      </c>
      <c r="AZ267">
        <f t="shared" si="72"/>
        <v>0</v>
      </c>
      <c r="BA267" t="str">
        <f t="shared" si="73"/>
        <v/>
      </c>
      <c r="BB267">
        <f t="shared" si="74"/>
        <v>1</v>
      </c>
      <c r="BC267">
        <f>MATCH($B267,clean_historis!$B:$B,0)</f>
        <v>267</v>
      </c>
      <c r="BD267">
        <f>IFERROR(INDEX(clean_historis!$AF:$AF,$BC267)/INDEX(clean_historis!$V:$V,$BC267),0)</f>
        <v>0</v>
      </c>
      <c r="BE267">
        <f>IFERROR(INDEX(clean_historis!$AR:$AR,$BC267)/INDEX(clean_historis!$AH:$AH,$BC267),0)</f>
        <v>0</v>
      </c>
      <c r="BF267">
        <f t="shared" si="75"/>
        <v>0</v>
      </c>
      <c r="BG267">
        <f>MAX(IF(INDEX(clean_historis!$CL:$CL,$BC267)=1,2025,0),IF(INDEX(clean_historis!$CK:$CK,$BC267)=1,2024,0),IF(INDEX(clean_historis!$CJ:$CJ,$BC267)=1,2023,0),IF(INDEX(clean_historis!$CI:$CI,$BC267)=1,2022,0),IF(INDEX(clean_historis!$CH:$CH,$BC267)=1,2021,0))</f>
        <v>0</v>
      </c>
      <c r="BH267">
        <f t="shared" si="76"/>
        <v>0</v>
      </c>
      <c r="BI267">
        <f t="shared" si="77"/>
        <v>0</v>
      </c>
      <c r="BJ267">
        <f t="shared" si="78"/>
        <v>1</v>
      </c>
      <c r="BK267">
        <f t="shared" si="79"/>
        <v>4.0457000000000001</v>
      </c>
      <c r="BL267">
        <f t="shared" si="80"/>
        <v>0</v>
      </c>
      <c r="BM267">
        <f t="shared" si="81"/>
        <v>0</v>
      </c>
      <c r="BN267">
        <v>0</v>
      </c>
      <c r="BO267">
        <f t="shared" si="84"/>
        <v>1</v>
      </c>
      <c r="BP267">
        <f t="shared" si="82"/>
        <v>0</v>
      </c>
      <c r="BQ267">
        <f t="shared" si="83"/>
        <v>1</v>
      </c>
    </row>
    <row r="268" spans="1:69" x14ac:dyDescent="0.25">
      <c r="A268">
        <v>267</v>
      </c>
      <c r="B268" t="s">
        <v>1111</v>
      </c>
      <c r="C268" t="s">
        <v>1112</v>
      </c>
      <c r="D268" t="s">
        <v>1113</v>
      </c>
      <c r="E268" t="s">
        <v>705</v>
      </c>
      <c r="F268" t="s">
        <v>100</v>
      </c>
      <c r="G268">
        <v>1</v>
      </c>
      <c r="H268">
        <v>1</v>
      </c>
      <c r="I268">
        <v>3189</v>
      </c>
      <c r="J268">
        <v>0</v>
      </c>
      <c r="K268">
        <v>0</v>
      </c>
      <c r="L268">
        <v>164.9</v>
      </c>
      <c r="M268">
        <v>839.6</v>
      </c>
      <c r="N268">
        <v>1982.7</v>
      </c>
      <c r="O268">
        <v>618.4</v>
      </c>
      <c r="P268">
        <v>360.8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0.26</v>
      </c>
      <c r="W268">
        <v>0</v>
      </c>
      <c r="X268">
        <v>0</v>
      </c>
      <c r="Y268">
        <v>0.25999999046325678</v>
      </c>
      <c r="Z268">
        <v>0</v>
      </c>
      <c r="AA268">
        <v>0.25999999046325678</v>
      </c>
      <c r="AB268">
        <v>0</v>
      </c>
      <c r="AC268">
        <v>0</v>
      </c>
      <c r="AD268">
        <v>0</v>
      </c>
      <c r="AE268">
        <v>0.25999999046325678</v>
      </c>
      <c r="AF268">
        <v>0</v>
      </c>
      <c r="AG268">
        <v>1</v>
      </c>
      <c r="AH268">
        <v>0</v>
      </c>
      <c r="AI268">
        <v>600</v>
      </c>
      <c r="AJ268">
        <v>0.25999999046325678</v>
      </c>
      <c r="AK268">
        <v>0</v>
      </c>
      <c r="AL268">
        <v>0</v>
      </c>
      <c r="AM268">
        <v>0</v>
      </c>
      <c r="AN268">
        <v>0</v>
      </c>
      <c r="AO268">
        <v>0</v>
      </c>
      <c r="AR268">
        <v>0</v>
      </c>
      <c r="AS268">
        <v>0</v>
      </c>
      <c r="AT268">
        <v>0</v>
      </c>
      <c r="AU268">
        <v>0</v>
      </c>
      <c r="AV268">
        <f t="shared" si="68"/>
        <v>0</v>
      </c>
      <c r="AW268">
        <f t="shared" si="69"/>
        <v>0</v>
      </c>
      <c r="AX268">
        <f t="shared" si="70"/>
        <v>0</v>
      </c>
      <c r="AY268">
        <f t="shared" si="71"/>
        <v>0</v>
      </c>
      <c r="AZ268">
        <f t="shared" si="72"/>
        <v>0</v>
      </c>
      <c r="BA268" t="str">
        <f t="shared" si="73"/>
        <v/>
      </c>
      <c r="BB268">
        <f t="shared" si="74"/>
        <v>1</v>
      </c>
      <c r="BC268">
        <f>MATCH($B268,clean_historis!$B:$B,0)</f>
        <v>268</v>
      </c>
      <c r="BD268">
        <f>IFERROR(INDEX(clean_historis!$AF:$AF,$BC268)/INDEX(clean_historis!$V:$V,$BC268),0)</f>
        <v>0</v>
      </c>
      <c r="BE268">
        <f>IFERROR(INDEX(clean_historis!$AR:$AR,$BC268)/INDEX(clean_historis!$AH:$AH,$BC268),0)</f>
        <v>0</v>
      </c>
      <c r="BF268">
        <f t="shared" si="75"/>
        <v>0</v>
      </c>
      <c r="BG268">
        <f>MAX(IF(INDEX(clean_historis!$CL:$CL,$BC268)=1,2025,0),IF(INDEX(clean_historis!$CK:$CK,$BC268)=1,2024,0),IF(INDEX(clean_historis!$CJ:$CJ,$BC268)=1,2023,0),IF(INDEX(clean_historis!$CI:$CI,$BC268)=1,2022,0),IF(INDEX(clean_historis!$CH:$CH,$BC268)=1,2021,0))</f>
        <v>0</v>
      </c>
      <c r="BH268">
        <f t="shared" si="76"/>
        <v>0</v>
      </c>
      <c r="BI268">
        <f t="shared" si="77"/>
        <v>0</v>
      </c>
      <c r="BJ268">
        <f t="shared" si="78"/>
        <v>1</v>
      </c>
      <c r="BK268">
        <f t="shared" si="79"/>
        <v>3.3479999999999999</v>
      </c>
      <c r="BL268">
        <f t="shared" si="80"/>
        <v>0</v>
      </c>
      <c r="BM268">
        <f t="shared" si="81"/>
        <v>0</v>
      </c>
      <c r="BN268">
        <v>1</v>
      </c>
      <c r="BO268">
        <f t="shared" si="84"/>
        <v>1</v>
      </c>
      <c r="BP268">
        <f t="shared" si="82"/>
        <v>0</v>
      </c>
      <c r="BQ268">
        <f t="shared" si="83"/>
        <v>1</v>
      </c>
    </row>
    <row r="269" spans="1:69" x14ac:dyDescent="0.25">
      <c r="A269">
        <v>268</v>
      </c>
      <c r="B269" t="s">
        <v>1114</v>
      </c>
      <c r="C269" t="s">
        <v>1115</v>
      </c>
      <c r="D269" t="s">
        <v>1116</v>
      </c>
      <c r="E269" t="s">
        <v>1117</v>
      </c>
      <c r="F269" t="s">
        <v>100</v>
      </c>
      <c r="G269">
        <v>2</v>
      </c>
      <c r="H269">
        <v>1</v>
      </c>
      <c r="I269">
        <v>1568</v>
      </c>
      <c r="J269">
        <v>0</v>
      </c>
      <c r="K269">
        <v>0</v>
      </c>
      <c r="L269">
        <v>1340.4</v>
      </c>
      <c r="M269">
        <v>1490.5</v>
      </c>
      <c r="N269">
        <v>942.9</v>
      </c>
      <c r="O269">
        <v>32.6</v>
      </c>
      <c r="P269">
        <v>3162.2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1.57</v>
      </c>
      <c r="W269">
        <v>0</v>
      </c>
      <c r="X269">
        <v>0</v>
      </c>
      <c r="Y269">
        <v>1.570000052452087</v>
      </c>
      <c r="Z269">
        <v>0</v>
      </c>
      <c r="AA269">
        <v>0.40000000596046448</v>
      </c>
      <c r="AB269">
        <v>1.070000052452087</v>
      </c>
      <c r="AC269">
        <v>0.10000000149011611</v>
      </c>
      <c r="AD269">
        <v>0</v>
      </c>
      <c r="AE269">
        <v>1.4700000584125521</v>
      </c>
      <c r="AF269">
        <v>0.10000000149011611</v>
      </c>
      <c r="AG269">
        <v>0.93630573396518491</v>
      </c>
      <c r="AH269">
        <v>6.3694266034815067E-2</v>
      </c>
      <c r="AI269">
        <v>150</v>
      </c>
      <c r="AJ269">
        <v>0.40000000596046448</v>
      </c>
      <c r="AK269">
        <v>1.070000052452087</v>
      </c>
      <c r="AL269">
        <v>0.10000000149011611</v>
      </c>
      <c r="AM269">
        <v>0</v>
      </c>
      <c r="AN269">
        <v>1</v>
      </c>
      <c r="AO269">
        <v>2</v>
      </c>
      <c r="AP269">
        <v>2024</v>
      </c>
      <c r="AQ269">
        <v>2</v>
      </c>
      <c r="AR269">
        <v>0</v>
      </c>
      <c r="AS269">
        <v>0</v>
      </c>
      <c r="AT269">
        <v>0</v>
      </c>
      <c r="AU269">
        <v>0</v>
      </c>
      <c r="AV269">
        <f t="shared" si="68"/>
        <v>0</v>
      </c>
      <c r="AW269">
        <f t="shared" si="69"/>
        <v>0</v>
      </c>
      <c r="AX269">
        <f t="shared" si="70"/>
        <v>0</v>
      </c>
      <c r="AY269">
        <f t="shared" si="71"/>
        <v>0</v>
      </c>
      <c r="AZ269">
        <f t="shared" si="72"/>
        <v>0</v>
      </c>
      <c r="BA269">
        <f t="shared" si="73"/>
        <v>1</v>
      </c>
      <c r="BB269">
        <f t="shared" si="74"/>
        <v>0.93630573396518491</v>
      </c>
      <c r="BC269">
        <f>MATCH($B269,clean_historis!$B:$B,0)</f>
        <v>269</v>
      </c>
      <c r="BD269">
        <f>IFERROR(INDEX(clean_historis!$AF:$AF,$BC269)/INDEX(clean_historis!$V:$V,$BC269),0)</f>
        <v>0</v>
      </c>
      <c r="BE269">
        <f>IFERROR(INDEX(clean_historis!$AR:$AR,$BC269)/INDEX(clean_historis!$AH:$AH,$BC269),0)</f>
        <v>0</v>
      </c>
      <c r="BF269">
        <f t="shared" si="75"/>
        <v>0</v>
      </c>
      <c r="BG269">
        <f>MAX(IF(INDEX(clean_historis!$CL:$CL,$BC269)=1,2025,0),IF(INDEX(clean_historis!$CK:$CK,$BC269)=1,2024,0),IF(INDEX(clean_historis!$CJ:$CJ,$BC269)=1,2023,0),IF(INDEX(clean_historis!$CI:$CI,$BC269)=1,2022,0),IF(INDEX(clean_historis!$CH:$CH,$BC269)=1,2021,0))</f>
        <v>2024</v>
      </c>
      <c r="BH269">
        <f t="shared" si="76"/>
        <v>6.3694266034815095E-2</v>
      </c>
      <c r="BI269">
        <f t="shared" si="77"/>
        <v>99.872609142590065</v>
      </c>
      <c r="BJ269">
        <f t="shared" si="78"/>
        <v>1</v>
      </c>
      <c r="BK269">
        <f t="shared" si="79"/>
        <v>6.9359999999999999</v>
      </c>
      <c r="BL269">
        <f t="shared" si="80"/>
        <v>0</v>
      </c>
      <c r="BM269">
        <f t="shared" si="81"/>
        <v>0</v>
      </c>
      <c r="BN269">
        <v>0</v>
      </c>
      <c r="BO269">
        <f t="shared" si="84"/>
        <v>0</v>
      </c>
      <c r="BP269">
        <f t="shared" si="82"/>
        <v>1</v>
      </c>
      <c r="BQ269">
        <f t="shared" si="83"/>
        <v>0</v>
      </c>
    </row>
    <row r="270" spans="1:69" x14ac:dyDescent="0.25">
      <c r="A270">
        <v>269</v>
      </c>
      <c r="B270" t="s">
        <v>1118</v>
      </c>
      <c r="C270" t="s">
        <v>1119</v>
      </c>
      <c r="D270" t="s">
        <v>1120</v>
      </c>
      <c r="E270" t="s">
        <v>1121</v>
      </c>
      <c r="F270" t="s">
        <v>503</v>
      </c>
      <c r="G270">
        <v>7</v>
      </c>
      <c r="H270">
        <v>2</v>
      </c>
      <c r="I270">
        <v>2253</v>
      </c>
      <c r="J270">
        <v>0</v>
      </c>
      <c r="K270">
        <v>0</v>
      </c>
      <c r="L270">
        <v>3775.4</v>
      </c>
      <c r="M270">
        <v>3580.5</v>
      </c>
      <c r="N270">
        <v>10517.7</v>
      </c>
      <c r="O270">
        <v>349.1</v>
      </c>
      <c r="P270">
        <v>8013.7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3.77</v>
      </c>
      <c r="W270">
        <v>0</v>
      </c>
      <c r="X270">
        <v>0</v>
      </c>
      <c r="Y270">
        <v>3.7699999809265141</v>
      </c>
      <c r="Z270">
        <v>0</v>
      </c>
      <c r="AA270">
        <v>0</v>
      </c>
      <c r="AB270">
        <v>2.5699999332427979</v>
      </c>
      <c r="AC270">
        <v>1.1000000238418579</v>
      </c>
      <c r="AD270">
        <v>0.10000000149011611</v>
      </c>
      <c r="AE270">
        <v>2.5699999332427979</v>
      </c>
      <c r="AF270">
        <v>1.200000025331974</v>
      </c>
      <c r="AG270">
        <v>0.68169760251519274</v>
      </c>
      <c r="AH270">
        <v>0.31830239748480732</v>
      </c>
      <c r="AI270">
        <v>150</v>
      </c>
      <c r="AJ270">
        <v>0</v>
      </c>
      <c r="AK270">
        <v>2.5699999332427979</v>
      </c>
      <c r="AL270">
        <v>1.1000000238418579</v>
      </c>
      <c r="AM270">
        <v>0.10000000149011611</v>
      </c>
      <c r="AN270">
        <v>0</v>
      </c>
      <c r="AO270">
        <v>0</v>
      </c>
      <c r="AR270">
        <v>0</v>
      </c>
      <c r="AS270">
        <v>0</v>
      </c>
      <c r="AT270">
        <v>0</v>
      </c>
      <c r="AU270">
        <v>1</v>
      </c>
      <c r="AV270">
        <f t="shared" si="68"/>
        <v>7.9575596816976124E-2</v>
      </c>
      <c r="AW270">
        <f t="shared" si="69"/>
        <v>-5.3050397482727815E-2</v>
      </c>
      <c r="AX270">
        <f t="shared" si="70"/>
        <v>59.761274100061435</v>
      </c>
      <c r="AY270">
        <f t="shared" si="71"/>
        <v>0</v>
      </c>
      <c r="AZ270">
        <f t="shared" si="72"/>
        <v>0.10000000149011611</v>
      </c>
      <c r="BA270" t="str">
        <f t="shared" si="73"/>
        <v/>
      </c>
      <c r="BB270">
        <f t="shared" si="74"/>
        <v>0.68169760251519274</v>
      </c>
      <c r="BC270">
        <f>MATCH($B270,clean_historis!$B:$B,0)</f>
        <v>270</v>
      </c>
      <c r="BD270">
        <f>IFERROR(INDEX(clean_historis!$AF:$AF,$BC270)/INDEX(clean_historis!$V:$V,$BC270),0)</f>
        <v>0</v>
      </c>
      <c r="BE270">
        <f>IFERROR(INDEX(clean_historis!$AR:$AR,$BC270)/INDEX(clean_historis!$AH:$AH,$BC270),0)</f>
        <v>7.9575596816976124E-2</v>
      </c>
      <c r="BF270">
        <f t="shared" si="75"/>
        <v>2.6525199334248305E-2</v>
      </c>
      <c r="BG270">
        <f>MAX(IF(INDEX(clean_historis!$CL:$CL,$BC270)=1,2025,0),IF(INDEX(clean_historis!$CK:$CK,$BC270)=1,2024,0),IF(INDEX(clean_historis!$CJ:$CJ,$BC270)=1,2023,0),IF(INDEX(clean_historis!$CI:$CI,$BC270)=1,2022,0),IF(INDEX(clean_historis!$CH:$CH,$BC270)=1,2021,0))</f>
        <v>0</v>
      </c>
      <c r="BH270">
        <f t="shared" si="76"/>
        <v>0.31830239748480726</v>
      </c>
      <c r="BI270">
        <f t="shared" si="77"/>
        <v>717.13530153327076</v>
      </c>
      <c r="BJ270">
        <f t="shared" si="78"/>
        <v>0</v>
      </c>
      <c r="BK270">
        <f t="shared" si="79"/>
        <v>25.887300000000003</v>
      </c>
      <c r="BL270">
        <f t="shared" si="80"/>
        <v>0</v>
      </c>
      <c r="BM270">
        <f t="shared" si="81"/>
        <v>0</v>
      </c>
      <c r="BN270">
        <v>1</v>
      </c>
      <c r="BO270">
        <f t="shared" si="84"/>
        <v>0</v>
      </c>
      <c r="BP270">
        <f t="shared" si="82"/>
        <v>0</v>
      </c>
      <c r="BQ270">
        <f t="shared" si="83"/>
        <v>0</v>
      </c>
    </row>
    <row r="271" spans="1:69" x14ac:dyDescent="0.25">
      <c r="A271">
        <v>270</v>
      </c>
      <c r="B271" t="s">
        <v>1122</v>
      </c>
      <c r="C271" t="s">
        <v>1123</v>
      </c>
      <c r="D271" t="s">
        <v>1124</v>
      </c>
      <c r="E271" t="s">
        <v>1125</v>
      </c>
      <c r="F271" t="s">
        <v>213</v>
      </c>
      <c r="G271">
        <v>2</v>
      </c>
      <c r="H271">
        <v>2</v>
      </c>
      <c r="I271">
        <v>1446</v>
      </c>
      <c r="J271">
        <v>0</v>
      </c>
      <c r="K271">
        <v>1</v>
      </c>
      <c r="L271">
        <v>1963.7</v>
      </c>
      <c r="M271">
        <v>1063.7</v>
      </c>
      <c r="N271">
        <v>5025.1000000000004</v>
      </c>
      <c r="O271">
        <v>295.8</v>
      </c>
      <c r="P271">
        <v>8261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0.55000000000000004</v>
      </c>
      <c r="W271">
        <v>0</v>
      </c>
      <c r="X271">
        <v>0</v>
      </c>
      <c r="Y271">
        <v>0.40000000596046448</v>
      </c>
      <c r="Z271">
        <v>0</v>
      </c>
      <c r="AA271">
        <v>0.10000000149011611</v>
      </c>
      <c r="AB271">
        <v>0.20000000298023221</v>
      </c>
      <c r="AC271">
        <v>0.10000000149011611</v>
      </c>
      <c r="AD271">
        <v>0</v>
      </c>
      <c r="AE271">
        <v>0.30000000447034841</v>
      </c>
      <c r="AF271">
        <v>0.10000000149011611</v>
      </c>
      <c r="AG271">
        <v>0.75</v>
      </c>
      <c r="AH271">
        <v>0.25</v>
      </c>
      <c r="AI271">
        <v>150</v>
      </c>
      <c r="AJ271">
        <v>0.10000000149011611</v>
      </c>
      <c r="AK271">
        <v>0.20000000298023221</v>
      </c>
      <c r="AL271">
        <v>0.10000000149011611</v>
      </c>
      <c r="AM271">
        <v>0</v>
      </c>
      <c r="AN271">
        <v>1</v>
      </c>
      <c r="AO271">
        <v>1</v>
      </c>
      <c r="AP271">
        <v>2024</v>
      </c>
      <c r="AQ271">
        <v>2</v>
      </c>
      <c r="AR271">
        <v>0</v>
      </c>
      <c r="AS271">
        <v>0</v>
      </c>
      <c r="AT271">
        <v>0</v>
      </c>
      <c r="AU271">
        <v>0</v>
      </c>
      <c r="AV271">
        <f t="shared" si="68"/>
        <v>0</v>
      </c>
      <c r="AW271">
        <f t="shared" si="69"/>
        <v>-0.27272727272727271</v>
      </c>
      <c r="AX271">
        <f t="shared" si="70"/>
        <v>0</v>
      </c>
      <c r="AY271">
        <f t="shared" si="71"/>
        <v>0</v>
      </c>
      <c r="AZ271">
        <f t="shared" si="72"/>
        <v>0</v>
      </c>
      <c r="BA271" t="str">
        <f t="shared" si="73"/>
        <v/>
      </c>
      <c r="BB271">
        <f t="shared" si="74"/>
        <v>0.75</v>
      </c>
      <c r="BC271">
        <f>MATCH($B271,clean_historis!$B:$B,0)</f>
        <v>271</v>
      </c>
      <c r="BD271">
        <f>IFERROR(INDEX(clean_historis!$AF:$AF,$BC271)/INDEX(clean_historis!$V:$V,$BC271),0)</f>
        <v>0.27272727272727271</v>
      </c>
      <c r="BE271">
        <f>IFERROR(INDEX(clean_historis!$AR:$AR,$BC271)/INDEX(clean_historis!$AH:$AH,$BC271),0)</f>
        <v>0.27272727272727271</v>
      </c>
      <c r="BF271">
        <f t="shared" si="75"/>
        <v>0</v>
      </c>
      <c r="BG271">
        <f>MAX(IF(INDEX(clean_historis!$CL:$CL,$BC271)=1,2025,0),IF(INDEX(clean_historis!$CK:$CK,$BC271)=1,2024,0),IF(INDEX(clean_historis!$CJ:$CJ,$BC271)=1,2023,0),IF(INDEX(clean_historis!$CI:$CI,$BC271)=1,2022,0),IF(INDEX(clean_historis!$CH:$CH,$BC271)=1,2021,0))</f>
        <v>0</v>
      </c>
      <c r="BH271">
        <f t="shared" si="76"/>
        <v>0.25</v>
      </c>
      <c r="BI271">
        <f t="shared" si="77"/>
        <v>361.5</v>
      </c>
      <c r="BJ271">
        <f t="shared" si="78"/>
        <v>1</v>
      </c>
      <c r="BK271">
        <f t="shared" si="79"/>
        <v>16.313500000000001</v>
      </c>
      <c r="BL271">
        <f t="shared" si="80"/>
        <v>0</v>
      </c>
      <c r="BM271">
        <f t="shared" si="81"/>
        <v>0</v>
      </c>
      <c r="BN271">
        <v>0</v>
      </c>
      <c r="BO271">
        <f t="shared" si="84"/>
        <v>1</v>
      </c>
      <c r="BP271">
        <f t="shared" si="82"/>
        <v>1</v>
      </c>
      <c r="BQ271">
        <f t="shared" si="83"/>
        <v>1</v>
      </c>
    </row>
    <row r="272" spans="1:69" x14ac:dyDescent="0.25">
      <c r="A272">
        <v>271</v>
      </c>
      <c r="B272" t="s">
        <v>1126</v>
      </c>
      <c r="C272" t="s">
        <v>1127</v>
      </c>
      <c r="D272" t="s">
        <v>1128</v>
      </c>
      <c r="E272" t="s">
        <v>289</v>
      </c>
      <c r="F272" t="s">
        <v>176</v>
      </c>
      <c r="G272">
        <v>2</v>
      </c>
      <c r="H272">
        <v>1</v>
      </c>
      <c r="I272">
        <v>459</v>
      </c>
      <c r="J272">
        <v>0</v>
      </c>
      <c r="K272">
        <v>0</v>
      </c>
      <c r="L272">
        <v>13352.3</v>
      </c>
      <c r="M272">
        <v>12599.8</v>
      </c>
      <c r="N272">
        <v>14761.3</v>
      </c>
      <c r="O272">
        <v>4179</v>
      </c>
      <c r="P272">
        <v>1385.5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2.37</v>
      </c>
      <c r="W272">
        <v>0</v>
      </c>
      <c r="X272">
        <v>0</v>
      </c>
      <c r="Y272">
        <v>2.369999885559082</v>
      </c>
      <c r="Z272">
        <v>0</v>
      </c>
      <c r="AA272">
        <v>0</v>
      </c>
      <c r="AB272">
        <v>0.56999999284744263</v>
      </c>
      <c r="AC272">
        <v>1.799999952316284</v>
      </c>
      <c r="AD272">
        <v>0</v>
      </c>
      <c r="AE272">
        <v>0.56999999284744263</v>
      </c>
      <c r="AF272">
        <v>1.799999952316284</v>
      </c>
      <c r="AG272">
        <v>0.24050633166072299</v>
      </c>
      <c r="AH272">
        <v>0.75949366833927701</v>
      </c>
      <c r="AI272">
        <v>150</v>
      </c>
      <c r="AJ272">
        <v>0</v>
      </c>
      <c r="AK272">
        <v>0.56999999284744263</v>
      </c>
      <c r="AL272">
        <v>1.799999952316284</v>
      </c>
      <c r="AM272">
        <v>0</v>
      </c>
      <c r="AN272">
        <v>1</v>
      </c>
      <c r="AO272">
        <v>2</v>
      </c>
      <c r="AP272">
        <v>2024</v>
      </c>
      <c r="AQ272">
        <v>2</v>
      </c>
      <c r="AR272">
        <v>0</v>
      </c>
      <c r="AS272">
        <v>0</v>
      </c>
      <c r="AT272">
        <v>0</v>
      </c>
      <c r="AU272">
        <v>0</v>
      </c>
      <c r="AV272">
        <f t="shared" si="68"/>
        <v>0</v>
      </c>
      <c r="AW272">
        <f t="shared" si="69"/>
        <v>0</v>
      </c>
      <c r="AX272">
        <f t="shared" si="70"/>
        <v>0</v>
      </c>
      <c r="AY272">
        <f t="shared" si="71"/>
        <v>0</v>
      </c>
      <c r="AZ272">
        <f t="shared" si="72"/>
        <v>0</v>
      </c>
      <c r="BA272" t="str">
        <f t="shared" si="73"/>
        <v/>
      </c>
      <c r="BB272">
        <f t="shared" si="74"/>
        <v>0.24050633166072299</v>
      </c>
      <c r="BC272">
        <f>MATCH($B272,clean_historis!$B:$B,0)</f>
        <v>272</v>
      </c>
      <c r="BD272">
        <f>IFERROR(INDEX(clean_historis!$AF:$AF,$BC272)/INDEX(clean_historis!$V:$V,$BC272),0)</f>
        <v>0</v>
      </c>
      <c r="BE272">
        <f>IFERROR(INDEX(clean_historis!$AR:$AR,$BC272)/INDEX(clean_historis!$AH:$AH,$BC272),0)</f>
        <v>0</v>
      </c>
      <c r="BF272">
        <f t="shared" si="75"/>
        <v>0</v>
      </c>
      <c r="BG272">
        <f>MAX(IF(INDEX(clean_historis!$CL:$CL,$BC272)=1,2025,0),IF(INDEX(clean_historis!$CK:$CK,$BC272)=1,2024,0),IF(INDEX(clean_historis!$CJ:$CJ,$BC272)=1,2023,0),IF(INDEX(clean_historis!$CI:$CI,$BC272)=1,2022,0),IF(INDEX(clean_historis!$CH:$CH,$BC272)=1,2021,0))</f>
        <v>0</v>
      </c>
      <c r="BH272">
        <f t="shared" si="76"/>
        <v>0.75949366833927701</v>
      </c>
      <c r="BI272">
        <f t="shared" si="77"/>
        <v>348.60759376772813</v>
      </c>
      <c r="BJ272">
        <f t="shared" si="78"/>
        <v>1</v>
      </c>
      <c r="BK272">
        <f t="shared" si="79"/>
        <v>42.098899999999993</v>
      </c>
      <c r="BL272">
        <f t="shared" si="80"/>
        <v>0</v>
      </c>
      <c r="BM272">
        <f t="shared" si="81"/>
        <v>0</v>
      </c>
      <c r="BN272">
        <v>1</v>
      </c>
      <c r="BO272">
        <f t="shared" si="84"/>
        <v>0</v>
      </c>
      <c r="BP272">
        <f t="shared" si="82"/>
        <v>1</v>
      </c>
      <c r="BQ272">
        <f t="shared" si="83"/>
        <v>1</v>
      </c>
    </row>
    <row r="273" spans="1:69" x14ac:dyDescent="0.25">
      <c r="A273">
        <v>272</v>
      </c>
      <c r="B273" t="s">
        <v>1129</v>
      </c>
      <c r="C273" t="s">
        <v>1130</v>
      </c>
      <c r="D273" t="s">
        <v>1131</v>
      </c>
      <c r="E273" t="s">
        <v>1132</v>
      </c>
      <c r="F273" t="s">
        <v>100</v>
      </c>
      <c r="G273">
        <v>2</v>
      </c>
      <c r="H273">
        <v>1</v>
      </c>
      <c r="I273">
        <v>1355</v>
      </c>
      <c r="J273">
        <v>1</v>
      </c>
      <c r="K273">
        <v>0</v>
      </c>
      <c r="L273">
        <v>13680.7</v>
      </c>
      <c r="M273">
        <v>12928.1</v>
      </c>
      <c r="N273">
        <v>15089.6</v>
      </c>
      <c r="O273">
        <v>4507.3</v>
      </c>
      <c r="P273">
        <v>17300.3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8.1</v>
      </c>
      <c r="W273">
        <v>0</v>
      </c>
      <c r="X273">
        <v>0</v>
      </c>
      <c r="Y273">
        <v>2.2000000476837158</v>
      </c>
      <c r="Z273">
        <v>0</v>
      </c>
      <c r="AA273">
        <v>0</v>
      </c>
      <c r="AB273">
        <v>2.2000000476837158</v>
      </c>
      <c r="AC273">
        <v>0</v>
      </c>
      <c r="AD273">
        <v>0</v>
      </c>
      <c r="AE273">
        <v>2.2000000476837158</v>
      </c>
      <c r="AF273">
        <v>0</v>
      </c>
      <c r="AG273">
        <v>1</v>
      </c>
      <c r="AH273">
        <v>0</v>
      </c>
      <c r="AI273">
        <v>150</v>
      </c>
      <c r="AJ273">
        <v>0</v>
      </c>
      <c r="AK273">
        <v>2.2000000476837158</v>
      </c>
      <c r="AL273">
        <v>0</v>
      </c>
      <c r="AM273">
        <v>0</v>
      </c>
      <c r="AN273">
        <v>1</v>
      </c>
      <c r="AO273">
        <v>3</v>
      </c>
      <c r="AP273">
        <v>2023</v>
      </c>
      <c r="AQ273">
        <v>3</v>
      </c>
      <c r="AR273">
        <v>0</v>
      </c>
      <c r="AS273">
        <v>0</v>
      </c>
      <c r="AT273">
        <v>0</v>
      </c>
      <c r="AU273">
        <v>0</v>
      </c>
      <c r="AV273">
        <f t="shared" si="68"/>
        <v>1.2345679012344957E-2</v>
      </c>
      <c r="AW273">
        <f t="shared" si="69"/>
        <v>-0.74074074074074014</v>
      </c>
      <c r="AX273">
        <f t="shared" si="70"/>
        <v>0</v>
      </c>
      <c r="AY273">
        <f t="shared" si="71"/>
        <v>0</v>
      </c>
      <c r="AZ273">
        <f t="shared" si="72"/>
        <v>0</v>
      </c>
      <c r="BA273" t="str">
        <f t="shared" si="73"/>
        <v/>
      </c>
      <c r="BB273">
        <f t="shared" si="74"/>
        <v>1</v>
      </c>
      <c r="BC273">
        <f>MATCH($B273,clean_historis!$B:$B,0)</f>
        <v>273</v>
      </c>
      <c r="BD273">
        <f>IFERROR(INDEX(clean_historis!$AF:$AF,$BC273)/INDEX(clean_historis!$V:$V,$BC273),0)</f>
        <v>0.72839506172839519</v>
      </c>
      <c r="BE273">
        <f>IFERROR(INDEX(clean_historis!$AR:$AR,$BC273)/INDEX(clean_historis!$AH:$AH,$BC273),0)</f>
        <v>0.74074074074074014</v>
      </c>
      <c r="BF273">
        <f t="shared" si="75"/>
        <v>0</v>
      </c>
      <c r="BG273">
        <f>MAX(IF(INDEX(clean_historis!$CL:$CL,$BC273)=1,2025,0),IF(INDEX(clean_historis!$CK:$CK,$BC273)=1,2024,0),IF(INDEX(clean_historis!$CJ:$CJ,$BC273)=1,2023,0),IF(INDEX(clean_historis!$CI:$CI,$BC273)=1,2022,0),IF(INDEX(clean_historis!$CH:$CH,$BC273)=1,2021,0))</f>
        <v>0</v>
      </c>
      <c r="BH273">
        <f t="shared" si="76"/>
        <v>0</v>
      </c>
      <c r="BI273">
        <f t="shared" si="77"/>
        <v>0</v>
      </c>
      <c r="BJ273">
        <f t="shared" si="78"/>
        <v>0</v>
      </c>
      <c r="BK273">
        <f t="shared" si="79"/>
        <v>58.998699999999999</v>
      </c>
      <c r="BL273">
        <f t="shared" si="80"/>
        <v>0</v>
      </c>
      <c r="BM273">
        <f t="shared" si="81"/>
        <v>0</v>
      </c>
      <c r="BN273">
        <v>0</v>
      </c>
      <c r="BO273">
        <f t="shared" si="84"/>
        <v>0</v>
      </c>
      <c r="BP273">
        <f t="shared" si="82"/>
        <v>1</v>
      </c>
      <c r="BQ273">
        <f t="shared" si="83"/>
        <v>0</v>
      </c>
    </row>
    <row r="274" spans="1:69" x14ac:dyDescent="0.25">
      <c r="A274">
        <v>273</v>
      </c>
      <c r="B274" t="s">
        <v>1133</v>
      </c>
      <c r="C274" t="s">
        <v>1134</v>
      </c>
      <c r="D274" t="s">
        <v>1135</v>
      </c>
      <c r="E274" t="s">
        <v>1132</v>
      </c>
      <c r="F274" t="s">
        <v>100</v>
      </c>
      <c r="G274">
        <v>2</v>
      </c>
      <c r="H274">
        <v>1</v>
      </c>
      <c r="I274">
        <v>1355</v>
      </c>
      <c r="J274">
        <v>1</v>
      </c>
      <c r="K274">
        <v>0</v>
      </c>
      <c r="L274">
        <v>1469.3</v>
      </c>
      <c r="M274">
        <v>1438.6</v>
      </c>
      <c r="N274">
        <v>6341.9</v>
      </c>
      <c r="O274">
        <v>1137.4000000000001</v>
      </c>
      <c r="P274">
        <v>10988.7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8.19</v>
      </c>
      <c r="W274">
        <v>0</v>
      </c>
      <c r="X274">
        <v>0</v>
      </c>
      <c r="Y274">
        <v>1.6000000238418579</v>
      </c>
      <c r="Z274">
        <v>0</v>
      </c>
      <c r="AA274">
        <v>0</v>
      </c>
      <c r="AB274">
        <v>1.6000000238418579</v>
      </c>
      <c r="AC274">
        <v>0</v>
      </c>
      <c r="AD274">
        <v>0</v>
      </c>
      <c r="AE274">
        <v>1.6000000238418579</v>
      </c>
      <c r="AF274">
        <v>0</v>
      </c>
      <c r="AG274">
        <v>1</v>
      </c>
      <c r="AH274">
        <v>0</v>
      </c>
      <c r="AI274">
        <v>150</v>
      </c>
      <c r="AJ274">
        <v>0</v>
      </c>
      <c r="AK274">
        <v>1.6000000238418579</v>
      </c>
      <c r="AL274">
        <v>0</v>
      </c>
      <c r="AM274">
        <v>0</v>
      </c>
      <c r="AN274">
        <v>1</v>
      </c>
      <c r="AO274">
        <v>2</v>
      </c>
      <c r="AP274">
        <v>2024</v>
      </c>
      <c r="AQ274">
        <v>2</v>
      </c>
      <c r="AR274">
        <v>0</v>
      </c>
      <c r="AS274">
        <v>0</v>
      </c>
      <c r="AT274">
        <v>0</v>
      </c>
      <c r="AU274">
        <v>1</v>
      </c>
      <c r="AV274">
        <f t="shared" si="68"/>
        <v>-8.8817841970012523E-16</v>
      </c>
      <c r="AW274">
        <f t="shared" si="69"/>
        <v>-0.80463980463980378</v>
      </c>
      <c r="AX274">
        <f t="shared" si="70"/>
        <v>0</v>
      </c>
      <c r="AY274">
        <f t="shared" si="71"/>
        <v>0</v>
      </c>
      <c r="AZ274">
        <f t="shared" si="72"/>
        <v>0</v>
      </c>
      <c r="BA274">
        <f t="shared" si="73"/>
        <v>1</v>
      </c>
      <c r="BB274">
        <f t="shared" si="74"/>
        <v>1</v>
      </c>
      <c r="BC274">
        <f>MATCH($B274,clean_historis!$B:$B,0)</f>
        <v>274</v>
      </c>
      <c r="BD274">
        <f>IFERROR(INDEX(clean_historis!$AF:$AF,$BC274)/INDEX(clean_historis!$V:$V,$BC274),0)</f>
        <v>0.80463980463980467</v>
      </c>
      <c r="BE274">
        <f>IFERROR(INDEX(clean_historis!$AR:$AR,$BC274)/INDEX(clean_historis!$AH:$AH,$BC274),0)</f>
        <v>0.80463980463980378</v>
      </c>
      <c r="BF274">
        <f t="shared" si="75"/>
        <v>0</v>
      </c>
      <c r="BG274">
        <f>MAX(IF(INDEX(clean_historis!$CL:$CL,$BC274)=1,2025,0),IF(INDEX(clean_historis!$CK:$CK,$BC274)=1,2024,0),IF(INDEX(clean_historis!$CJ:$CJ,$BC274)=1,2023,0),IF(INDEX(clean_historis!$CI:$CI,$BC274)=1,2022,0),IF(INDEX(clean_historis!$CH:$CH,$BC274)=1,2021,0))</f>
        <v>2024</v>
      </c>
      <c r="BH274">
        <f t="shared" si="76"/>
        <v>0</v>
      </c>
      <c r="BI274">
        <f t="shared" si="77"/>
        <v>0</v>
      </c>
      <c r="BJ274">
        <f t="shared" si="78"/>
        <v>1</v>
      </c>
      <c r="BK274">
        <f t="shared" si="79"/>
        <v>20.238499999999998</v>
      </c>
      <c r="BL274">
        <f t="shared" si="80"/>
        <v>0</v>
      </c>
      <c r="BM274">
        <f t="shared" si="81"/>
        <v>0</v>
      </c>
      <c r="BN274">
        <v>0</v>
      </c>
      <c r="BO274">
        <f t="shared" si="84"/>
        <v>0</v>
      </c>
      <c r="BP274">
        <f t="shared" si="82"/>
        <v>1</v>
      </c>
      <c r="BQ274">
        <f t="shared" si="83"/>
        <v>0</v>
      </c>
    </row>
    <row r="275" spans="1:69" x14ac:dyDescent="0.25">
      <c r="A275">
        <v>274</v>
      </c>
      <c r="B275" t="s">
        <v>1136</v>
      </c>
      <c r="C275" t="s">
        <v>1137</v>
      </c>
      <c r="D275" t="s">
        <v>1138</v>
      </c>
      <c r="E275" t="s">
        <v>1139</v>
      </c>
      <c r="F275" t="s">
        <v>208</v>
      </c>
      <c r="G275">
        <v>3</v>
      </c>
      <c r="H275">
        <v>2</v>
      </c>
      <c r="I275">
        <v>1870</v>
      </c>
      <c r="J275">
        <v>0</v>
      </c>
      <c r="K275">
        <v>0</v>
      </c>
      <c r="L275">
        <v>3740.6</v>
      </c>
      <c r="M275">
        <v>4346.1000000000004</v>
      </c>
      <c r="N275">
        <v>10123.9</v>
      </c>
      <c r="O275">
        <v>198.2</v>
      </c>
      <c r="P275">
        <v>27315.5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4.9000000000000004</v>
      </c>
      <c r="W275">
        <v>0</v>
      </c>
      <c r="X275">
        <v>0</v>
      </c>
      <c r="Y275">
        <v>4.9000000953674316</v>
      </c>
      <c r="Z275">
        <v>0</v>
      </c>
      <c r="AA275">
        <v>0</v>
      </c>
      <c r="AB275">
        <v>3</v>
      </c>
      <c r="AC275">
        <v>1.8999999761581421</v>
      </c>
      <c r="AD275">
        <v>0</v>
      </c>
      <c r="AE275">
        <v>3</v>
      </c>
      <c r="AF275">
        <v>1.8999999761581421</v>
      </c>
      <c r="AG275">
        <v>0.61224490093817463</v>
      </c>
      <c r="AH275">
        <v>0.38775509906182531</v>
      </c>
      <c r="AI275">
        <v>150</v>
      </c>
      <c r="AJ275">
        <v>0</v>
      </c>
      <c r="AK275">
        <v>3</v>
      </c>
      <c r="AL275">
        <v>1.8999999761581421</v>
      </c>
      <c r="AM275">
        <v>0</v>
      </c>
      <c r="AN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f t="shared" si="68"/>
        <v>0</v>
      </c>
      <c r="AW275">
        <f t="shared" si="69"/>
        <v>0</v>
      </c>
      <c r="AX275">
        <f t="shared" si="70"/>
        <v>0</v>
      </c>
      <c r="AY275">
        <f t="shared" si="71"/>
        <v>0</v>
      </c>
      <c r="AZ275">
        <f t="shared" si="72"/>
        <v>0</v>
      </c>
      <c r="BA275" t="str">
        <f t="shared" si="73"/>
        <v/>
      </c>
      <c r="BB275">
        <f t="shared" si="74"/>
        <v>0.61224490093817463</v>
      </c>
      <c r="BC275">
        <f>MATCH($B275,clean_historis!$B:$B,0)</f>
        <v>275</v>
      </c>
      <c r="BD275">
        <f>IFERROR(INDEX(clean_historis!$AF:$AF,$BC275)/INDEX(clean_historis!$V:$V,$BC275),0)</f>
        <v>0</v>
      </c>
      <c r="BE275">
        <f>IFERROR(INDEX(clean_historis!$AR:$AR,$BC275)/INDEX(clean_historis!$AH:$AH,$BC275),0)</f>
        <v>0</v>
      </c>
      <c r="BF275">
        <f t="shared" si="75"/>
        <v>0</v>
      </c>
      <c r="BG275">
        <f>MAX(IF(INDEX(clean_historis!$CL:$CL,$BC275)=1,2025,0),IF(INDEX(clean_historis!$CK:$CK,$BC275)=1,2024,0),IF(INDEX(clean_historis!$CJ:$CJ,$BC275)=1,2023,0),IF(INDEX(clean_historis!$CI:$CI,$BC275)=1,2022,0),IF(INDEX(clean_historis!$CH:$CH,$BC275)=1,2021,0))</f>
        <v>0</v>
      </c>
      <c r="BH275">
        <f t="shared" si="76"/>
        <v>0.38775509906182537</v>
      </c>
      <c r="BI275">
        <f t="shared" si="77"/>
        <v>725.10203524561348</v>
      </c>
      <c r="BJ275">
        <f t="shared" si="78"/>
        <v>0</v>
      </c>
      <c r="BK275">
        <f t="shared" si="79"/>
        <v>45.5261</v>
      </c>
      <c r="BL275">
        <f t="shared" si="80"/>
        <v>0</v>
      </c>
      <c r="BM275">
        <f t="shared" si="81"/>
        <v>0</v>
      </c>
      <c r="BN275">
        <v>0</v>
      </c>
      <c r="BO275">
        <f t="shared" si="84"/>
        <v>0</v>
      </c>
      <c r="BP275">
        <f t="shared" si="82"/>
        <v>0</v>
      </c>
      <c r="BQ275">
        <f t="shared" si="83"/>
        <v>0</v>
      </c>
    </row>
    <row r="276" spans="1:69" x14ac:dyDescent="0.25">
      <c r="A276">
        <v>275</v>
      </c>
      <c r="B276" t="s">
        <v>1140</v>
      </c>
      <c r="C276" t="s">
        <v>1141</v>
      </c>
      <c r="D276" t="s">
        <v>1142</v>
      </c>
      <c r="E276" t="s">
        <v>1143</v>
      </c>
      <c r="F276" t="s">
        <v>809</v>
      </c>
      <c r="G276">
        <v>2</v>
      </c>
      <c r="H276">
        <v>2</v>
      </c>
      <c r="I276">
        <v>721</v>
      </c>
      <c r="J276">
        <v>0</v>
      </c>
      <c r="K276">
        <v>0</v>
      </c>
      <c r="L276">
        <v>15187.5</v>
      </c>
      <c r="M276">
        <v>11144.8</v>
      </c>
      <c r="N276">
        <v>17397.900000000001</v>
      </c>
      <c r="O276">
        <v>1940.4</v>
      </c>
      <c r="P276">
        <v>11916.4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3.12</v>
      </c>
      <c r="W276">
        <v>0</v>
      </c>
      <c r="X276">
        <v>0</v>
      </c>
      <c r="Y276">
        <v>2.720000028610229</v>
      </c>
      <c r="Z276">
        <v>0</v>
      </c>
      <c r="AA276">
        <v>0</v>
      </c>
      <c r="AB276">
        <v>1</v>
      </c>
      <c r="AC276">
        <v>0.92000001668930054</v>
      </c>
      <c r="AD276">
        <v>0.80000001192092896</v>
      </c>
      <c r="AE276">
        <v>1</v>
      </c>
      <c r="AF276">
        <v>1.720000028610229</v>
      </c>
      <c r="AG276">
        <v>0.36764705495644612</v>
      </c>
      <c r="AH276">
        <v>0.63235294504355388</v>
      </c>
      <c r="AI276">
        <v>150</v>
      </c>
      <c r="AJ276">
        <v>0</v>
      </c>
      <c r="AK276">
        <v>1</v>
      </c>
      <c r="AL276">
        <v>0.92000001668930054</v>
      </c>
      <c r="AM276">
        <v>0.80000001192092896</v>
      </c>
      <c r="AN276">
        <v>1</v>
      </c>
      <c r="AO276">
        <v>1</v>
      </c>
      <c r="AP276">
        <v>2023</v>
      </c>
      <c r="AQ276">
        <v>3</v>
      </c>
      <c r="AR276">
        <v>0</v>
      </c>
      <c r="AS276">
        <v>0</v>
      </c>
      <c r="AT276">
        <v>0</v>
      </c>
      <c r="AU276">
        <v>1</v>
      </c>
      <c r="AV276">
        <f t="shared" si="68"/>
        <v>0.19230769230769226</v>
      </c>
      <c r="AW276">
        <f t="shared" si="69"/>
        <v>-6.410256028175354E-2</v>
      </c>
      <c r="AX276">
        <f t="shared" si="70"/>
        <v>184.87179762659926</v>
      </c>
      <c r="AY276">
        <f t="shared" si="71"/>
        <v>0</v>
      </c>
      <c r="AZ276">
        <f t="shared" si="72"/>
        <v>0.80000001192092884</v>
      </c>
      <c r="BA276" t="str">
        <f t="shared" si="73"/>
        <v/>
      </c>
      <c r="BB276">
        <f t="shared" si="74"/>
        <v>0.36764705495644612</v>
      </c>
      <c r="BC276">
        <f>MATCH($B276,clean_historis!$B:$B,0)</f>
        <v>276</v>
      </c>
      <c r="BD276">
        <f>IFERROR(INDEX(clean_historis!$AF:$AF,$BC276)/INDEX(clean_historis!$V:$V,$BC276),0)</f>
        <v>0.12820512820512822</v>
      </c>
      <c r="BE276">
        <f>IFERROR(INDEX(clean_historis!$AR:$AR,$BC276)/INDEX(clean_historis!$AH:$AH,$BC276),0)</f>
        <v>0.32051282051282048</v>
      </c>
      <c r="BF276">
        <f t="shared" si="75"/>
        <v>0.25641026023106694</v>
      </c>
      <c r="BG276">
        <f>MAX(IF(INDEX(clean_historis!$CL:$CL,$BC276)=1,2025,0),IF(INDEX(clean_historis!$CK:$CK,$BC276)=1,2024,0),IF(INDEX(clean_historis!$CJ:$CJ,$BC276)=1,2023,0),IF(INDEX(clean_historis!$CI:$CI,$BC276)=1,2022,0),IF(INDEX(clean_historis!$CH:$CH,$BC276)=1,2021,0))</f>
        <v>0</v>
      </c>
      <c r="BH276">
        <f t="shared" si="76"/>
        <v>0.63235294504355388</v>
      </c>
      <c r="BI276">
        <f t="shared" si="77"/>
        <v>455.92647337640233</v>
      </c>
      <c r="BJ276">
        <f t="shared" si="78"/>
        <v>0</v>
      </c>
      <c r="BK276">
        <f t="shared" si="79"/>
        <v>55.646600000000007</v>
      </c>
      <c r="BL276">
        <f t="shared" si="80"/>
        <v>0</v>
      </c>
      <c r="BM276">
        <f t="shared" si="81"/>
        <v>0</v>
      </c>
      <c r="BN276">
        <v>1</v>
      </c>
      <c r="BO276">
        <f t="shared" si="84"/>
        <v>0</v>
      </c>
      <c r="BP276">
        <f t="shared" si="82"/>
        <v>1</v>
      </c>
      <c r="BQ276">
        <f t="shared" si="83"/>
        <v>1</v>
      </c>
    </row>
    <row r="277" spans="1:69" x14ac:dyDescent="0.25">
      <c r="A277">
        <v>276</v>
      </c>
      <c r="B277" t="s">
        <v>1144</v>
      </c>
      <c r="C277" t="s">
        <v>1145</v>
      </c>
      <c r="D277" t="s">
        <v>1146</v>
      </c>
      <c r="E277" t="s">
        <v>1147</v>
      </c>
      <c r="F277" t="s">
        <v>127</v>
      </c>
      <c r="G277">
        <v>2</v>
      </c>
      <c r="H277">
        <v>1</v>
      </c>
      <c r="I277">
        <v>866</v>
      </c>
      <c r="J277">
        <v>0</v>
      </c>
      <c r="K277">
        <v>0</v>
      </c>
      <c r="L277">
        <v>16936152.300000001</v>
      </c>
      <c r="M277">
        <v>16936491.699999999</v>
      </c>
      <c r="N277">
        <v>169310897</v>
      </c>
      <c r="O277">
        <v>1749</v>
      </c>
      <c r="P277">
        <v>13087.6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3.39</v>
      </c>
      <c r="W277">
        <v>0</v>
      </c>
      <c r="X277">
        <v>0</v>
      </c>
      <c r="Y277">
        <v>0.60000002384185791</v>
      </c>
      <c r="Z277">
        <v>0</v>
      </c>
      <c r="AA277">
        <v>0</v>
      </c>
      <c r="AB277">
        <v>0.60000002384185791</v>
      </c>
      <c r="AC277">
        <v>0</v>
      </c>
      <c r="AD277">
        <v>0</v>
      </c>
      <c r="AE277">
        <v>0.60000002384185791</v>
      </c>
      <c r="AF277">
        <v>0</v>
      </c>
      <c r="AG277">
        <v>1</v>
      </c>
      <c r="AH277">
        <v>0</v>
      </c>
      <c r="AI277">
        <v>150</v>
      </c>
      <c r="AJ277">
        <v>0</v>
      </c>
      <c r="AK277">
        <v>0.60000002384185791</v>
      </c>
      <c r="AL277">
        <v>0</v>
      </c>
      <c r="AM277">
        <v>0</v>
      </c>
      <c r="AN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f t="shared" si="68"/>
        <v>3.3306690738754696E-16</v>
      </c>
      <c r="AW277">
        <f t="shared" si="69"/>
        <v>-0.8230088495575224</v>
      </c>
      <c r="AX277">
        <f t="shared" si="70"/>
        <v>0</v>
      </c>
      <c r="AY277">
        <f t="shared" si="71"/>
        <v>0</v>
      </c>
      <c r="AZ277">
        <f t="shared" si="72"/>
        <v>0</v>
      </c>
      <c r="BA277" t="str">
        <f t="shared" si="73"/>
        <v/>
      </c>
      <c r="BB277">
        <f t="shared" si="74"/>
        <v>1</v>
      </c>
      <c r="BC277">
        <f>MATCH($B277,clean_historis!$B:$B,0)</f>
        <v>277</v>
      </c>
      <c r="BD277">
        <f>IFERROR(INDEX(clean_historis!$AF:$AF,$BC277)/INDEX(clean_historis!$V:$V,$BC277),0)</f>
        <v>0.82300884955752207</v>
      </c>
      <c r="BE277">
        <f>IFERROR(INDEX(clean_historis!$AR:$AR,$BC277)/INDEX(clean_historis!$AH:$AH,$BC277),0)</f>
        <v>0.8230088495575224</v>
      </c>
      <c r="BF277">
        <f t="shared" si="75"/>
        <v>0</v>
      </c>
      <c r="BG277">
        <f>MAX(IF(INDEX(clean_historis!$CL:$CL,$BC277)=1,2025,0),IF(INDEX(clean_historis!$CK:$CK,$BC277)=1,2024,0),IF(INDEX(clean_historis!$CJ:$CJ,$BC277)=1,2023,0),IF(INDEX(clean_historis!$CI:$CI,$BC277)=1,2022,0),IF(INDEX(clean_historis!$CH:$CH,$BC277)=1,2021,0))</f>
        <v>0</v>
      </c>
      <c r="BH277">
        <f t="shared" si="76"/>
        <v>0</v>
      </c>
      <c r="BI277">
        <f t="shared" si="77"/>
        <v>0</v>
      </c>
      <c r="BJ277">
        <f t="shared" si="78"/>
        <v>0</v>
      </c>
      <c r="BK277">
        <f t="shared" si="79"/>
        <v>203196.6286</v>
      </c>
      <c r="BL277">
        <f t="shared" si="80"/>
        <v>0</v>
      </c>
      <c r="BM277">
        <f t="shared" si="81"/>
        <v>0</v>
      </c>
      <c r="BN277">
        <v>0</v>
      </c>
      <c r="BO277">
        <f t="shared" si="84"/>
        <v>0</v>
      </c>
      <c r="BP277">
        <f t="shared" si="82"/>
        <v>0</v>
      </c>
      <c r="BQ277">
        <f t="shared" si="83"/>
        <v>0</v>
      </c>
    </row>
    <row r="278" spans="1:69" x14ac:dyDescent="0.25">
      <c r="A278">
        <v>277</v>
      </c>
      <c r="B278" t="s">
        <v>1148</v>
      </c>
      <c r="C278" t="s">
        <v>1149</v>
      </c>
      <c r="D278" t="s">
        <v>1150</v>
      </c>
      <c r="E278" t="s">
        <v>1151</v>
      </c>
      <c r="F278" t="s">
        <v>315</v>
      </c>
      <c r="G278">
        <v>2</v>
      </c>
      <c r="H278">
        <v>1</v>
      </c>
      <c r="I278">
        <v>1539</v>
      </c>
      <c r="J278">
        <v>1</v>
      </c>
      <c r="K278">
        <v>0</v>
      </c>
      <c r="L278">
        <v>516.5</v>
      </c>
      <c r="M278">
        <v>401.5</v>
      </c>
      <c r="N278">
        <v>702.4</v>
      </c>
      <c r="O278">
        <v>408.5</v>
      </c>
      <c r="P278">
        <v>13415.9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0.66</v>
      </c>
      <c r="W278">
        <v>0</v>
      </c>
      <c r="X278">
        <v>0</v>
      </c>
      <c r="Y278">
        <v>0.6600000262260437</v>
      </c>
      <c r="Z278">
        <v>0</v>
      </c>
      <c r="AA278">
        <v>0</v>
      </c>
      <c r="AB278">
        <v>0.56000000238418579</v>
      </c>
      <c r="AC278">
        <v>0.10000000149011611</v>
      </c>
      <c r="AD278">
        <v>0</v>
      </c>
      <c r="AE278">
        <v>0.56000000238418579</v>
      </c>
      <c r="AF278">
        <v>0.10000000149011611</v>
      </c>
      <c r="AG278">
        <v>0.84848484711651417</v>
      </c>
      <c r="AH278">
        <v>0.15151515288348591</v>
      </c>
      <c r="AI278">
        <v>150</v>
      </c>
      <c r="AJ278">
        <v>0</v>
      </c>
      <c r="AK278">
        <v>0.56000000238418579</v>
      </c>
      <c r="AL278">
        <v>0.10000000149011611</v>
      </c>
      <c r="AM278">
        <v>0</v>
      </c>
      <c r="AN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f t="shared" si="68"/>
        <v>0</v>
      </c>
      <c r="AW278">
        <f t="shared" si="69"/>
        <v>0</v>
      </c>
      <c r="AX278">
        <f t="shared" si="70"/>
        <v>0</v>
      </c>
      <c r="AY278">
        <f t="shared" si="71"/>
        <v>0</v>
      </c>
      <c r="AZ278">
        <f t="shared" si="72"/>
        <v>0</v>
      </c>
      <c r="BA278" t="str">
        <f t="shared" si="73"/>
        <v/>
      </c>
      <c r="BB278">
        <f t="shared" si="74"/>
        <v>0.84848484711651417</v>
      </c>
      <c r="BC278">
        <f>MATCH($B278,clean_historis!$B:$B,0)</f>
        <v>278</v>
      </c>
      <c r="BD278">
        <f>IFERROR(INDEX(clean_historis!$AF:$AF,$BC278)/INDEX(clean_historis!$V:$V,$BC278),0)</f>
        <v>0</v>
      </c>
      <c r="BE278">
        <f>IFERROR(INDEX(clean_historis!$AR:$AR,$BC278)/INDEX(clean_historis!$AH:$AH,$BC278),0)</f>
        <v>0</v>
      </c>
      <c r="BF278">
        <f t="shared" si="75"/>
        <v>0</v>
      </c>
      <c r="BG278">
        <f>MAX(IF(INDEX(clean_historis!$CL:$CL,$BC278)=1,2025,0),IF(INDEX(clean_historis!$CK:$CK,$BC278)=1,2024,0),IF(INDEX(clean_historis!$CJ:$CJ,$BC278)=1,2023,0),IF(INDEX(clean_historis!$CI:$CI,$BC278)=1,2022,0),IF(INDEX(clean_historis!$CH:$CH,$BC278)=1,2021,0))</f>
        <v>0</v>
      </c>
      <c r="BH278">
        <f t="shared" si="76"/>
        <v>0.15151515288348583</v>
      </c>
      <c r="BI278">
        <f t="shared" si="77"/>
        <v>233.18182028768467</v>
      </c>
      <c r="BJ278">
        <f t="shared" si="78"/>
        <v>1</v>
      </c>
      <c r="BK278">
        <f t="shared" si="79"/>
        <v>15.036299999999999</v>
      </c>
      <c r="BL278">
        <f t="shared" si="80"/>
        <v>1</v>
      </c>
      <c r="BM278">
        <f t="shared" si="81"/>
        <v>0</v>
      </c>
      <c r="BN278">
        <v>0</v>
      </c>
      <c r="BO278">
        <f t="shared" si="84"/>
        <v>1</v>
      </c>
      <c r="BP278">
        <f t="shared" si="82"/>
        <v>0</v>
      </c>
      <c r="BQ278">
        <f t="shared" si="83"/>
        <v>1</v>
      </c>
    </row>
    <row r="279" spans="1:69" x14ac:dyDescent="0.25">
      <c r="A279">
        <v>278</v>
      </c>
      <c r="B279" t="s">
        <v>1152</v>
      </c>
      <c r="C279" t="s">
        <v>1153</v>
      </c>
      <c r="D279" t="s">
        <v>1154</v>
      </c>
      <c r="E279" t="s">
        <v>1155</v>
      </c>
      <c r="F279" t="s">
        <v>328</v>
      </c>
      <c r="G279">
        <v>4</v>
      </c>
      <c r="H279">
        <v>2</v>
      </c>
      <c r="I279">
        <v>1457</v>
      </c>
      <c r="J279">
        <v>0</v>
      </c>
      <c r="K279">
        <v>1</v>
      </c>
      <c r="L279">
        <v>3147.4</v>
      </c>
      <c r="M279">
        <v>4256.3999999999996</v>
      </c>
      <c r="N279">
        <v>13088.9</v>
      </c>
      <c r="O279">
        <v>631.79999999999995</v>
      </c>
      <c r="P279">
        <v>14760.8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6.1</v>
      </c>
      <c r="W279">
        <v>0</v>
      </c>
      <c r="X279">
        <v>0</v>
      </c>
      <c r="Y279">
        <v>6</v>
      </c>
      <c r="Z279">
        <v>0</v>
      </c>
      <c r="AA279">
        <v>1.6000000238418579</v>
      </c>
      <c r="AB279">
        <v>2.2999999523162842</v>
      </c>
      <c r="AC279">
        <v>1.3999999761581421</v>
      </c>
      <c r="AD279">
        <v>0.69999998807907104</v>
      </c>
      <c r="AE279">
        <v>3.8999999761581421</v>
      </c>
      <c r="AF279">
        <v>2.0999999642372131</v>
      </c>
      <c r="AG279">
        <v>0.65000000248352685</v>
      </c>
      <c r="AH279">
        <v>0.34999999751647309</v>
      </c>
      <c r="AI279">
        <v>150</v>
      </c>
      <c r="AJ279">
        <v>1.6000000238418579</v>
      </c>
      <c r="AK279">
        <v>2.2999999523162842</v>
      </c>
      <c r="AL279">
        <v>1.3999999761581421</v>
      </c>
      <c r="AM279">
        <v>0.69999998807907104</v>
      </c>
      <c r="AN279">
        <v>1</v>
      </c>
      <c r="AO279">
        <v>1</v>
      </c>
      <c r="AP279">
        <v>2023</v>
      </c>
      <c r="AQ279">
        <v>3</v>
      </c>
      <c r="AR279">
        <v>0</v>
      </c>
      <c r="AS279">
        <v>0</v>
      </c>
      <c r="AT279">
        <v>0</v>
      </c>
      <c r="AU279">
        <v>0</v>
      </c>
      <c r="AV279">
        <f t="shared" si="68"/>
        <v>0</v>
      </c>
      <c r="AW279">
        <f t="shared" si="69"/>
        <v>9.8360653783454266E-2</v>
      </c>
      <c r="AX279">
        <f t="shared" si="70"/>
        <v>167.1967184641322</v>
      </c>
      <c r="AY279">
        <f t="shared" si="71"/>
        <v>0</v>
      </c>
      <c r="AZ279">
        <f t="shared" si="72"/>
        <v>0.69999998807907104</v>
      </c>
      <c r="BA279" t="str">
        <f t="shared" si="73"/>
        <v/>
      </c>
      <c r="BB279">
        <f t="shared" si="74"/>
        <v>0.65000000248352685</v>
      </c>
      <c r="BC279">
        <f>MATCH($B279,clean_historis!$B:$B,0)</f>
        <v>279</v>
      </c>
      <c r="BD279">
        <f>IFERROR(INDEX(clean_historis!$AF:$AF,$BC279)/INDEX(clean_historis!$V:$V,$BC279),0)</f>
        <v>1.6393442622950821E-2</v>
      </c>
      <c r="BE279">
        <f>IFERROR(INDEX(clean_historis!$AR:$AR,$BC279)/INDEX(clean_historis!$AH:$AH,$BC279),0)</f>
        <v>1.6393442622950821E-2</v>
      </c>
      <c r="BF279">
        <f t="shared" si="75"/>
        <v>0.11475409640640509</v>
      </c>
      <c r="BG279">
        <f>MAX(IF(INDEX(clean_historis!$CL:$CL,$BC279)=1,2025,0),IF(INDEX(clean_historis!$CK:$CK,$BC279)=1,2024,0),IF(INDEX(clean_historis!$CJ:$CJ,$BC279)=1,2023,0),IF(INDEX(clean_historis!$CI:$CI,$BC279)=1,2022,0),IF(INDEX(clean_historis!$CH:$CH,$BC279)=1,2021,0))</f>
        <v>0</v>
      </c>
      <c r="BH279">
        <f t="shared" si="76"/>
        <v>0.34999999751647315</v>
      </c>
      <c r="BI279">
        <f t="shared" si="77"/>
        <v>509.94999638150136</v>
      </c>
      <c r="BJ279">
        <f t="shared" si="78"/>
        <v>0</v>
      </c>
      <c r="BK279">
        <f t="shared" si="79"/>
        <v>35.253500000000003</v>
      </c>
      <c r="BL279">
        <f t="shared" si="80"/>
        <v>0</v>
      </c>
      <c r="BM279">
        <f t="shared" si="81"/>
        <v>0</v>
      </c>
      <c r="BN279">
        <v>0</v>
      </c>
      <c r="BO279">
        <f t="shared" si="84"/>
        <v>0</v>
      </c>
      <c r="BP279">
        <f t="shared" si="82"/>
        <v>1</v>
      </c>
      <c r="BQ279">
        <f t="shared" si="83"/>
        <v>0</v>
      </c>
    </row>
    <row r="280" spans="1:69" x14ac:dyDescent="0.25">
      <c r="A280">
        <v>279</v>
      </c>
      <c r="B280" t="s">
        <v>1156</v>
      </c>
      <c r="C280" t="s">
        <v>1157</v>
      </c>
      <c r="D280" t="s">
        <v>1158</v>
      </c>
      <c r="E280" t="s">
        <v>1159</v>
      </c>
      <c r="F280" t="s">
        <v>891</v>
      </c>
      <c r="G280">
        <v>3</v>
      </c>
      <c r="H280">
        <v>2</v>
      </c>
      <c r="I280">
        <v>2335</v>
      </c>
      <c r="J280">
        <v>1</v>
      </c>
      <c r="K280">
        <v>0</v>
      </c>
      <c r="L280">
        <v>1373.2</v>
      </c>
      <c r="M280">
        <v>527.79999999999995</v>
      </c>
      <c r="N280">
        <v>205.8</v>
      </c>
      <c r="O280">
        <v>442.7</v>
      </c>
      <c r="P280">
        <v>27441.8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1.04</v>
      </c>
      <c r="W280">
        <v>0</v>
      </c>
      <c r="X280">
        <v>0</v>
      </c>
      <c r="Y280">
        <v>1.0399999618530269</v>
      </c>
      <c r="Z280">
        <v>0</v>
      </c>
      <c r="AA280">
        <v>1.0399999618530269</v>
      </c>
      <c r="AB280">
        <v>0</v>
      </c>
      <c r="AC280">
        <v>0</v>
      </c>
      <c r="AD280">
        <v>0</v>
      </c>
      <c r="AE280">
        <v>1.0399999618530269</v>
      </c>
      <c r="AF280">
        <v>0</v>
      </c>
      <c r="AG280">
        <v>1</v>
      </c>
      <c r="AH280">
        <v>0</v>
      </c>
      <c r="AI280">
        <v>150</v>
      </c>
      <c r="AJ280">
        <v>1.0399999618530269</v>
      </c>
      <c r="AK280">
        <v>0</v>
      </c>
      <c r="AL280">
        <v>0</v>
      </c>
      <c r="AM280">
        <v>0</v>
      </c>
      <c r="AN280">
        <v>1</v>
      </c>
      <c r="AO280">
        <v>2</v>
      </c>
      <c r="AP280">
        <v>2025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f t="shared" si="68"/>
        <v>0</v>
      </c>
      <c r="AW280">
        <f t="shared" si="69"/>
        <v>0</v>
      </c>
      <c r="AX280">
        <f t="shared" si="70"/>
        <v>0</v>
      </c>
      <c r="AY280">
        <f t="shared" si="71"/>
        <v>0</v>
      </c>
      <c r="AZ280">
        <f t="shared" si="72"/>
        <v>0</v>
      </c>
      <c r="BA280">
        <f t="shared" si="73"/>
        <v>0</v>
      </c>
      <c r="BB280">
        <f t="shared" si="74"/>
        <v>1</v>
      </c>
      <c r="BC280">
        <f>MATCH($B280,clean_historis!$B:$B,0)</f>
        <v>280</v>
      </c>
      <c r="BD280">
        <f>IFERROR(INDEX(clean_historis!$AF:$AF,$BC280)/INDEX(clean_historis!$V:$V,$BC280),0)</f>
        <v>0</v>
      </c>
      <c r="BE280">
        <f>IFERROR(INDEX(clean_historis!$AR:$AR,$BC280)/INDEX(clean_historis!$AH:$AH,$BC280),0)</f>
        <v>0</v>
      </c>
      <c r="BF280">
        <f t="shared" si="75"/>
        <v>0</v>
      </c>
      <c r="BG280">
        <f>MAX(IF(INDEX(clean_historis!$CL:$CL,$BC280)=1,2025,0),IF(INDEX(clean_historis!$CK:$CK,$BC280)=1,2024,0),IF(INDEX(clean_historis!$CJ:$CJ,$BC280)=1,2023,0),IF(INDEX(clean_historis!$CI:$CI,$BC280)=1,2022,0),IF(INDEX(clean_historis!$CH:$CH,$BC280)=1,2021,0))</f>
        <v>2025</v>
      </c>
      <c r="BH280">
        <f t="shared" si="76"/>
        <v>0</v>
      </c>
      <c r="BI280">
        <f t="shared" si="77"/>
        <v>0</v>
      </c>
      <c r="BJ280">
        <f t="shared" si="78"/>
        <v>1</v>
      </c>
      <c r="BK280">
        <f t="shared" si="79"/>
        <v>29.548599999999997</v>
      </c>
      <c r="BL280">
        <f t="shared" si="80"/>
        <v>0</v>
      </c>
      <c r="BM280">
        <f t="shared" si="81"/>
        <v>0</v>
      </c>
      <c r="BN280">
        <v>0</v>
      </c>
      <c r="BO280">
        <f t="shared" si="84"/>
        <v>0</v>
      </c>
      <c r="BP280">
        <f t="shared" si="82"/>
        <v>1</v>
      </c>
      <c r="BQ280">
        <f t="shared" si="83"/>
        <v>0</v>
      </c>
    </row>
    <row r="281" spans="1:69" x14ac:dyDescent="0.25">
      <c r="A281">
        <v>280</v>
      </c>
      <c r="B281" t="s">
        <v>1160</v>
      </c>
      <c r="C281" t="s">
        <v>1161</v>
      </c>
      <c r="D281" t="s">
        <v>1162</v>
      </c>
      <c r="E281" t="s">
        <v>1163</v>
      </c>
      <c r="F281" t="s">
        <v>363</v>
      </c>
      <c r="G281">
        <v>3</v>
      </c>
      <c r="H281">
        <v>1</v>
      </c>
      <c r="I281">
        <v>1765</v>
      </c>
      <c r="J281">
        <v>0</v>
      </c>
      <c r="K281">
        <v>0</v>
      </c>
      <c r="L281">
        <v>828.6</v>
      </c>
      <c r="M281">
        <v>673.7</v>
      </c>
      <c r="N281">
        <v>2047.5</v>
      </c>
      <c r="O281">
        <v>228.2</v>
      </c>
      <c r="P281">
        <v>28660.6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0.73</v>
      </c>
      <c r="W281">
        <v>0</v>
      </c>
      <c r="X281">
        <v>0</v>
      </c>
      <c r="Y281">
        <v>0.73000001907348633</v>
      </c>
      <c r="Z281">
        <v>0</v>
      </c>
      <c r="AA281">
        <v>0.73000001907348633</v>
      </c>
      <c r="AB281">
        <v>0</v>
      </c>
      <c r="AC281">
        <v>0</v>
      </c>
      <c r="AD281">
        <v>0</v>
      </c>
      <c r="AE281">
        <v>0.73000001907348633</v>
      </c>
      <c r="AF281">
        <v>0</v>
      </c>
      <c r="AG281">
        <v>1</v>
      </c>
      <c r="AH281">
        <v>0</v>
      </c>
      <c r="AI281">
        <v>150</v>
      </c>
      <c r="AJ281">
        <v>0.73000001907348633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2025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f t="shared" si="68"/>
        <v>0.54794520547945202</v>
      </c>
      <c r="AW281">
        <f t="shared" si="69"/>
        <v>-1</v>
      </c>
      <c r="AX281">
        <f t="shared" si="70"/>
        <v>0</v>
      </c>
      <c r="AY281">
        <f t="shared" si="71"/>
        <v>0</v>
      </c>
      <c r="AZ281">
        <f t="shared" si="72"/>
        <v>0</v>
      </c>
      <c r="BA281">
        <f t="shared" si="73"/>
        <v>0</v>
      </c>
      <c r="BB281">
        <f t="shared" si="74"/>
        <v>1</v>
      </c>
      <c r="BC281">
        <f>MATCH($B281,clean_historis!$B:$B,0)</f>
        <v>281</v>
      </c>
      <c r="BD281">
        <f>IFERROR(INDEX(clean_historis!$AF:$AF,$BC281)/INDEX(clean_historis!$V:$V,$BC281),0)</f>
        <v>0.45205479452054798</v>
      </c>
      <c r="BE281">
        <f>IFERROR(INDEX(clean_historis!$AR:$AR,$BC281)/INDEX(clean_historis!$AH:$AH,$BC281),0)</f>
        <v>1</v>
      </c>
      <c r="BF281">
        <f t="shared" si="75"/>
        <v>0</v>
      </c>
      <c r="BG281">
        <f>MAX(IF(INDEX(clean_historis!$CL:$CL,$BC281)=1,2025,0),IF(INDEX(clean_historis!$CK:$CK,$BC281)=1,2024,0),IF(INDEX(clean_historis!$CJ:$CJ,$BC281)=1,2023,0),IF(INDEX(clean_historis!$CI:$CI,$BC281)=1,2022,0),IF(INDEX(clean_historis!$CH:$CH,$BC281)=1,2021,0))</f>
        <v>2025</v>
      </c>
      <c r="BH281">
        <f t="shared" si="76"/>
        <v>0</v>
      </c>
      <c r="BI281">
        <f t="shared" si="77"/>
        <v>0</v>
      </c>
      <c r="BJ281">
        <f t="shared" si="78"/>
        <v>1</v>
      </c>
      <c r="BK281">
        <f t="shared" si="79"/>
        <v>32.2104</v>
      </c>
      <c r="BL281">
        <f t="shared" si="80"/>
        <v>0</v>
      </c>
      <c r="BM281">
        <f t="shared" si="81"/>
        <v>0</v>
      </c>
      <c r="BN281">
        <v>0</v>
      </c>
      <c r="BO281">
        <f t="shared" si="84"/>
        <v>1</v>
      </c>
      <c r="BP281">
        <f t="shared" si="82"/>
        <v>1</v>
      </c>
      <c r="BQ281">
        <f t="shared" si="83"/>
        <v>1</v>
      </c>
    </row>
    <row r="282" spans="1:69" x14ac:dyDescent="0.25">
      <c r="A282">
        <v>281</v>
      </c>
      <c r="B282" t="s">
        <v>1164</v>
      </c>
      <c r="C282" t="s">
        <v>1165</v>
      </c>
      <c r="D282" t="s">
        <v>1166</v>
      </c>
      <c r="E282" t="s">
        <v>1167</v>
      </c>
      <c r="F282" t="s">
        <v>315</v>
      </c>
      <c r="G282">
        <v>1</v>
      </c>
      <c r="H282">
        <v>1</v>
      </c>
      <c r="I282">
        <v>2158</v>
      </c>
      <c r="J282">
        <v>0</v>
      </c>
      <c r="K282">
        <v>0</v>
      </c>
      <c r="L282">
        <v>3836.4</v>
      </c>
      <c r="M282">
        <v>948.9</v>
      </c>
      <c r="N282">
        <v>5055.3</v>
      </c>
      <c r="O282">
        <v>386.9</v>
      </c>
      <c r="P282">
        <v>31668.400000000001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0.31</v>
      </c>
      <c r="W282">
        <v>0.31000000238418579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0.31000000238418579</v>
      </c>
      <c r="AD282">
        <v>0</v>
      </c>
      <c r="AE282">
        <v>0</v>
      </c>
      <c r="AF282">
        <v>0.31000000238418579</v>
      </c>
      <c r="AG282">
        <v>0</v>
      </c>
      <c r="AH282">
        <v>1</v>
      </c>
      <c r="AI282">
        <v>150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R282">
        <v>1</v>
      </c>
      <c r="AS282">
        <v>0</v>
      </c>
      <c r="AT282">
        <v>1</v>
      </c>
      <c r="AU282">
        <v>0</v>
      </c>
      <c r="AV282">
        <f t="shared" si="68"/>
        <v>0</v>
      </c>
      <c r="AW282">
        <f t="shared" si="69"/>
        <v>0</v>
      </c>
      <c r="AX282">
        <f t="shared" si="70"/>
        <v>0</v>
      </c>
      <c r="AY282">
        <f t="shared" si="71"/>
        <v>0</v>
      </c>
      <c r="AZ282">
        <f t="shared" si="72"/>
        <v>0</v>
      </c>
      <c r="BA282" t="str">
        <f t="shared" si="73"/>
        <v/>
      </c>
      <c r="BB282">
        <f t="shared" si="74"/>
        <v>0</v>
      </c>
      <c r="BC282">
        <f>MATCH($B282,clean_historis!$B:$B,0)</f>
        <v>282</v>
      </c>
      <c r="BD282">
        <f>IFERROR(INDEX(clean_historis!$AF:$AF,$BC282)/INDEX(clean_historis!$V:$V,$BC282),0)</f>
        <v>0</v>
      </c>
      <c r="BE282">
        <f>IFERROR(INDEX(clean_historis!$AR:$AR,$BC282)/INDEX(clean_historis!$AH:$AH,$BC282),0)</f>
        <v>0</v>
      </c>
      <c r="BF282">
        <f t="shared" si="75"/>
        <v>0</v>
      </c>
      <c r="BG282">
        <f>MAX(IF(INDEX(clean_historis!$CL:$CL,$BC282)=1,2025,0),IF(INDEX(clean_historis!$CK:$CK,$BC282)=1,2024,0),IF(INDEX(clean_historis!$CJ:$CJ,$BC282)=1,2023,0),IF(INDEX(clean_historis!$CI:$CI,$BC282)=1,2022,0),IF(INDEX(clean_historis!$CH:$CH,$BC282)=1,2021,0))</f>
        <v>0</v>
      </c>
      <c r="BH282">
        <f t="shared" si="76"/>
        <v>1</v>
      </c>
      <c r="BI282">
        <f t="shared" si="77"/>
        <v>2158</v>
      </c>
      <c r="BJ282">
        <f t="shared" si="78"/>
        <v>0</v>
      </c>
      <c r="BK282">
        <f t="shared" si="79"/>
        <v>41.509000000000007</v>
      </c>
      <c r="BL282">
        <f t="shared" si="80"/>
        <v>0</v>
      </c>
      <c r="BM282">
        <f t="shared" si="81"/>
        <v>0</v>
      </c>
      <c r="BN282">
        <v>0</v>
      </c>
      <c r="BO282">
        <f t="shared" si="84"/>
        <v>1</v>
      </c>
      <c r="BP282">
        <f t="shared" si="82"/>
        <v>0</v>
      </c>
      <c r="BQ282">
        <f t="shared" si="83"/>
        <v>1</v>
      </c>
    </row>
    <row r="283" spans="1:69" x14ac:dyDescent="0.25">
      <c r="A283">
        <v>282</v>
      </c>
      <c r="B283" t="s">
        <v>1168</v>
      </c>
      <c r="C283" t="s">
        <v>1169</v>
      </c>
      <c r="D283" t="s">
        <v>1170</v>
      </c>
      <c r="E283" t="s">
        <v>1171</v>
      </c>
      <c r="F283" t="s">
        <v>100</v>
      </c>
      <c r="G283">
        <v>2</v>
      </c>
      <c r="H283">
        <v>1</v>
      </c>
      <c r="I283">
        <v>954</v>
      </c>
      <c r="J283">
        <v>0</v>
      </c>
      <c r="K283">
        <v>1</v>
      </c>
      <c r="L283">
        <v>3489.3</v>
      </c>
      <c r="M283">
        <v>2635.6</v>
      </c>
      <c r="N283">
        <v>3848.4</v>
      </c>
      <c r="O283">
        <v>0</v>
      </c>
      <c r="P283">
        <v>3344.3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2.5099999999999998</v>
      </c>
      <c r="W283">
        <v>0</v>
      </c>
      <c r="X283">
        <v>0</v>
      </c>
      <c r="Y283">
        <v>2.5099999904632568</v>
      </c>
      <c r="Z283">
        <v>0</v>
      </c>
      <c r="AA283">
        <v>0.60000002384185791</v>
      </c>
      <c r="AB283">
        <v>1.7100000381469731</v>
      </c>
      <c r="AC283">
        <v>0.20000000298023221</v>
      </c>
      <c r="AD283">
        <v>0</v>
      </c>
      <c r="AE283">
        <v>2.310000061988831</v>
      </c>
      <c r="AF283">
        <v>0.20000000298023221</v>
      </c>
      <c r="AG283">
        <v>0.9203187259747353</v>
      </c>
      <c r="AH283">
        <v>7.9681274025264759E-2</v>
      </c>
      <c r="AI283">
        <v>150</v>
      </c>
      <c r="AJ283">
        <v>0.60000002384185791</v>
      </c>
      <c r="AK283">
        <v>1.7100000381469731</v>
      </c>
      <c r="AL283">
        <v>0.20000000298023221</v>
      </c>
      <c r="AM283">
        <v>0</v>
      </c>
      <c r="AN283">
        <v>1</v>
      </c>
      <c r="AO283">
        <v>2</v>
      </c>
      <c r="AP283">
        <v>2022</v>
      </c>
      <c r="AQ283">
        <v>4</v>
      </c>
      <c r="AR283">
        <v>0</v>
      </c>
      <c r="AS283">
        <v>0</v>
      </c>
      <c r="AT283">
        <v>0</v>
      </c>
      <c r="AU283">
        <v>0</v>
      </c>
      <c r="AV283">
        <f t="shared" si="68"/>
        <v>0</v>
      </c>
      <c r="AW283">
        <f t="shared" si="69"/>
        <v>0</v>
      </c>
      <c r="AX283">
        <f t="shared" si="70"/>
        <v>0</v>
      </c>
      <c r="AY283">
        <f t="shared" si="71"/>
        <v>0</v>
      </c>
      <c r="AZ283">
        <f t="shared" si="72"/>
        <v>0</v>
      </c>
      <c r="BA283">
        <f t="shared" si="73"/>
        <v>3</v>
      </c>
      <c r="BB283">
        <f t="shared" si="74"/>
        <v>0.9203187259747353</v>
      </c>
      <c r="BC283">
        <f>MATCH($B283,clean_historis!$B:$B,0)</f>
        <v>283</v>
      </c>
      <c r="BD283">
        <f>IFERROR(INDEX(clean_historis!$AF:$AF,$BC283)/INDEX(clean_historis!$V:$V,$BC283),0)</f>
        <v>0</v>
      </c>
      <c r="BE283">
        <f>IFERROR(INDEX(clean_historis!$AR:$AR,$BC283)/INDEX(clean_historis!$AH:$AH,$BC283),0)</f>
        <v>0</v>
      </c>
      <c r="BF283">
        <f t="shared" si="75"/>
        <v>0</v>
      </c>
      <c r="BG283">
        <f>MAX(IF(INDEX(clean_historis!$CL:$CL,$BC283)=1,2025,0),IF(INDEX(clean_historis!$CK:$CK,$BC283)=1,2024,0),IF(INDEX(clean_historis!$CJ:$CJ,$BC283)=1,2023,0),IF(INDEX(clean_historis!$CI:$CI,$BC283)=1,2022,0),IF(INDEX(clean_historis!$CH:$CH,$BC283)=1,2021,0))</f>
        <v>2022</v>
      </c>
      <c r="BH283">
        <f t="shared" si="76"/>
        <v>7.9681274025264703E-2</v>
      </c>
      <c r="BI283">
        <f t="shared" si="77"/>
        <v>76.015935420102522</v>
      </c>
      <c r="BJ283">
        <f t="shared" si="78"/>
        <v>1</v>
      </c>
      <c r="BK283">
        <f t="shared" si="79"/>
        <v>13.317600000000001</v>
      </c>
      <c r="BL283">
        <f t="shared" si="80"/>
        <v>0</v>
      </c>
      <c r="BM283">
        <f t="shared" si="81"/>
        <v>0</v>
      </c>
      <c r="BN283">
        <v>0</v>
      </c>
      <c r="BO283">
        <f t="shared" si="84"/>
        <v>0</v>
      </c>
      <c r="BP283">
        <f t="shared" si="82"/>
        <v>1</v>
      </c>
      <c r="BQ283">
        <f t="shared" si="83"/>
        <v>0</v>
      </c>
    </row>
    <row r="284" spans="1:69" x14ac:dyDescent="0.25">
      <c r="A284">
        <v>283</v>
      </c>
      <c r="B284" t="s">
        <v>1172</v>
      </c>
      <c r="C284" t="s">
        <v>1173</v>
      </c>
      <c r="D284" t="s">
        <v>1174</v>
      </c>
      <c r="E284" t="s">
        <v>1175</v>
      </c>
      <c r="F284" t="s">
        <v>132</v>
      </c>
      <c r="G284">
        <v>1</v>
      </c>
      <c r="H284">
        <v>1</v>
      </c>
      <c r="I284">
        <v>574</v>
      </c>
      <c r="J284">
        <v>0</v>
      </c>
      <c r="K284">
        <v>0</v>
      </c>
      <c r="L284">
        <v>8528.7000000000007</v>
      </c>
      <c r="M284">
        <v>3060.9</v>
      </c>
      <c r="N284">
        <v>16607.400000000001</v>
      </c>
      <c r="O284">
        <v>590.6</v>
      </c>
      <c r="P284">
        <v>15006.1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0.95</v>
      </c>
      <c r="W284">
        <v>0.89999997615814209</v>
      </c>
      <c r="X284">
        <v>0</v>
      </c>
      <c r="Y284">
        <v>0</v>
      </c>
      <c r="Z284">
        <v>0</v>
      </c>
      <c r="AA284">
        <v>0</v>
      </c>
      <c r="AB284">
        <v>0.89999997615814209</v>
      </c>
      <c r="AC284">
        <v>0</v>
      </c>
      <c r="AD284">
        <v>0</v>
      </c>
      <c r="AE284">
        <v>0.89999997615814209</v>
      </c>
      <c r="AF284">
        <v>0</v>
      </c>
      <c r="AG284">
        <v>1</v>
      </c>
      <c r="AH284">
        <v>0</v>
      </c>
      <c r="AI284">
        <v>150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R284">
        <v>0</v>
      </c>
      <c r="AS284">
        <v>0</v>
      </c>
      <c r="AT284">
        <v>0</v>
      </c>
      <c r="AU284">
        <v>0</v>
      </c>
      <c r="AV284">
        <f t="shared" si="68"/>
        <v>0</v>
      </c>
      <c r="AW284">
        <f t="shared" si="69"/>
        <v>-1</v>
      </c>
      <c r="AX284">
        <f t="shared" si="70"/>
        <v>0</v>
      </c>
      <c r="AY284">
        <f t="shared" si="71"/>
        <v>0</v>
      </c>
      <c r="AZ284">
        <f t="shared" si="72"/>
        <v>0</v>
      </c>
      <c r="BA284" t="str">
        <f t="shared" si="73"/>
        <v/>
      </c>
      <c r="BB284">
        <f t="shared" si="74"/>
        <v>1</v>
      </c>
      <c r="BC284">
        <f>MATCH($B284,clean_historis!$B:$B,0)</f>
        <v>284</v>
      </c>
      <c r="BD284">
        <f>IFERROR(INDEX(clean_historis!$AF:$AF,$BC284)/INDEX(clean_historis!$V:$V,$BC284),0)</f>
        <v>1</v>
      </c>
      <c r="BE284">
        <f>IFERROR(INDEX(clean_historis!$AR:$AR,$BC284)/INDEX(clean_historis!$AH:$AH,$BC284),0)</f>
        <v>1</v>
      </c>
      <c r="BF284">
        <f t="shared" si="75"/>
        <v>0</v>
      </c>
      <c r="BG284">
        <f>MAX(IF(INDEX(clean_historis!$CL:$CL,$BC284)=1,2025,0),IF(INDEX(clean_historis!$CK:$CK,$BC284)=1,2024,0),IF(INDEX(clean_historis!$CJ:$CJ,$BC284)=1,2023,0),IF(INDEX(clean_historis!$CI:$CI,$BC284)=1,2022,0),IF(INDEX(clean_historis!$CH:$CH,$BC284)=1,2021,0))</f>
        <v>0</v>
      </c>
      <c r="BH284">
        <f t="shared" si="76"/>
        <v>0</v>
      </c>
      <c r="BI284">
        <f t="shared" si="77"/>
        <v>0</v>
      </c>
      <c r="BJ284">
        <f t="shared" si="78"/>
        <v>0</v>
      </c>
      <c r="BK284">
        <f t="shared" si="79"/>
        <v>43.203100000000006</v>
      </c>
      <c r="BL284">
        <f t="shared" si="80"/>
        <v>0</v>
      </c>
      <c r="BM284">
        <f t="shared" si="81"/>
        <v>0</v>
      </c>
      <c r="BN284">
        <v>0</v>
      </c>
      <c r="BO284">
        <f t="shared" si="84"/>
        <v>1</v>
      </c>
      <c r="BP284">
        <f t="shared" si="82"/>
        <v>0</v>
      </c>
      <c r="BQ284">
        <f t="shared" si="83"/>
        <v>1</v>
      </c>
    </row>
    <row r="285" spans="1:69" x14ac:dyDescent="0.25">
      <c r="A285">
        <v>284</v>
      </c>
      <c r="B285" t="s">
        <v>1176</v>
      </c>
      <c r="C285" t="s">
        <v>1177</v>
      </c>
      <c r="D285" t="s">
        <v>1178</v>
      </c>
      <c r="E285" t="s">
        <v>1179</v>
      </c>
      <c r="F285" t="s">
        <v>105</v>
      </c>
      <c r="G285">
        <v>2</v>
      </c>
      <c r="H285">
        <v>1</v>
      </c>
      <c r="I285">
        <v>1411</v>
      </c>
      <c r="J285">
        <v>0</v>
      </c>
      <c r="K285">
        <v>0</v>
      </c>
      <c r="L285">
        <v>1392.3</v>
      </c>
      <c r="M285">
        <v>2513.8000000000002</v>
      </c>
      <c r="N285">
        <v>5096.1000000000004</v>
      </c>
      <c r="O285">
        <v>1073.2</v>
      </c>
      <c r="P285">
        <v>6494.7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1.32</v>
      </c>
      <c r="W285">
        <v>0</v>
      </c>
      <c r="X285">
        <v>0</v>
      </c>
      <c r="Y285">
        <v>1.320000052452087</v>
      </c>
      <c r="Z285">
        <v>0</v>
      </c>
      <c r="AA285">
        <v>1.320000052452087</v>
      </c>
      <c r="AB285">
        <v>0</v>
      </c>
      <c r="AC285">
        <v>0</v>
      </c>
      <c r="AD285">
        <v>0</v>
      </c>
      <c r="AE285">
        <v>1.320000052452087</v>
      </c>
      <c r="AF285">
        <v>0</v>
      </c>
      <c r="AG285">
        <v>1</v>
      </c>
      <c r="AH285">
        <v>0</v>
      </c>
      <c r="AI285">
        <v>150</v>
      </c>
      <c r="AJ285">
        <v>1.320000052452087</v>
      </c>
      <c r="AK285">
        <v>0</v>
      </c>
      <c r="AL285">
        <v>0</v>
      </c>
      <c r="AM285">
        <v>0</v>
      </c>
      <c r="AN285">
        <v>0</v>
      </c>
      <c r="AO285">
        <v>0</v>
      </c>
      <c r="AR285">
        <v>0</v>
      </c>
      <c r="AS285">
        <v>0</v>
      </c>
      <c r="AT285">
        <v>0</v>
      </c>
      <c r="AU285">
        <v>0</v>
      </c>
      <c r="AV285">
        <f t="shared" si="68"/>
        <v>0</v>
      </c>
      <c r="AW285">
        <f t="shared" si="69"/>
        <v>0</v>
      </c>
      <c r="AX285">
        <f t="shared" si="70"/>
        <v>0</v>
      </c>
      <c r="AY285">
        <f t="shared" si="71"/>
        <v>0</v>
      </c>
      <c r="AZ285">
        <f t="shared" si="72"/>
        <v>0</v>
      </c>
      <c r="BA285" t="str">
        <f t="shared" si="73"/>
        <v/>
      </c>
      <c r="BB285">
        <f t="shared" si="74"/>
        <v>1</v>
      </c>
      <c r="BC285">
        <f>MATCH($B285,clean_historis!$B:$B,0)</f>
        <v>285</v>
      </c>
      <c r="BD285">
        <f>IFERROR(INDEX(clean_historis!$AF:$AF,$BC285)/INDEX(clean_historis!$V:$V,$BC285),0)</f>
        <v>0</v>
      </c>
      <c r="BE285">
        <f>IFERROR(INDEX(clean_historis!$AR:$AR,$BC285)/INDEX(clean_historis!$AH:$AH,$BC285),0)</f>
        <v>0</v>
      </c>
      <c r="BF285">
        <f t="shared" si="75"/>
        <v>0</v>
      </c>
      <c r="BG285">
        <f>MAX(IF(INDEX(clean_historis!$CL:$CL,$BC285)=1,2025,0),IF(INDEX(clean_historis!$CK:$CK,$BC285)=1,2024,0),IF(INDEX(clean_historis!$CJ:$CJ,$BC285)=1,2023,0),IF(INDEX(clean_historis!$CI:$CI,$BC285)=1,2022,0),IF(INDEX(clean_historis!$CH:$CH,$BC285)=1,2021,0))</f>
        <v>0</v>
      </c>
      <c r="BH285">
        <f t="shared" si="76"/>
        <v>0</v>
      </c>
      <c r="BI285">
        <f t="shared" si="77"/>
        <v>0</v>
      </c>
      <c r="BJ285">
        <f t="shared" si="78"/>
        <v>1</v>
      </c>
      <c r="BK285">
        <f t="shared" si="79"/>
        <v>15.496900000000002</v>
      </c>
      <c r="BL285">
        <f t="shared" si="80"/>
        <v>0</v>
      </c>
      <c r="BM285">
        <f t="shared" si="81"/>
        <v>0</v>
      </c>
      <c r="BN285">
        <v>0</v>
      </c>
      <c r="BO285">
        <f t="shared" si="84"/>
        <v>0</v>
      </c>
      <c r="BP285">
        <f t="shared" si="82"/>
        <v>0</v>
      </c>
      <c r="BQ285">
        <f t="shared" si="83"/>
        <v>0</v>
      </c>
    </row>
    <row r="286" spans="1:69" x14ac:dyDescent="0.25">
      <c r="A286">
        <v>285</v>
      </c>
      <c r="B286" t="s">
        <v>1180</v>
      </c>
      <c r="C286" t="s">
        <v>1181</v>
      </c>
      <c r="D286" t="s">
        <v>1182</v>
      </c>
      <c r="E286" t="s">
        <v>555</v>
      </c>
      <c r="F286" t="s">
        <v>105</v>
      </c>
      <c r="G286">
        <v>1</v>
      </c>
      <c r="H286">
        <v>1</v>
      </c>
      <c r="I286">
        <v>729</v>
      </c>
      <c r="J286">
        <v>0</v>
      </c>
      <c r="K286">
        <v>0</v>
      </c>
      <c r="L286">
        <v>957.5</v>
      </c>
      <c r="M286">
        <v>2079</v>
      </c>
      <c r="N286">
        <v>5530.9</v>
      </c>
      <c r="O286">
        <v>638.4</v>
      </c>
      <c r="P286">
        <v>6929.5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0.39</v>
      </c>
      <c r="W286">
        <v>0</v>
      </c>
      <c r="X286">
        <v>0</v>
      </c>
      <c r="Y286">
        <v>0.38999998569488531</v>
      </c>
      <c r="Z286">
        <v>0</v>
      </c>
      <c r="AA286">
        <v>0.28999999165534968</v>
      </c>
      <c r="AB286">
        <v>0.10000000149011611</v>
      </c>
      <c r="AC286">
        <v>0</v>
      </c>
      <c r="AD286">
        <v>0</v>
      </c>
      <c r="AE286">
        <v>0.38999999314546591</v>
      </c>
      <c r="AF286">
        <v>0</v>
      </c>
      <c r="AG286">
        <v>1</v>
      </c>
      <c r="AH286">
        <v>0</v>
      </c>
      <c r="AI286">
        <v>150</v>
      </c>
      <c r="AJ286">
        <v>0.28999999165534968</v>
      </c>
      <c r="AK286">
        <v>0.10000000149011611</v>
      </c>
      <c r="AL286">
        <v>0</v>
      </c>
      <c r="AM286">
        <v>0</v>
      </c>
      <c r="AN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f t="shared" si="68"/>
        <v>0</v>
      </c>
      <c r="AW286">
        <f t="shared" si="69"/>
        <v>0</v>
      </c>
      <c r="AX286">
        <f t="shared" si="70"/>
        <v>0</v>
      </c>
      <c r="AY286">
        <f t="shared" si="71"/>
        <v>0</v>
      </c>
      <c r="AZ286">
        <f t="shared" si="72"/>
        <v>0</v>
      </c>
      <c r="BA286" t="str">
        <f t="shared" si="73"/>
        <v/>
      </c>
      <c r="BB286">
        <f t="shared" si="74"/>
        <v>1</v>
      </c>
      <c r="BC286">
        <f>MATCH($B286,clean_historis!$B:$B,0)</f>
        <v>286</v>
      </c>
      <c r="BD286">
        <f>IFERROR(INDEX(clean_historis!$AF:$AF,$BC286)/INDEX(clean_historis!$V:$V,$BC286),0)</f>
        <v>0</v>
      </c>
      <c r="BE286">
        <f>IFERROR(INDEX(clean_historis!$AR:$AR,$BC286)/INDEX(clean_historis!$AH:$AH,$BC286),0)</f>
        <v>0</v>
      </c>
      <c r="BF286">
        <f t="shared" si="75"/>
        <v>0</v>
      </c>
      <c r="BG286">
        <f>MAX(IF(INDEX(clean_historis!$CL:$CL,$BC286)=1,2025,0),IF(INDEX(clean_historis!$CK:$CK,$BC286)=1,2024,0),IF(INDEX(clean_historis!$CJ:$CJ,$BC286)=1,2023,0),IF(INDEX(clean_historis!$CI:$CI,$BC286)=1,2022,0),IF(INDEX(clean_historis!$CH:$CH,$BC286)=1,2021,0))</f>
        <v>0</v>
      </c>
      <c r="BH286">
        <f t="shared" si="76"/>
        <v>0</v>
      </c>
      <c r="BI286">
        <f t="shared" si="77"/>
        <v>0</v>
      </c>
      <c r="BJ286">
        <f t="shared" si="78"/>
        <v>1</v>
      </c>
      <c r="BK286">
        <f t="shared" si="79"/>
        <v>15.4969</v>
      </c>
      <c r="BL286">
        <f t="shared" si="80"/>
        <v>0</v>
      </c>
      <c r="BM286">
        <f t="shared" si="81"/>
        <v>0</v>
      </c>
      <c r="BN286">
        <v>0</v>
      </c>
      <c r="BO286">
        <f t="shared" si="84"/>
        <v>1</v>
      </c>
      <c r="BP286">
        <f t="shared" si="82"/>
        <v>0</v>
      </c>
      <c r="BQ286">
        <f t="shared" si="83"/>
        <v>1</v>
      </c>
    </row>
    <row r="287" spans="1:69" x14ac:dyDescent="0.25">
      <c r="A287">
        <v>286</v>
      </c>
      <c r="B287" t="s">
        <v>1183</v>
      </c>
      <c r="C287" t="s">
        <v>1184</v>
      </c>
      <c r="D287" t="s">
        <v>1185</v>
      </c>
      <c r="E287" t="s">
        <v>405</v>
      </c>
      <c r="F287" t="s">
        <v>100</v>
      </c>
      <c r="G287">
        <v>2</v>
      </c>
      <c r="H287">
        <v>1</v>
      </c>
      <c r="I287">
        <v>1503</v>
      </c>
      <c r="J287">
        <v>0</v>
      </c>
      <c r="K287">
        <v>0</v>
      </c>
      <c r="L287">
        <v>5226.3999999999996</v>
      </c>
      <c r="M287">
        <v>4588.2</v>
      </c>
      <c r="N287">
        <v>6241.6</v>
      </c>
      <c r="O287">
        <v>1052.7</v>
      </c>
      <c r="P287">
        <v>4908.1000000000004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1.96</v>
      </c>
      <c r="W287">
        <v>0</v>
      </c>
      <c r="X287">
        <v>0</v>
      </c>
      <c r="Y287">
        <v>1.9600000381469731</v>
      </c>
      <c r="Z287">
        <v>0</v>
      </c>
      <c r="AA287">
        <v>0</v>
      </c>
      <c r="AB287">
        <v>1.9600000381469731</v>
      </c>
      <c r="AC287">
        <v>0</v>
      </c>
      <c r="AD287">
        <v>0</v>
      </c>
      <c r="AE287">
        <v>1.9600000381469731</v>
      </c>
      <c r="AF287">
        <v>0</v>
      </c>
      <c r="AG287">
        <v>1</v>
      </c>
      <c r="AH287">
        <v>0</v>
      </c>
      <c r="AI287">
        <v>150</v>
      </c>
      <c r="AJ287">
        <v>0</v>
      </c>
      <c r="AK287">
        <v>1.9600000381469731</v>
      </c>
      <c r="AL287">
        <v>0</v>
      </c>
      <c r="AM287">
        <v>0</v>
      </c>
      <c r="AN287">
        <v>1</v>
      </c>
      <c r="AO287">
        <v>3</v>
      </c>
      <c r="AP287">
        <v>2023</v>
      </c>
      <c r="AQ287">
        <v>3</v>
      </c>
      <c r="AR287">
        <v>0</v>
      </c>
      <c r="AS287">
        <v>0</v>
      </c>
      <c r="AT287">
        <v>0</v>
      </c>
      <c r="AU287">
        <v>0</v>
      </c>
      <c r="AV287">
        <f t="shared" si="68"/>
        <v>0</v>
      </c>
      <c r="AW287">
        <f t="shared" si="69"/>
        <v>0</v>
      </c>
      <c r="AX287">
        <f t="shared" si="70"/>
        <v>0</v>
      </c>
      <c r="AY287">
        <f t="shared" si="71"/>
        <v>0</v>
      </c>
      <c r="AZ287">
        <f t="shared" si="72"/>
        <v>0</v>
      </c>
      <c r="BA287" t="str">
        <f t="shared" si="73"/>
        <v/>
      </c>
      <c r="BB287">
        <f t="shared" si="74"/>
        <v>1</v>
      </c>
      <c r="BC287">
        <f>MATCH($B287,clean_historis!$B:$B,0)</f>
        <v>287</v>
      </c>
      <c r="BD287">
        <f>IFERROR(INDEX(clean_historis!$AF:$AF,$BC287)/INDEX(clean_historis!$V:$V,$BC287),0)</f>
        <v>0</v>
      </c>
      <c r="BE287">
        <f>IFERROR(INDEX(clean_historis!$AR:$AR,$BC287)/INDEX(clean_historis!$AH:$AH,$BC287),0)</f>
        <v>0</v>
      </c>
      <c r="BF287">
        <f t="shared" si="75"/>
        <v>0</v>
      </c>
      <c r="BG287">
        <f>MAX(IF(INDEX(clean_historis!$CL:$CL,$BC287)=1,2025,0),IF(INDEX(clean_historis!$CK:$CK,$BC287)=1,2024,0),IF(INDEX(clean_historis!$CJ:$CJ,$BC287)=1,2023,0),IF(INDEX(clean_historis!$CI:$CI,$BC287)=1,2022,0),IF(INDEX(clean_historis!$CH:$CH,$BC287)=1,2021,0))</f>
        <v>0</v>
      </c>
      <c r="BH287">
        <f t="shared" si="76"/>
        <v>0</v>
      </c>
      <c r="BI287">
        <f t="shared" si="77"/>
        <v>0</v>
      </c>
      <c r="BJ287">
        <f t="shared" si="78"/>
        <v>1</v>
      </c>
      <c r="BK287">
        <f t="shared" si="79"/>
        <v>20.964299999999998</v>
      </c>
      <c r="BL287">
        <f t="shared" si="80"/>
        <v>0</v>
      </c>
      <c r="BM287">
        <f t="shared" si="81"/>
        <v>0</v>
      </c>
      <c r="BN287">
        <v>0</v>
      </c>
      <c r="BO287">
        <f t="shared" si="84"/>
        <v>0</v>
      </c>
      <c r="BP287">
        <f t="shared" si="82"/>
        <v>1</v>
      </c>
      <c r="BQ287">
        <f t="shared" si="83"/>
        <v>0</v>
      </c>
    </row>
    <row r="288" spans="1:69" x14ac:dyDescent="0.25">
      <c r="A288">
        <v>287</v>
      </c>
      <c r="B288" t="s">
        <v>1186</v>
      </c>
      <c r="C288" t="s">
        <v>1187</v>
      </c>
      <c r="D288" t="s">
        <v>1188</v>
      </c>
      <c r="E288" t="s">
        <v>1189</v>
      </c>
      <c r="F288" t="s">
        <v>149</v>
      </c>
      <c r="G288">
        <v>2</v>
      </c>
      <c r="H288">
        <v>1</v>
      </c>
      <c r="I288">
        <v>1359</v>
      </c>
      <c r="J288">
        <v>0</v>
      </c>
      <c r="K288">
        <v>0</v>
      </c>
      <c r="L288">
        <v>3360.1</v>
      </c>
      <c r="M288">
        <v>2769.1</v>
      </c>
      <c r="N288">
        <v>8060.7</v>
      </c>
      <c r="O288">
        <v>1772.2</v>
      </c>
      <c r="P288">
        <v>6197.8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2.95</v>
      </c>
      <c r="W288">
        <v>0</v>
      </c>
      <c r="X288">
        <v>0</v>
      </c>
      <c r="Y288">
        <v>2.9500000476837158</v>
      </c>
      <c r="Z288">
        <v>0</v>
      </c>
      <c r="AA288">
        <v>0</v>
      </c>
      <c r="AB288">
        <v>1.049999952316284</v>
      </c>
      <c r="AC288">
        <v>1.6000000238418579</v>
      </c>
      <c r="AD288">
        <v>0.30000001192092901</v>
      </c>
      <c r="AE288">
        <v>1.049999952316284</v>
      </c>
      <c r="AF288">
        <v>1.9000000357627871</v>
      </c>
      <c r="AG288">
        <v>0.35593218866417847</v>
      </c>
      <c r="AH288">
        <v>0.64406781133582147</v>
      </c>
      <c r="AI288">
        <v>150</v>
      </c>
      <c r="AJ288">
        <v>0</v>
      </c>
      <c r="AK288">
        <v>1.049999952316284</v>
      </c>
      <c r="AL288">
        <v>1.6000000238418579</v>
      </c>
      <c r="AM288">
        <v>0.30000001192092901</v>
      </c>
      <c r="AN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f t="shared" si="68"/>
        <v>0</v>
      </c>
      <c r="AW288">
        <f t="shared" si="69"/>
        <v>3.3898309125738643E-2</v>
      </c>
      <c r="AX288">
        <f t="shared" si="70"/>
        <v>138.2033953222178</v>
      </c>
      <c r="AY288">
        <f t="shared" si="71"/>
        <v>0</v>
      </c>
      <c r="AZ288">
        <f t="shared" si="72"/>
        <v>0.30000001192092901</v>
      </c>
      <c r="BA288" t="str">
        <f t="shared" si="73"/>
        <v/>
      </c>
      <c r="BB288">
        <f t="shared" si="74"/>
        <v>0.35593218866417847</v>
      </c>
      <c r="BC288">
        <f>MATCH($B288,clean_historis!$B:$B,0)</f>
        <v>288</v>
      </c>
      <c r="BD288">
        <f>IFERROR(INDEX(clean_historis!$AF:$AF,$BC288)/INDEX(clean_historis!$V:$V,$BC288),0)</f>
        <v>6.7796610169491525E-2</v>
      </c>
      <c r="BE288">
        <f>IFERROR(INDEX(clean_historis!$AR:$AR,$BC288)/INDEX(clean_historis!$AH:$AH,$BC288),0)</f>
        <v>6.7796610169491525E-2</v>
      </c>
      <c r="BF288">
        <f t="shared" si="75"/>
        <v>0.10169491929523017</v>
      </c>
      <c r="BG288">
        <f>MAX(IF(INDEX(clean_historis!$CL:$CL,$BC288)=1,2025,0),IF(INDEX(clean_historis!$CK:$CK,$BC288)=1,2024,0),IF(INDEX(clean_historis!$CJ:$CJ,$BC288)=1,2023,0),IF(INDEX(clean_historis!$CI:$CI,$BC288)=1,2022,0),IF(INDEX(clean_historis!$CH:$CH,$BC288)=1,2021,0))</f>
        <v>0</v>
      </c>
      <c r="BH288">
        <f t="shared" si="76"/>
        <v>0.64406781133582158</v>
      </c>
      <c r="BI288">
        <f t="shared" si="77"/>
        <v>875.28815560538158</v>
      </c>
      <c r="BJ288">
        <f t="shared" si="78"/>
        <v>0</v>
      </c>
      <c r="BK288">
        <f t="shared" si="79"/>
        <v>20.387699999999999</v>
      </c>
      <c r="BL288">
        <f t="shared" si="80"/>
        <v>0</v>
      </c>
      <c r="BM288">
        <f t="shared" si="81"/>
        <v>0</v>
      </c>
      <c r="BN288">
        <v>0</v>
      </c>
      <c r="BO288">
        <f t="shared" si="84"/>
        <v>0</v>
      </c>
      <c r="BP288">
        <f t="shared" si="82"/>
        <v>0</v>
      </c>
      <c r="BQ288">
        <f t="shared" si="83"/>
        <v>1</v>
      </c>
    </row>
    <row r="289" spans="1:69" x14ac:dyDescent="0.25">
      <c r="A289">
        <v>288</v>
      </c>
      <c r="B289" t="s">
        <v>1190</v>
      </c>
      <c r="C289" t="s">
        <v>1191</v>
      </c>
      <c r="D289" t="s">
        <v>1192</v>
      </c>
      <c r="E289" t="s">
        <v>1193</v>
      </c>
      <c r="F289" t="s">
        <v>127</v>
      </c>
      <c r="G289">
        <v>1</v>
      </c>
      <c r="H289">
        <v>1</v>
      </c>
      <c r="I289">
        <v>565</v>
      </c>
      <c r="J289">
        <v>0</v>
      </c>
      <c r="K289">
        <v>0</v>
      </c>
      <c r="L289">
        <v>8386.2999999999993</v>
      </c>
      <c r="M289">
        <v>6269.2</v>
      </c>
      <c r="N289">
        <v>10658.9</v>
      </c>
      <c r="O289">
        <v>335.2</v>
      </c>
      <c r="P289">
        <v>12330.7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0.47</v>
      </c>
      <c r="W289">
        <v>0</v>
      </c>
      <c r="X289">
        <v>0</v>
      </c>
      <c r="Y289">
        <v>0.4699999988079071</v>
      </c>
      <c r="Z289">
        <v>0</v>
      </c>
      <c r="AA289">
        <v>0</v>
      </c>
      <c r="AB289">
        <v>0.4699999988079071</v>
      </c>
      <c r="AC289">
        <v>0</v>
      </c>
      <c r="AD289">
        <v>0</v>
      </c>
      <c r="AE289">
        <v>0.4699999988079071</v>
      </c>
      <c r="AF289">
        <v>0</v>
      </c>
      <c r="AG289">
        <v>1</v>
      </c>
      <c r="AH289">
        <v>0</v>
      </c>
      <c r="AI289">
        <v>150</v>
      </c>
      <c r="AJ289">
        <v>0</v>
      </c>
      <c r="AK289">
        <v>0.4699999988079071</v>
      </c>
      <c r="AL289">
        <v>0</v>
      </c>
      <c r="AM289">
        <v>0</v>
      </c>
      <c r="AN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f t="shared" si="68"/>
        <v>0</v>
      </c>
      <c r="AW289">
        <f t="shared" si="69"/>
        <v>0</v>
      </c>
      <c r="AX289">
        <f t="shared" si="70"/>
        <v>0</v>
      </c>
      <c r="AY289">
        <f t="shared" si="71"/>
        <v>0</v>
      </c>
      <c r="AZ289">
        <f t="shared" si="72"/>
        <v>0</v>
      </c>
      <c r="BA289" t="str">
        <f t="shared" si="73"/>
        <v/>
      </c>
      <c r="BB289">
        <f t="shared" si="74"/>
        <v>1</v>
      </c>
      <c r="BC289">
        <f>MATCH($B289,clean_historis!$B:$B,0)</f>
        <v>289</v>
      </c>
      <c r="BD289">
        <f>IFERROR(INDEX(clean_historis!$AF:$AF,$BC289)/INDEX(clean_historis!$V:$V,$BC289),0)</f>
        <v>0</v>
      </c>
      <c r="BE289">
        <f>IFERROR(INDEX(clean_historis!$AR:$AR,$BC289)/INDEX(clean_historis!$AH:$AH,$BC289),0)</f>
        <v>0</v>
      </c>
      <c r="BF289">
        <f t="shared" si="75"/>
        <v>0</v>
      </c>
      <c r="BG289">
        <f>MAX(IF(INDEX(clean_historis!$CL:$CL,$BC289)=1,2025,0),IF(INDEX(clean_historis!$CK:$CK,$BC289)=1,2024,0),IF(INDEX(clean_historis!$CJ:$CJ,$BC289)=1,2023,0),IF(INDEX(clean_historis!$CI:$CI,$BC289)=1,2022,0),IF(INDEX(clean_historis!$CH:$CH,$BC289)=1,2021,0))</f>
        <v>0</v>
      </c>
      <c r="BH289">
        <f t="shared" si="76"/>
        <v>0</v>
      </c>
      <c r="BI289">
        <f t="shared" si="77"/>
        <v>0</v>
      </c>
      <c r="BJ289">
        <f t="shared" si="78"/>
        <v>0</v>
      </c>
      <c r="BK289">
        <f t="shared" si="79"/>
        <v>37.645099999999999</v>
      </c>
      <c r="BL289">
        <f t="shared" si="80"/>
        <v>0</v>
      </c>
      <c r="BM289">
        <f t="shared" si="81"/>
        <v>0</v>
      </c>
      <c r="BN289">
        <v>0</v>
      </c>
      <c r="BO289">
        <f t="shared" si="84"/>
        <v>1</v>
      </c>
      <c r="BP289">
        <f t="shared" si="82"/>
        <v>0</v>
      </c>
      <c r="BQ289">
        <f t="shared" si="83"/>
        <v>1</v>
      </c>
    </row>
    <row r="290" spans="1:69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1197</v>
      </c>
      <c r="F290" t="s">
        <v>176</v>
      </c>
      <c r="G290">
        <v>1</v>
      </c>
      <c r="H290">
        <v>1</v>
      </c>
      <c r="I290">
        <v>495</v>
      </c>
      <c r="J290">
        <v>0</v>
      </c>
      <c r="K290">
        <v>0</v>
      </c>
      <c r="L290">
        <v>5634</v>
      </c>
      <c r="M290">
        <v>2753.5</v>
      </c>
      <c r="N290">
        <v>5419.8</v>
      </c>
      <c r="O290">
        <v>727.9</v>
      </c>
      <c r="P290">
        <v>6901.8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0.73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150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2</v>
      </c>
      <c r="AP290">
        <v>2023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f t="shared" si="68"/>
        <v>0</v>
      </c>
      <c r="AW290">
        <f t="shared" si="69"/>
        <v>-1</v>
      </c>
      <c r="AX290">
        <f t="shared" si="70"/>
        <v>0</v>
      </c>
      <c r="AY290">
        <f t="shared" si="71"/>
        <v>0</v>
      </c>
      <c r="AZ290">
        <f t="shared" si="72"/>
        <v>0</v>
      </c>
      <c r="BA290" t="str">
        <f t="shared" si="73"/>
        <v/>
      </c>
      <c r="BB290">
        <f t="shared" si="74"/>
        <v>0</v>
      </c>
      <c r="BC290">
        <f>MATCH($B290,clean_historis!$B:$B,0)</f>
        <v>290</v>
      </c>
      <c r="BD290">
        <f>IFERROR(INDEX(clean_historis!$AF:$AF,$BC290)/INDEX(clean_historis!$V:$V,$BC290),0)</f>
        <v>1</v>
      </c>
      <c r="BE290">
        <f>IFERROR(INDEX(clean_historis!$AR:$AR,$BC290)/INDEX(clean_historis!$AH:$AH,$BC290),0)</f>
        <v>1</v>
      </c>
      <c r="BF290">
        <f t="shared" si="75"/>
        <v>0</v>
      </c>
      <c r="BG290">
        <f>MAX(IF(INDEX(clean_historis!$CL:$CL,$BC290)=1,2025,0),IF(INDEX(clean_historis!$CK:$CK,$BC290)=1,2024,0),IF(INDEX(clean_historis!$CJ:$CJ,$BC290)=1,2023,0),IF(INDEX(clean_historis!$CI:$CI,$BC290)=1,2022,0),IF(INDEX(clean_historis!$CH:$CH,$BC290)=1,2021,0))</f>
        <v>0</v>
      </c>
      <c r="BH290">
        <f t="shared" si="76"/>
        <v>1</v>
      </c>
      <c r="BI290">
        <f t="shared" si="77"/>
        <v>495</v>
      </c>
      <c r="BJ290">
        <f t="shared" si="78"/>
        <v>0</v>
      </c>
      <c r="BK290">
        <f t="shared" si="79"/>
        <v>20.709099999999999</v>
      </c>
      <c r="BL290">
        <f t="shared" si="80"/>
        <v>0</v>
      </c>
      <c r="BM290">
        <f t="shared" si="81"/>
        <v>0</v>
      </c>
      <c r="BN290">
        <v>0</v>
      </c>
      <c r="BO290">
        <f t="shared" si="84"/>
        <v>1</v>
      </c>
      <c r="BP290">
        <f t="shared" si="82"/>
        <v>1</v>
      </c>
      <c r="BQ290">
        <f t="shared" si="83"/>
        <v>1</v>
      </c>
    </row>
    <row r="291" spans="1:69" x14ac:dyDescent="0.25">
      <c r="A291">
        <v>290</v>
      </c>
      <c r="B291" t="s">
        <v>1198</v>
      </c>
      <c r="C291" t="s">
        <v>1199</v>
      </c>
      <c r="D291" t="s">
        <v>1200</v>
      </c>
      <c r="E291" t="s">
        <v>1201</v>
      </c>
      <c r="F291" t="s">
        <v>118</v>
      </c>
      <c r="G291">
        <v>4</v>
      </c>
      <c r="H291">
        <v>2</v>
      </c>
      <c r="I291">
        <v>2401</v>
      </c>
      <c r="J291">
        <v>0</v>
      </c>
      <c r="K291">
        <v>1</v>
      </c>
      <c r="L291">
        <v>6314.2</v>
      </c>
      <c r="M291">
        <v>3852.2</v>
      </c>
      <c r="N291">
        <v>7167.9</v>
      </c>
      <c r="O291">
        <v>121</v>
      </c>
      <c r="P291">
        <v>6663.9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5.85</v>
      </c>
      <c r="W291">
        <v>0</v>
      </c>
      <c r="X291">
        <v>0</v>
      </c>
      <c r="Y291">
        <v>5.0500001907348633</v>
      </c>
      <c r="Z291">
        <v>0</v>
      </c>
      <c r="AA291">
        <v>0</v>
      </c>
      <c r="AB291">
        <v>1.3999999761581421</v>
      </c>
      <c r="AC291">
        <v>2.2999999523162842</v>
      </c>
      <c r="AD291">
        <v>1.3500000238418579</v>
      </c>
      <c r="AE291">
        <v>1.3999999761581421</v>
      </c>
      <c r="AF291">
        <v>3.6499999761581421</v>
      </c>
      <c r="AG291">
        <v>0.27722772066879009</v>
      </c>
      <c r="AH291">
        <v>0.72277227933120991</v>
      </c>
      <c r="AI291">
        <v>150</v>
      </c>
      <c r="AJ291">
        <v>0</v>
      </c>
      <c r="AK291">
        <v>1.3999999761581421</v>
      </c>
      <c r="AL291">
        <v>2.2999999523162842</v>
      </c>
      <c r="AM291">
        <v>1.3500000238418579</v>
      </c>
      <c r="AN291">
        <v>1</v>
      </c>
      <c r="AO291">
        <v>1</v>
      </c>
      <c r="AP291">
        <v>2021</v>
      </c>
      <c r="AQ291">
        <v>5</v>
      </c>
      <c r="AR291">
        <v>0</v>
      </c>
      <c r="AS291">
        <v>0</v>
      </c>
      <c r="AT291">
        <v>0</v>
      </c>
      <c r="AU291">
        <v>0</v>
      </c>
      <c r="AV291">
        <f t="shared" si="68"/>
        <v>8.5470085470085472E-2</v>
      </c>
      <c r="AW291">
        <f t="shared" si="69"/>
        <v>5.9829063904591112E-2</v>
      </c>
      <c r="AX291">
        <f t="shared" si="70"/>
        <v>554.07693286227368</v>
      </c>
      <c r="AY291">
        <f t="shared" si="71"/>
        <v>0</v>
      </c>
      <c r="AZ291">
        <f t="shared" si="72"/>
        <v>1.3500000238418579</v>
      </c>
      <c r="BA291" t="str">
        <f t="shared" si="73"/>
        <v/>
      </c>
      <c r="BB291">
        <f t="shared" si="74"/>
        <v>0.27722772066879009</v>
      </c>
      <c r="BC291">
        <f>MATCH($B291,clean_historis!$B:$B,0)</f>
        <v>291</v>
      </c>
      <c r="BD291">
        <f>IFERROR(INDEX(clean_historis!$AF:$AF,$BC291)/INDEX(clean_historis!$V:$V,$BC291),0)</f>
        <v>8.5470085470085472E-2</v>
      </c>
      <c r="BE291">
        <f>IFERROR(INDEX(clean_historis!$AR:$AR,$BC291)/INDEX(clean_historis!$AH:$AH,$BC291),0)</f>
        <v>0.17094017094017094</v>
      </c>
      <c r="BF291">
        <f t="shared" si="75"/>
        <v>0.23076923484476206</v>
      </c>
      <c r="BG291">
        <f>MAX(IF(INDEX(clean_historis!$CL:$CL,$BC291)=1,2025,0),IF(INDEX(clean_historis!$CK:$CK,$BC291)=1,2024,0),IF(INDEX(clean_historis!$CJ:$CJ,$BC291)=1,2023,0),IF(INDEX(clean_historis!$CI:$CI,$BC291)=1,2022,0),IF(INDEX(clean_historis!$CH:$CH,$BC291)=1,2021,0))</f>
        <v>0</v>
      </c>
      <c r="BH291">
        <f t="shared" si="76"/>
        <v>0.72277227933120991</v>
      </c>
      <c r="BI291">
        <f t="shared" si="77"/>
        <v>1735.3762426742351</v>
      </c>
      <c r="BJ291">
        <f t="shared" si="78"/>
        <v>0</v>
      </c>
      <c r="BK291">
        <f t="shared" si="79"/>
        <v>23.998200000000001</v>
      </c>
      <c r="BL291">
        <f t="shared" si="80"/>
        <v>0</v>
      </c>
      <c r="BM291">
        <f t="shared" si="81"/>
        <v>0</v>
      </c>
      <c r="BN291">
        <v>0</v>
      </c>
      <c r="BO291">
        <f t="shared" si="84"/>
        <v>0</v>
      </c>
      <c r="BP291">
        <f t="shared" si="82"/>
        <v>1</v>
      </c>
      <c r="BQ291">
        <f t="shared" si="83"/>
        <v>1</v>
      </c>
    </row>
    <row r="292" spans="1:69" x14ac:dyDescent="0.25">
      <c r="A292">
        <v>291</v>
      </c>
      <c r="B292" t="s">
        <v>1202</v>
      </c>
      <c r="C292" t="s">
        <v>1203</v>
      </c>
      <c r="D292" t="s">
        <v>1204</v>
      </c>
      <c r="E292" t="s">
        <v>1205</v>
      </c>
      <c r="F292" t="s">
        <v>105</v>
      </c>
      <c r="G292">
        <v>1</v>
      </c>
      <c r="H292">
        <v>1</v>
      </c>
      <c r="I292">
        <v>492</v>
      </c>
      <c r="J292">
        <v>0</v>
      </c>
      <c r="K292">
        <v>1</v>
      </c>
      <c r="L292">
        <v>3865.4</v>
      </c>
      <c r="M292">
        <v>1123.7</v>
      </c>
      <c r="N292">
        <v>3945.7</v>
      </c>
      <c r="O292">
        <v>891.5</v>
      </c>
      <c r="P292">
        <v>4159.1000000000004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0.84</v>
      </c>
      <c r="W292">
        <v>0</v>
      </c>
      <c r="X292">
        <v>0</v>
      </c>
      <c r="Y292">
        <v>0.8399999737739563</v>
      </c>
      <c r="Z292">
        <v>0</v>
      </c>
      <c r="AA292">
        <v>0</v>
      </c>
      <c r="AB292">
        <v>0.30000001192092901</v>
      </c>
      <c r="AC292">
        <v>0.54000002145767212</v>
      </c>
      <c r="AD292">
        <v>0</v>
      </c>
      <c r="AE292">
        <v>0.30000001192092901</v>
      </c>
      <c r="AF292">
        <v>0.54000002145767212</v>
      </c>
      <c r="AG292">
        <v>0.35714285714285721</v>
      </c>
      <c r="AH292">
        <v>0.6428571428571429</v>
      </c>
      <c r="AI292">
        <v>150</v>
      </c>
      <c r="AJ292">
        <v>0</v>
      </c>
      <c r="AK292">
        <v>0.30000001192092901</v>
      </c>
      <c r="AL292">
        <v>0.54000002145767212</v>
      </c>
      <c r="AM292">
        <v>0</v>
      </c>
      <c r="AN292">
        <v>1</v>
      </c>
      <c r="AO292">
        <v>1</v>
      </c>
      <c r="AP292">
        <v>2023</v>
      </c>
      <c r="AQ292">
        <v>3</v>
      </c>
      <c r="AR292">
        <v>0</v>
      </c>
      <c r="AS292">
        <v>0</v>
      </c>
      <c r="AT292">
        <v>0</v>
      </c>
      <c r="AU292">
        <v>0</v>
      </c>
      <c r="AV292">
        <f t="shared" si="68"/>
        <v>0</v>
      </c>
      <c r="AW292">
        <f t="shared" si="69"/>
        <v>0</v>
      </c>
      <c r="AX292">
        <f t="shared" si="70"/>
        <v>0</v>
      </c>
      <c r="AY292">
        <f t="shared" si="71"/>
        <v>0</v>
      </c>
      <c r="AZ292">
        <f t="shared" si="72"/>
        <v>0</v>
      </c>
      <c r="BA292" t="str">
        <f t="shared" si="73"/>
        <v/>
      </c>
      <c r="BB292">
        <f t="shared" si="74"/>
        <v>0.35714285714285721</v>
      </c>
      <c r="BC292">
        <f>MATCH($B292,clean_historis!$B:$B,0)</f>
        <v>292</v>
      </c>
      <c r="BD292">
        <f>IFERROR(INDEX(clean_historis!$AF:$AF,$BC292)/INDEX(clean_historis!$V:$V,$BC292),0)</f>
        <v>0</v>
      </c>
      <c r="BE292">
        <f>IFERROR(INDEX(clean_historis!$AR:$AR,$BC292)/INDEX(clean_historis!$AH:$AH,$BC292),0)</f>
        <v>0</v>
      </c>
      <c r="BF292">
        <f t="shared" si="75"/>
        <v>0</v>
      </c>
      <c r="BG292">
        <f>MAX(IF(INDEX(clean_historis!$CL:$CL,$BC292)=1,2025,0),IF(INDEX(clean_historis!$CK:$CK,$BC292)=1,2024,0),IF(INDEX(clean_historis!$CJ:$CJ,$BC292)=1,2023,0),IF(INDEX(clean_historis!$CI:$CI,$BC292)=1,2022,0),IF(INDEX(clean_historis!$CH:$CH,$BC292)=1,2021,0))</f>
        <v>0</v>
      </c>
      <c r="BH292">
        <f t="shared" si="76"/>
        <v>0.64285714285714279</v>
      </c>
      <c r="BI292">
        <f t="shared" si="77"/>
        <v>316.28571428571428</v>
      </c>
      <c r="BJ292">
        <f t="shared" si="78"/>
        <v>1</v>
      </c>
      <c r="BK292">
        <f t="shared" si="79"/>
        <v>13.093900000000001</v>
      </c>
      <c r="BL292">
        <f t="shared" si="80"/>
        <v>0</v>
      </c>
      <c r="BM292">
        <f t="shared" si="81"/>
        <v>0</v>
      </c>
      <c r="BN292">
        <v>0</v>
      </c>
      <c r="BO292">
        <f t="shared" si="84"/>
        <v>1</v>
      </c>
      <c r="BP292">
        <f t="shared" si="82"/>
        <v>1</v>
      </c>
      <c r="BQ292">
        <f t="shared" si="83"/>
        <v>1</v>
      </c>
    </row>
    <row r="293" spans="1:69" x14ac:dyDescent="0.25">
      <c r="A293">
        <v>292</v>
      </c>
      <c r="B293" t="s">
        <v>1206</v>
      </c>
      <c r="C293" t="s">
        <v>1207</v>
      </c>
      <c r="D293" t="s">
        <v>1208</v>
      </c>
      <c r="E293" t="s">
        <v>1209</v>
      </c>
      <c r="F293" t="s">
        <v>539</v>
      </c>
      <c r="G293">
        <v>4</v>
      </c>
      <c r="H293">
        <v>2</v>
      </c>
      <c r="I293">
        <v>1779</v>
      </c>
      <c r="J293">
        <v>0</v>
      </c>
      <c r="K293">
        <v>1</v>
      </c>
      <c r="L293">
        <v>5776.8</v>
      </c>
      <c r="M293">
        <v>3264.6</v>
      </c>
      <c r="N293">
        <v>5785.9</v>
      </c>
      <c r="O293">
        <v>481.5</v>
      </c>
      <c r="P293">
        <v>6095.2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5.17</v>
      </c>
      <c r="W293">
        <v>0</v>
      </c>
      <c r="X293">
        <v>0</v>
      </c>
      <c r="Y293">
        <v>5.1700000762939453</v>
      </c>
      <c r="Z293">
        <v>0</v>
      </c>
      <c r="AA293">
        <v>5.1700000762939453</v>
      </c>
      <c r="AB293">
        <v>0</v>
      </c>
      <c r="AC293">
        <v>0</v>
      </c>
      <c r="AD293">
        <v>0</v>
      </c>
      <c r="AE293">
        <v>5.1700000762939453</v>
      </c>
      <c r="AF293">
        <v>0</v>
      </c>
      <c r="AG293">
        <v>1</v>
      </c>
      <c r="AH293">
        <v>0</v>
      </c>
      <c r="AI293">
        <v>150</v>
      </c>
      <c r="AJ293">
        <v>5.1700000762939453</v>
      </c>
      <c r="AK293">
        <v>0</v>
      </c>
      <c r="AL293">
        <v>0</v>
      </c>
      <c r="AM293">
        <v>0</v>
      </c>
      <c r="AN293">
        <v>1</v>
      </c>
      <c r="AO293">
        <v>2</v>
      </c>
      <c r="AP293">
        <v>2024</v>
      </c>
      <c r="AQ293">
        <v>2</v>
      </c>
      <c r="AR293">
        <v>0</v>
      </c>
      <c r="AS293">
        <v>0</v>
      </c>
      <c r="AT293">
        <v>0</v>
      </c>
      <c r="AU293">
        <v>0</v>
      </c>
      <c r="AV293">
        <f t="shared" si="68"/>
        <v>0.30947775628626695</v>
      </c>
      <c r="AW293">
        <f t="shared" si="69"/>
        <v>-0.30947775628626695</v>
      </c>
      <c r="AX293">
        <f t="shared" si="70"/>
        <v>0</v>
      </c>
      <c r="AY293">
        <f t="shared" si="71"/>
        <v>0</v>
      </c>
      <c r="AZ293">
        <f t="shared" si="72"/>
        <v>0</v>
      </c>
      <c r="BA293" t="str">
        <f t="shared" si="73"/>
        <v/>
      </c>
      <c r="BB293">
        <f t="shared" si="74"/>
        <v>1</v>
      </c>
      <c r="BC293">
        <f>MATCH($B293,clean_historis!$B:$B,0)</f>
        <v>293</v>
      </c>
      <c r="BD293">
        <f>IFERROR(INDEX(clean_historis!$AF:$AF,$BC293)/INDEX(clean_historis!$V:$V,$BC293),0)</f>
        <v>0</v>
      </c>
      <c r="BE293">
        <f>IFERROR(INDEX(clean_historis!$AR:$AR,$BC293)/INDEX(clean_historis!$AH:$AH,$BC293),0)</f>
        <v>0.30947775628626695</v>
      </c>
      <c r="BF293">
        <f t="shared" si="75"/>
        <v>0</v>
      </c>
      <c r="BG293">
        <f>MAX(IF(INDEX(clean_historis!$CL:$CL,$BC293)=1,2025,0),IF(INDEX(clean_historis!$CK:$CK,$BC293)=1,2024,0),IF(INDEX(clean_historis!$CJ:$CJ,$BC293)=1,2023,0),IF(INDEX(clean_historis!$CI:$CI,$BC293)=1,2022,0),IF(INDEX(clean_historis!$CH:$CH,$BC293)=1,2021,0))</f>
        <v>0</v>
      </c>
      <c r="BH293">
        <f t="shared" si="76"/>
        <v>0</v>
      </c>
      <c r="BI293">
        <f t="shared" si="77"/>
        <v>0</v>
      </c>
      <c r="BJ293">
        <f t="shared" si="78"/>
        <v>0</v>
      </c>
      <c r="BK293">
        <f t="shared" si="79"/>
        <v>20.922499999999999</v>
      </c>
      <c r="BL293">
        <f t="shared" si="80"/>
        <v>0</v>
      </c>
      <c r="BM293">
        <f t="shared" si="81"/>
        <v>0</v>
      </c>
      <c r="BN293">
        <v>0</v>
      </c>
      <c r="BO293">
        <f t="shared" si="84"/>
        <v>0</v>
      </c>
      <c r="BP293">
        <f t="shared" si="82"/>
        <v>1</v>
      </c>
      <c r="BQ293">
        <f t="shared" si="83"/>
        <v>0</v>
      </c>
    </row>
    <row r="294" spans="1:69" x14ac:dyDescent="0.25">
      <c r="A294">
        <v>293</v>
      </c>
      <c r="B294" t="s">
        <v>1210</v>
      </c>
      <c r="C294" t="s">
        <v>1211</v>
      </c>
      <c r="D294" t="s">
        <v>1212</v>
      </c>
      <c r="E294" t="s">
        <v>1213</v>
      </c>
      <c r="F294" t="s">
        <v>539</v>
      </c>
      <c r="G294">
        <v>2</v>
      </c>
      <c r="H294">
        <v>2</v>
      </c>
      <c r="I294">
        <v>1153</v>
      </c>
      <c r="J294">
        <v>0</v>
      </c>
      <c r="K294">
        <v>1</v>
      </c>
      <c r="L294">
        <v>6316.2</v>
      </c>
      <c r="M294">
        <v>4199.1000000000004</v>
      </c>
      <c r="N294">
        <v>8588.7000000000007</v>
      </c>
      <c r="O294">
        <v>1937.1</v>
      </c>
      <c r="P294">
        <v>10260.6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6.35</v>
      </c>
      <c r="W294">
        <v>0</v>
      </c>
      <c r="X294">
        <v>0</v>
      </c>
      <c r="Y294">
        <v>6.0999999046325684</v>
      </c>
      <c r="Z294">
        <v>0</v>
      </c>
      <c r="AA294">
        <v>0.60000002384185791</v>
      </c>
      <c r="AB294">
        <v>3.2999999523162842</v>
      </c>
      <c r="AC294">
        <v>0.40000000596046448</v>
      </c>
      <c r="AD294">
        <v>1.799999952316284</v>
      </c>
      <c r="AE294">
        <v>3.8999999761581421</v>
      </c>
      <c r="AF294">
        <v>2.1999999582767491</v>
      </c>
      <c r="AG294">
        <v>0.63934426525849486</v>
      </c>
      <c r="AH294">
        <v>0.36065573474150509</v>
      </c>
      <c r="AI294">
        <v>150</v>
      </c>
      <c r="AJ294">
        <v>0.60000002384185791</v>
      </c>
      <c r="AK294">
        <v>3.2999999523162842</v>
      </c>
      <c r="AL294">
        <v>0.40000000596046448</v>
      </c>
      <c r="AM294">
        <v>1.799999952316284</v>
      </c>
      <c r="AN294">
        <v>1</v>
      </c>
      <c r="AO294">
        <v>2</v>
      </c>
      <c r="AP294">
        <v>2025</v>
      </c>
      <c r="AQ294">
        <v>1</v>
      </c>
      <c r="AR294">
        <v>1</v>
      </c>
      <c r="AS294">
        <v>0</v>
      </c>
      <c r="AT294">
        <v>1</v>
      </c>
      <c r="AU294">
        <v>0</v>
      </c>
      <c r="AV294">
        <f t="shared" si="68"/>
        <v>0.17322834645669308</v>
      </c>
      <c r="AW294">
        <f t="shared" si="69"/>
        <v>-8.6614180737593249E-2</v>
      </c>
      <c r="AX294">
        <f t="shared" si="70"/>
        <v>326.83463701112998</v>
      </c>
      <c r="AY294">
        <f t="shared" si="71"/>
        <v>0</v>
      </c>
      <c r="AZ294">
        <f t="shared" si="72"/>
        <v>1.799999952316284</v>
      </c>
      <c r="BA294">
        <f t="shared" si="73"/>
        <v>0</v>
      </c>
      <c r="BB294">
        <f t="shared" si="74"/>
        <v>0.63934426525849486</v>
      </c>
      <c r="BC294">
        <f>MATCH($B294,clean_historis!$B:$B,0)</f>
        <v>294</v>
      </c>
      <c r="BD294">
        <f>IFERROR(INDEX(clean_historis!$AF:$AF,$BC294)/INDEX(clean_historis!$V:$V,$BC294),0)</f>
        <v>0.19685039370078741</v>
      </c>
      <c r="BE294">
        <f>IFERROR(INDEX(clean_historis!$AR:$AR,$BC294)/INDEX(clean_historis!$AH:$AH,$BC294),0)</f>
        <v>0.37007874015748049</v>
      </c>
      <c r="BF294">
        <f t="shared" si="75"/>
        <v>0.28346455941988724</v>
      </c>
      <c r="BG294">
        <f>MAX(IF(INDEX(clean_historis!$CL:$CL,$BC294)=1,2025,0),IF(INDEX(clean_historis!$CK:$CK,$BC294)=1,2024,0),IF(INDEX(clean_historis!$CJ:$CJ,$BC294)=1,2023,0),IF(INDEX(clean_historis!$CI:$CI,$BC294)=1,2022,0),IF(INDEX(clean_historis!$CH:$CH,$BC294)=1,2021,0))</f>
        <v>2025</v>
      </c>
      <c r="BH294">
        <f t="shared" si="76"/>
        <v>0.36065573474150514</v>
      </c>
      <c r="BI294">
        <f t="shared" si="77"/>
        <v>415.83606215695545</v>
      </c>
      <c r="BJ294">
        <f t="shared" si="78"/>
        <v>0</v>
      </c>
      <c r="BK294">
        <f t="shared" si="79"/>
        <v>29.364599999999999</v>
      </c>
      <c r="BL294">
        <f t="shared" si="80"/>
        <v>0</v>
      </c>
      <c r="BM294">
        <f t="shared" si="81"/>
        <v>0</v>
      </c>
      <c r="BN294">
        <v>1</v>
      </c>
      <c r="BO294">
        <f t="shared" si="84"/>
        <v>0</v>
      </c>
      <c r="BP294">
        <f t="shared" si="82"/>
        <v>1</v>
      </c>
      <c r="BQ294">
        <f t="shared" si="83"/>
        <v>0</v>
      </c>
    </row>
    <row r="295" spans="1:69" x14ac:dyDescent="0.25">
      <c r="A295">
        <v>294</v>
      </c>
      <c r="B295" t="s">
        <v>1214</v>
      </c>
      <c r="C295" t="s">
        <v>1215</v>
      </c>
      <c r="D295" t="s">
        <v>1216</v>
      </c>
      <c r="E295" t="s">
        <v>1217</v>
      </c>
      <c r="F295" t="s">
        <v>176</v>
      </c>
      <c r="G295">
        <v>2</v>
      </c>
      <c r="H295">
        <v>1</v>
      </c>
      <c r="I295">
        <v>980</v>
      </c>
      <c r="J295">
        <v>0</v>
      </c>
      <c r="K295">
        <v>1</v>
      </c>
      <c r="L295">
        <v>2816.5</v>
      </c>
      <c r="M295">
        <v>1392.3</v>
      </c>
      <c r="N295">
        <v>5358.1</v>
      </c>
      <c r="O295">
        <v>646.4</v>
      </c>
      <c r="P295">
        <v>7030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2.62</v>
      </c>
      <c r="W295">
        <v>0</v>
      </c>
      <c r="X295">
        <v>0</v>
      </c>
      <c r="Y295">
        <v>2.619999885559082</v>
      </c>
      <c r="Z295">
        <v>0</v>
      </c>
      <c r="AA295">
        <v>0</v>
      </c>
      <c r="AB295">
        <v>0.31999999284744263</v>
      </c>
      <c r="AC295">
        <v>0.69999998807907104</v>
      </c>
      <c r="AD295">
        <v>1.6000000238418579</v>
      </c>
      <c r="AE295">
        <v>0.31999999284744263</v>
      </c>
      <c r="AF295">
        <v>2.300000011920929</v>
      </c>
      <c r="AG295">
        <v>0.1221374016278802</v>
      </c>
      <c r="AH295">
        <v>0.87786259837211977</v>
      </c>
      <c r="AI295">
        <v>150</v>
      </c>
      <c r="AJ295">
        <v>0</v>
      </c>
      <c r="AK295">
        <v>0.31999999284744263</v>
      </c>
      <c r="AL295">
        <v>0.69999998807907104</v>
      </c>
      <c r="AM295">
        <v>1.6000000238418579</v>
      </c>
      <c r="AN295">
        <v>1</v>
      </c>
      <c r="AO295">
        <v>2</v>
      </c>
      <c r="AP295">
        <v>2025</v>
      </c>
      <c r="AQ295">
        <v>1</v>
      </c>
      <c r="AR295">
        <v>1</v>
      </c>
      <c r="AS295">
        <v>1</v>
      </c>
      <c r="AT295">
        <v>0</v>
      </c>
      <c r="AU295">
        <v>0</v>
      </c>
      <c r="AV295">
        <f t="shared" si="68"/>
        <v>0</v>
      </c>
      <c r="AW295">
        <f t="shared" si="69"/>
        <v>0.61068703200070906</v>
      </c>
      <c r="AX295">
        <f t="shared" si="70"/>
        <v>598.47329136069493</v>
      </c>
      <c r="AY295">
        <f t="shared" si="71"/>
        <v>0</v>
      </c>
      <c r="AZ295">
        <f t="shared" si="72"/>
        <v>1.6000000238418579</v>
      </c>
      <c r="BA295" t="str">
        <f t="shared" si="73"/>
        <v/>
      </c>
      <c r="BB295">
        <f t="shared" si="74"/>
        <v>0.1221374016278802</v>
      </c>
      <c r="BC295">
        <f>MATCH($B295,clean_historis!$B:$B,0)</f>
        <v>295</v>
      </c>
      <c r="BD295">
        <f>IFERROR(INDEX(clean_historis!$AF:$AF,$BC295)/INDEX(clean_historis!$V:$V,$BC295),0)</f>
        <v>0</v>
      </c>
      <c r="BE295">
        <f>IFERROR(INDEX(clean_historis!$AR:$AR,$BC295)/INDEX(clean_historis!$AH:$AH,$BC295),0)</f>
        <v>0</v>
      </c>
      <c r="BF295">
        <f t="shared" si="75"/>
        <v>0.61068703200070906</v>
      </c>
      <c r="BG295">
        <f>MAX(IF(INDEX(clean_historis!$CL:$CL,$BC295)=1,2025,0),IF(INDEX(clean_historis!$CK:$CK,$BC295)=1,2024,0),IF(INDEX(clean_historis!$CJ:$CJ,$BC295)=1,2023,0),IF(INDEX(clean_historis!$CI:$CI,$BC295)=1,2022,0),IF(INDEX(clean_historis!$CH:$CH,$BC295)=1,2021,0))</f>
        <v>0</v>
      </c>
      <c r="BH295">
        <f t="shared" si="76"/>
        <v>0.87786259837211977</v>
      </c>
      <c r="BI295">
        <f t="shared" si="77"/>
        <v>860.30534640467738</v>
      </c>
      <c r="BJ295">
        <f t="shared" si="78"/>
        <v>0</v>
      </c>
      <c r="BK295">
        <f t="shared" si="79"/>
        <v>16.596900000000002</v>
      </c>
      <c r="BL295">
        <f t="shared" si="80"/>
        <v>0</v>
      </c>
      <c r="BM295">
        <f t="shared" si="81"/>
        <v>1</v>
      </c>
      <c r="BN295">
        <v>0</v>
      </c>
      <c r="BO295">
        <f t="shared" si="84"/>
        <v>0</v>
      </c>
      <c r="BP295">
        <f t="shared" si="82"/>
        <v>1</v>
      </c>
      <c r="BQ295">
        <f t="shared" si="83"/>
        <v>1</v>
      </c>
    </row>
    <row r="296" spans="1:69" x14ac:dyDescent="0.25">
      <c r="A296">
        <v>295</v>
      </c>
      <c r="B296" t="s">
        <v>1218</v>
      </c>
      <c r="C296" t="s">
        <v>1219</v>
      </c>
      <c r="D296" t="s">
        <v>1220</v>
      </c>
      <c r="E296" t="s">
        <v>1221</v>
      </c>
      <c r="F296" t="s">
        <v>176</v>
      </c>
      <c r="G296">
        <v>2</v>
      </c>
      <c r="H296">
        <v>1</v>
      </c>
      <c r="I296">
        <v>801</v>
      </c>
      <c r="J296">
        <v>0</v>
      </c>
      <c r="K296">
        <v>1</v>
      </c>
      <c r="L296">
        <v>4323.5</v>
      </c>
      <c r="M296">
        <v>2673.6</v>
      </c>
      <c r="N296">
        <v>3159.8</v>
      </c>
      <c r="O296">
        <v>836.5</v>
      </c>
      <c r="P296">
        <v>4641.8999999999996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1.7</v>
      </c>
      <c r="W296">
        <v>0</v>
      </c>
      <c r="X296">
        <v>0</v>
      </c>
      <c r="Y296">
        <v>1.700000047683716</v>
      </c>
      <c r="Z296">
        <v>0</v>
      </c>
      <c r="AA296">
        <v>0</v>
      </c>
      <c r="AB296">
        <v>1.5</v>
      </c>
      <c r="AC296">
        <v>0.20000000298023221</v>
      </c>
      <c r="AD296">
        <v>0</v>
      </c>
      <c r="AE296">
        <v>1.5</v>
      </c>
      <c r="AF296">
        <v>0.20000000298023221</v>
      </c>
      <c r="AG296">
        <v>0.88235293962963723</v>
      </c>
      <c r="AH296">
        <v>0.11764706037036279</v>
      </c>
      <c r="AI296">
        <v>150</v>
      </c>
      <c r="AJ296">
        <v>0</v>
      </c>
      <c r="AK296">
        <v>1.5</v>
      </c>
      <c r="AL296">
        <v>0.20000000298023221</v>
      </c>
      <c r="AM296">
        <v>0</v>
      </c>
      <c r="AN296">
        <v>1</v>
      </c>
      <c r="AO296">
        <v>1</v>
      </c>
      <c r="AP296">
        <v>2023</v>
      </c>
      <c r="AQ296">
        <v>3</v>
      </c>
      <c r="AR296">
        <v>1</v>
      </c>
      <c r="AS296">
        <v>0</v>
      </c>
      <c r="AT296">
        <v>1</v>
      </c>
      <c r="AU296">
        <v>0</v>
      </c>
      <c r="AV296">
        <f t="shared" si="68"/>
        <v>0</v>
      </c>
      <c r="AW296">
        <f t="shared" si="69"/>
        <v>0</v>
      </c>
      <c r="AX296">
        <f t="shared" si="70"/>
        <v>0</v>
      </c>
      <c r="AY296">
        <f t="shared" si="71"/>
        <v>0</v>
      </c>
      <c r="AZ296">
        <f t="shared" si="72"/>
        <v>0</v>
      </c>
      <c r="BA296" t="str">
        <f t="shared" si="73"/>
        <v/>
      </c>
      <c r="BB296">
        <f t="shared" si="74"/>
        <v>0.88235293962963723</v>
      </c>
      <c r="BC296">
        <f>MATCH($B296,clean_historis!$B:$B,0)</f>
        <v>296</v>
      </c>
      <c r="BD296">
        <f>IFERROR(INDEX(clean_historis!$AF:$AF,$BC296)/INDEX(clean_historis!$V:$V,$BC296),0)</f>
        <v>0</v>
      </c>
      <c r="BE296">
        <f>IFERROR(INDEX(clean_historis!$AR:$AR,$BC296)/INDEX(clean_historis!$AH:$AH,$BC296),0)</f>
        <v>0</v>
      </c>
      <c r="BF296">
        <f t="shared" si="75"/>
        <v>0</v>
      </c>
      <c r="BG296">
        <f>MAX(IF(INDEX(clean_historis!$CL:$CL,$BC296)=1,2025,0),IF(INDEX(clean_historis!$CK:$CK,$BC296)=1,2024,0),IF(INDEX(clean_historis!$CJ:$CJ,$BC296)=1,2023,0),IF(INDEX(clean_historis!$CI:$CI,$BC296)=1,2022,0),IF(INDEX(clean_historis!$CH:$CH,$BC296)=1,2021,0))</f>
        <v>0</v>
      </c>
      <c r="BH296">
        <f t="shared" si="76"/>
        <v>0.11764706037036277</v>
      </c>
      <c r="BI296">
        <f t="shared" si="77"/>
        <v>94.235295356660572</v>
      </c>
      <c r="BJ296">
        <f t="shared" si="78"/>
        <v>1</v>
      </c>
      <c r="BK296">
        <f t="shared" si="79"/>
        <v>14.798800000000002</v>
      </c>
      <c r="BL296">
        <f t="shared" si="80"/>
        <v>0</v>
      </c>
      <c r="BM296">
        <f t="shared" si="81"/>
        <v>0</v>
      </c>
      <c r="BN296">
        <v>0</v>
      </c>
      <c r="BO296">
        <f t="shared" si="84"/>
        <v>0</v>
      </c>
      <c r="BP296">
        <f t="shared" si="82"/>
        <v>1</v>
      </c>
      <c r="BQ296">
        <f t="shared" si="83"/>
        <v>0</v>
      </c>
    </row>
    <row r="297" spans="1:69" x14ac:dyDescent="0.25">
      <c r="A297">
        <v>296</v>
      </c>
      <c r="B297" t="s">
        <v>1222</v>
      </c>
      <c r="C297" t="s">
        <v>1223</v>
      </c>
      <c r="D297" t="s">
        <v>1224</v>
      </c>
      <c r="E297" t="s">
        <v>1225</v>
      </c>
      <c r="F297" t="s">
        <v>100</v>
      </c>
      <c r="G297">
        <v>2</v>
      </c>
      <c r="H297">
        <v>1</v>
      </c>
      <c r="I297">
        <v>1670</v>
      </c>
      <c r="J297">
        <v>1</v>
      </c>
      <c r="K297">
        <v>0</v>
      </c>
      <c r="L297">
        <v>6466.2</v>
      </c>
      <c r="M297">
        <v>5400.3</v>
      </c>
      <c r="N297">
        <v>8820.6</v>
      </c>
      <c r="O297">
        <v>1498.6</v>
      </c>
      <c r="P297">
        <v>6957.7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2.82</v>
      </c>
      <c r="W297">
        <v>0</v>
      </c>
      <c r="X297">
        <v>0</v>
      </c>
      <c r="Y297">
        <v>0.80000001192092896</v>
      </c>
      <c r="Z297">
        <v>0</v>
      </c>
      <c r="AA297">
        <v>0.10000000149011611</v>
      </c>
      <c r="AB297">
        <v>0.10000000149011611</v>
      </c>
      <c r="AC297">
        <v>0.5</v>
      </c>
      <c r="AD297">
        <v>0.10000000149011611</v>
      </c>
      <c r="AE297">
        <v>0.20000000298023221</v>
      </c>
      <c r="AF297">
        <v>0.60000000149011612</v>
      </c>
      <c r="AG297">
        <v>0.25000000232830638</v>
      </c>
      <c r="AH297">
        <v>0.74999999767169356</v>
      </c>
      <c r="AI297">
        <v>150</v>
      </c>
      <c r="AJ297">
        <v>0.10000000149011611</v>
      </c>
      <c r="AK297">
        <v>0.10000000149011611</v>
      </c>
      <c r="AL297">
        <v>0.5</v>
      </c>
      <c r="AM297">
        <v>0.10000000149011611</v>
      </c>
      <c r="AN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f t="shared" si="68"/>
        <v>0</v>
      </c>
      <c r="AW297">
        <f t="shared" si="69"/>
        <v>-0.68085106330137735</v>
      </c>
      <c r="AX297">
        <f t="shared" si="70"/>
        <v>59.219859038473018</v>
      </c>
      <c r="AY297">
        <f t="shared" si="71"/>
        <v>0</v>
      </c>
      <c r="AZ297">
        <f t="shared" si="72"/>
        <v>0.10000000149011612</v>
      </c>
      <c r="BA297" t="str">
        <f t="shared" si="73"/>
        <v/>
      </c>
      <c r="BB297">
        <f t="shared" si="74"/>
        <v>0.25000000232830638</v>
      </c>
      <c r="BC297">
        <f>MATCH($B297,clean_historis!$B:$B,0)</f>
        <v>297</v>
      </c>
      <c r="BD297">
        <f>IFERROR(INDEX(clean_historis!$AF:$AF,$BC297)/INDEX(clean_historis!$V:$V,$BC297),0)</f>
        <v>0.71631205673758869</v>
      </c>
      <c r="BE297">
        <f>IFERROR(INDEX(clean_historis!$AR:$AR,$BC297)/INDEX(clean_historis!$AH:$AH,$BC297),0)</f>
        <v>0.71631205673758869</v>
      </c>
      <c r="BF297">
        <f t="shared" si="75"/>
        <v>3.546099343621139E-2</v>
      </c>
      <c r="BG297">
        <f>MAX(IF(INDEX(clean_historis!$CL:$CL,$BC297)=1,2025,0),IF(INDEX(clean_historis!$CK:$CK,$BC297)=1,2024,0),IF(INDEX(clean_historis!$CJ:$CJ,$BC297)=1,2023,0),IF(INDEX(clean_historis!$CI:$CI,$BC297)=1,2022,0),IF(INDEX(clean_historis!$CH:$CH,$BC297)=1,2021,0))</f>
        <v>0</v>
      </c>
      <c r="BH297">
        <f t="shared" si="76"/>
        <v>0.74999999767169356</v>
      </c>
      <c r="BI297">
        <f t="shared" si="77"/>
        <v>1252.4999961117283</v>
      </c>
      <c r="BJ297">
        <f t="shared" si="78"/>
        <v>0</v>
      </c>
      <c r="BK297">
        <f t="shared" si="79"/>
        <v>27.6448</v>
      </c>
      <c r="BL297">
        <f t="shared" si="80"/>
        <v>0</v>
      </c>
      <c r="BM297">
        <f t="shared" si="81"/>
        <v>0</v>
      </c>
      <c r="BN297">
        <v>0</v>
      </c>
      <c r="BO297">
        <f t="shared" si="84"/>
        <v>0</v>
      </c>
      <c r="BP297">
        <f t="shared" si="82"/>
        <v>0</v>
      </c>
      <c r="BQ297">
        <f t="shared" si="83"/>
        <v>1</v>
      </c>
    </row>
    <row r="298" spans="1:69" x14ac:dyDescent="0.25">
      <c r="A298">
        <v>297</v>
      </c>
      <c r="B298" t="s">
        <v>1226</v>
      </c>
      <c r="C298" t="s">
        <v>1227</v>
      </c>
      <c r="D298" t="s">
        <v>1228</v>
      </c>
      <c r="E298" t="s">
        <v>1229</v>
      </c>
      <c r="F298" t="s">
        <v>176</v>
      </c>
      <c r="G298">
        <v>3</v>
      </c>
      <c r="H298">
        <v>1</v>
      </c>
      <c r="I298">
        <v>599</v>
      </c>
      <c r="J298">
        <v>0</v>
      </c>
      <c r="K298">
        <v>1</v>
      </c>
      <c r="L298">
        <v>173.2</v>
      </c>
      <c r="M298">
        <v>203.9</v>
      </c>
      <c r="N298">
        <v>7345.1</v>
      </c>
      <c r="O298">
        <v>507.9</v>
      </c>
      <c r="P298">
        <v>9017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4.12</v>
      </c>
      <c r="W298">
        <v>0</v>
      </c>
      <c r="X298">
        <v>0</v>
      </c>
      <c r="Y298">
        <v>4.119999885559082</v>
      </c>
      <c r="Z298">
        <v>0</v>
      </c>
      <c r="AA298">
        <v>0.20000000298023221</v>
      </c>
      <c r="AB298">
        <v>2.0999999046325679</v>
      </c>
      <c r="AC298">
        <v>1.0199999809265139</v>
      </c>
      <c r="AD298">
        <v>0.80000001192092896</v>
      </c>
      <c r="AE298">
        <v>2.299999907612801</v>
      </c>
      <c r="AF298">
        <v>1.8199999928474431</v>
      </c>
      <c r="AG298">
        <v>0.55825241824784233</v>
      </c>
      <c r="AH298">
        <v>0.44174758175215761</v>
      </c>
      <c r="AI298">
        <v>150</v>
      </c>
      <c r="AJ298">
        <v>0.20000000298023221</v>
      </c>
      <c r="AK298">
        <v>2.0999999046325679</v>
      </c>
      <c r="AL298">
        <v>1.0199999809265139</v>
      </c>
      <c r="AM298">
        <v>0.80000001192092896</v>
      </c>
      <c r="AN298">
        <v>1</v>
      </c>
      <c r="AO298">
        <v>2</v>
      </c>
      <c r="AP298">
        <v>2025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f t="shared" si="68"/>
        <v>0</v>
      </c>
      <c r="AW298">
        <f t="shared" si="69"/>
        <v>0.19417476017498275</v>
      </c>
      <c r="AX298">
        <f t="shared" si="70"/>
        <v>116.31068134481467</v>
      </c>
      <c r="AY298">
        <f t="shared" si="71"/>
        <v>0</v>
      </c>
      <c r="AZ298">
        <f t="shared" si="72"/>
        <v>0.80000001192092896</v>
      </c>
      <c r="BA298" t="str">
        <f t="shared" si="73"/>
        <v/>
      </c>
      <c r="BB298">
        <f t="shared" si="74"/>
        <v>0.55825241824784233</v>
      </c>
      <c r="BC298">
        <f>MATCH($B298,clean_historis!$B:$B,0)</f>
        <v>298</v>
      </c>
      <c r="BD298">
        <f>IFERROR(INDEX(clean_historis!$AF:$AF,$BC298)/INDEX(clean_historis!$V:$V,$BC298),0)</f>
        <v>0</v>
      </c>
      <c r="BE298">
        <f>IFERROR(INDEX(clean_historis!$AR:$AR,$BC298)/INDEX(clean_historis!$AH:$AH,$BC298),0)</f>
        <v>0</v>
      </c>
      <c r="BF298">
        <f t="shared" si="75"/>
        <v>0.19417476017498275</v>
      </c>
      <c r="BG298">
        <f>MAX(IF(INDEX(clean_historis!$CL:$CL,$BC298)=1,2025,0),IF(INDEX(clean_historis!$CK:$CK,$BC298)=1,2024,0),IF(INDEX(clean_historis!$CJ:$CJ,$BC298)=1,2023,0),IF(INDEX(clean_historis!$CI:$CI,$BC298)=1,2022,0),IF(INDEX(clean_historis!$CH:$CH,$BC298)=1,2021,0))</f>
        <v>0</v>
      </c>
      <c r="BH298">
        <f t="shared" si="76"/>
        <v>0.44174758175215767</v>
      </c>
      <c r="BI298">
        <f t="shared" si="77"/>
        <v>264.60680146954246</v>
      </c>
      <c r="BJ298">
        <f t="shared" si="78"/>
        <v>1</v>
      </c>
      <c r="BK298">
        <f t="shared" si="79"/>
        <v>16.739200000000004</v>
      </c>
      <c r="BL298">
        <f t="shared" si="80"/>
        <v>0</v>
      </c>
      <c r="BM298">
        <f t="shared" si="81"/>
        <v>0</v>
      </c>
      <c r="BN298">
        <v>0</v>
      </c>
      <c r="BO298">
        <f t="shared" si="84"/>
        <v>0</v>
      </c>
      <c r="BP298">
        <f t="shared" si="82"/>
        <v>1</v>
      </c>
      <c r="BQ298">
        <f t="shared" si="83"/>
        <v>0</v>
      </c>
    </row>
    <row r="299" spans="1:69" x14ac:dyDescent="0.25">
      <c r="A299">
        <v>298</v>
      </c>
      <c r="B299" t="s">
        <v>1230</v>
      </c>
      <c r="C299" t="s">
        <v>1231</v>
      </c>
      <c r="D299" t="s">
        <v>1232</v>
      </c>
      <c r="E299" t="s">
        <v>1233</v>
      </c>
      <c r="F299" t="s">
        <v>176</v>
      </c>
      <c r="G299">
        <v>3</v>
      </c>
      <c r="H299">
        <v>1</v>
      </c>
      <c r="I299">
        <v>1010</v>
      </c>
      <c r="J299">
        <v>0</v>
      </c>
      <c r="K299">
        <v>1</v>
      </c>
      <c r="L299">
        <v>3309.5</v>
      </c>
      <c r="M299">
        <v>3340.2</v>
      </c>
      <c r="N299">
        <v>10477.5</v>
      </c>
      <c r="O299">
        <v>802</v>
      </c>
      <c r="P299">
        <v>12149.4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5.65</v>
      </c>
      <c r="W299">
        <v>0</v>
      </c>
      <c r="X299">
        <v>0</v>
      </c>
      <c r="Y299">
        <v>5.6500000953674316</v>
      </c>
      <c r="Z299">
        <v>0</v>
      </c>
      <c r="AA299">
        <v>2.8499999046325679</v>
      </c>
      <c r="AB299">
        <v>2.7999999523162842</v>
      </c>
      <c r="AC299">
        <v>0</v>
      </c>
      <c r="AD299">
        <v>0</v>
      </c>
      <c r="AE299">
        <v>5.6499998569488534</v>
      </c>
      <c r="AF299">
        <v>0</v>
      </c>
      <c r="AG299">
        <v>1</v>
      </c>
      <c r="AH299">
        <v>0</v>
      </c>
      <c r="AI299">
        <v>150</v>
      </c>
      <c r="AJ299">
        <v>2.8499999046325679</v>
      </c>
      <c r="AK299">
        <v>2.7999999523162842</v>
      </c>
      <c r="AL299">
        <v>0</v>
      </c>
      <c r="AM299">
        <v>0</v>
      </c>
      <c r="AN299">
        <v>1</v>
      </c>
      <c r="AO299">
        <v>4</v>
      </c>
      <c r="AP299">
        <v>2024</v>
      </c>
      <c r="AQ299">
        <v>2</v>
      </c>
      <c r="AR299">
        <v>1</v>
      </c>
      <c r="AS299">
        <v>1</v>
      </c>
      <c r="AT299">
        <v>0</v>
      </c>
      <c r="AU299">
        <v>0</v>
      </c>
      <c r="AV299">
        <f t="shared" si="68"/>
        <v>0</v>
      </c>
      <c r="AW299">
        <f t="shared" si="69"/>
        <v>0</v>
      </c>
      <c r="AX299">
        <f t="shared" si="70"/>
        <v>0</v>
      </c>
      <c r="AY299">
        <f t="shared" si="71"/>
        <v>0</v>
      </c>
      <c r="AZ299">
        <f t="shared" si="72"/>
        <v>0</v>
      </c>
      <c r="BA299">
        <f t="shared" si="73"/>
        <v>1</v>
      </c>
      <c r="BB299">
        <f t="shared" si="74"/>
        <v>1</v>
      </c>
      <c r="BC299">
        <f>MATCH($B299,clean_historis!$B:$B,0)</f>
        <v>299</v>
      </c>
      <c r="BD299">
        <f>IFERROR(INDEX(clean_historis!$AF:$AF,$BC299)/INDEX(clean_historis!$V:$V,$BC299),0)</f>
        <v>0</v>
      </c>
      <c r="BE299">
        <f>IFERROR(INDEX(clean_historis!$AR:$AR,$BC299)/INDEX(clean_historis!$AH:$AH,$BC299),0)</f>
        <v>0</v>
      </c>
      <c r="BF299">
        <f t="shared" si="75"/>
        <v>0</v>
      </c>
      <c r="BG299">
        <f>MAX(IF(INDEX(clean_historis!$CL:$CL,$BC299)=1,2025,0),IF(INDEX(clean_historis!$CK:$CK,$BC299)=1,2024,0),IF(INDEX(clean_historis!$CJ:$CJ,$BC299)=1,2023,0),IF(INDEX(clean_historis!$CI:$CI,$BC299)=1,2022,0),IF(INDEX(clean_historis!$CH:$CH,$BC299)=1,2021,0))</f>
        <v>2024</v>
      </c>
      <c r="BH299">
        <f t="shared" si="76"/>
        <v>0</v>
      </c>
      <c r="BI299">
        <f t="shared" si="77"/>
        <v>0</v>
      </c>
      <c r="BJ299">
        <f t="shared" si="78"/>
        <v>0</v>
      </c>
      <c r="BK299">
        <f t="shared" si="79"/>
        <v>29.276600000000002</v>
      </c>
      <c r="BL299">
        <f t="shared" si="80"/>
        <v>0</v>
      </c>
      <c r="BM299">
        <f t="shared" si="81"/>
        <v>0</v>
      </c>
      <c r="BN299">
        <v>1</v>
      </c>
      <c r="BO299">
        <f t="shared" si="84"/>
        <v>0</v>
      </c>
      <c r="BP299">
        <f t="shared" si="82"/>
        <v>1</v>
      </c>
      <c r="BQ299">
        <f t="shared" si="83"/>
        <v>0</v>
      </c>
    </row>
    <row r="300" spans="1:69" x14ac:dyDescent="0.25">
      <c r="A300">
        <v>299</v>
      </c>
      <c r="B300" t="s">
        <v>1234</v>
      </c>
      <c r="C300" t="s">
        <v>1235</v>
      </c>
      <c r="D300" t="s">
        <v>1236</v>
      </c>
      <c r="E300" t="s">
        <v>1237</v>
      </c>
      <c r="F300" t="s">
        <v>710</v>
      </c>
      <c r="G300">
        <v>4</v>
      </c>
      <c r="H300">
        <v>2</v>
      </c>
      <c r="I300">
        <v>2146</v>
      </c>
      <c r="J300">
        <v>0</v>
      </c>
      <c r="K300">
        <v>0</v>
      </c>
      <c r="L300">
        <v>4480.1000000000004</v>
      </c>
      <c r="M300">
        <v>4321.7</v>
      </c>
      <c r="N300">
        <v>9224.7000000000007</v>
      </c>
      <c r="O300">
        <v>739.7</v>
      </c>
      <c r="P300">
        <v>7623.4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8.65</v>
      </c>
      <c r="W300">
        <v>0</v>
      </c>
      <c r="X300">
        <v>0</v>
      </c>
      <c r="Y300">
        <v>8.6499996185302734</v>
      </c>
      <c r="Z300">
        <v>0</v>
      </c>
      <c r="AA300">
        <v>2.75</v>
      </c>
      <c r="AB300">
        <v>5.5999999046325684</v>
      </c>
      <c r="AC300">
        <v>0.30000001192092901</v>
      </c>
      <c r="AD300">
        <v>0</v>
      </c>
      <c r="AE300">
        <v>8.3499999046325684</v>
      </c>
      <c r="AF300">
        <v>0.30000001192092901</v>
      </c>
      <c r="AG300">
        <v>0.96531791736242456</v>
      </c>
      <c r="AH300">
        <v>3.4682082637575433E-2</v>
      </c>
      <c r="AI300">
        <v>150</v>
      </c>
      <c r="AJ300">
        <v>2.75</v>
      </c>
      <c r="AK300">
        <v>5.5999999046325684</v>
      </c>
      <c r="AL300">
        <v>0.30000001192092901</v>
      </c>
      <c r="AM300">
        <v>0</v>
      </c>
      <c r="AN300">
        <v>1</v>
      </c>
      <c r="AO300">
        <v>3</v>
      </c>
      <c r="AP300">
        <v>2025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f t="shared" si="68"/>
        <v>0</v>
      </c>
      <c r="AW300">
        <f t="shared" si="69"/>
        <v>0</v>
      </c>
      <c r="AX300">
        <f t="shared" si="70"/>
        <v>0</v>
      </c>
      <c r="AY300">
        <f t="shared" si="71"/>
        <v>0</v>
      </c>
      <c r="AZ300">
        <f t="shared" si="72"/>
        <v>0</v>
      </c>
      <c r="BA300">
        <f t="shared" si="73"/>
        <v>0</v>
      </c>
      <c r="BB300">
        <f t="shared" si="74"/>
        <v>0.96531791736242456</v>
      </c>
      <c r="BC300">
        <f>MATCH($B300,clean_historis!$B:$B,0)</f>
        <v>300</v>
      </c>
      <c r="BD300">
        <f>IFERROR(INDEX(clean_historis!$AF:$AF,$BC300)/INDEX(clean_historis!$V:$V,$BC300),0)</f>
        <v>0</v>
      </c>
      <c r="BE300">
        <f>IFERROR(INDEX(clean_historis!$AR:$AR,$BC300)/INDEX(clean_historis!$AH:$AH,$BC300),0)</f>
        <v>0</v>
      </c>
      <c r="BF300">
        <f t="shared" si="75"/>
        <v>0</v>
      </c>
      <c r="BG300">
        <f>MAX(IF(INDEX(clean_historis!$CL:$CL,$BC300)=1,2025,0),IF(INDEX(clean_historis!$CK:$CK,$BC300)=1,2024,0),IF(INDEX(clean_historis!$CJ:$CJ,$BC300)=1,2023,0),IF(INDEX(clean_historis!$CI:$CI,$BC300)=1,2022,0),IF(INDEX(clean_historis!$CH:$CH,$BC300)=1,2021,0))</f>
        <v>2025</v>
      </c>
      <c r="BH300">
        <f t="shared" si="76"/>
        <v>3.468208263757544E-2</v>
      </c>
      <c r="BI300">
        <f t="shared" si="77"/>
        <v>74.4277493402369</v>
      </c>
      <c r="BJ300">
        <f t="shared" si="78"/>
        <v>0</v>
      </c>
      <c r="BK300">
        <f t="shared" si="79"/>
        <v>25.649900000000002</v>
      </c>
      <c r="BL300">
        <f t="shared" si="80"/>
        <v>0</v>
      </c>
      <c r="BM300">
        <f t="shared" si="81"/>
        <v>0</v>
      </c>
      <c r="BN300">
        <v>0</v>
      </c>
      <c r="BO300">
        <f t="shared" si="84"/>
        <v>0</v>
      </c>
      <c r="BP300">
        <f t="shared" si="82"/>
        <v>1</v>
      </c>
      <c r="BQ300">
        <f t="shared" si="83"/>
        <v>0</v>
      </c>
    </row>
    <row r="301" spans="1:69" x14ac:dyDescent="0.25">
      <c r="A301">
        <v>300</v>
      </c>
      <c r="B301" t="s">
        <v>1238</v>
      </c>
      <c r="C301" t="s">
        <v>1239</v>
      </c>
      <c r="D301" t="s">
        <v>1240</v>
      </c>
      <c r="E301" t="s">
        <v>1241</v>
      </c>
      <c r="F301" t="s">
        <v>176</v>
      </c>
      <c r="G301">
        <v>4</v>
      </c>
      <c r="H301">
        <v>1</v>
      </c>
      <c r="I301">
        <v>1341</v>
      </c>
      <c r="J301">
        <v>0</v>
      </c>
      <c r="K301">
        <v>1</v>
      </c>
      <c r="L301">
        <v>3454.7</v>
      </c>
      <c r="M301">
        <v>3630</v>
      </c>
      <c r="N301">
        <v>4533.5</v>
      </c>
      <c r="O301">
        <v>596.29999999999995</v>
      </c>
      <c r="P301">
        <v>6205.3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4.97</v>
      </c>
      <c r="W301">
        <v>0</v>
      </c>
      <c r="X301">
        <v>0</v>
      </c>
      <c r="Y301">
        <v>4.9699997901916504</v>
      </c>
      <c r="Z301">
        <v>0</v>
      </c>
      <c r="AA301">
        <v>4.4699997901916504</v>
      </c>
      <c r="AB301">
        <v>0.5</v>
      </c>
      <c r="AC301">
        <v>0</v>
      </c>
      <c r="AD301">
        <v>0</v>
      </c>
      <c r="AE301">
        <v>4.9699997901916504</v>
      </c>
      <c r="AF301">
        <v>0</v>
      </c>
      <c r="AG301">
        <v>1</v>
      </c>
      <c r="AH301">
        <v>0</v>
      </c>
      <c r="AI301">
        <v>150</v>
      </c>
      <c r="AJ301">
        <v>4.4699997901916504</v>
      </c>
      <c r="AK301">
        <v>0.5</v>
      </c>
      <c r="AL301">
        <v>0</v>
      </c>
      <c r="AM301">
        <v>0</v>
      </c>
      <c r="AN301">
        <v>1</v>
      </c>
      <c r="AO301">
        <v>4</v>
      </c>
      <c r="AP301">
        <v>2024</v>
      </c>
      <c r="AQ301">
        <v>2</v>
      </c>
      <c r="AR301">
        <v>1</v>
      </c>
      <c r="AS301">
        <v>1</v>
      </c>
      <c r="AT301">
        <v>0</v>
      </c>
      <c r="AU301">
        <v>0</v>
      </c>
      <c r="AV301">
        <f t="shared" si="68"/>
        <v>0</v>
      </c>
      <c r="AW301">
        <f t="shared" si="69"/>
        <v>0</v>
      </c>
      <c r="AX301">
        <f t="shared" si="70"/>
        <v>0</v>
      </c>
      <c r="AY301">
        <f t="shared" si="71"/>
        <v>0</v>
      </c>
      <c r="AZ301">
        <f t="shared" si="72"/>
        <v>0</v>
      </c>
      <c r="BA301" t="str">
        <f t="shared" si="73"/>
        <v/>
      </c>
      <c r="BB301">
        <f t="shared" si="74"/>
        <v>1</v>
      </c>
      <c r="BC301">
        <f>MATCH($B301,clean_historis!$B:$B,0)</f>
        <v>301</v>
      </c>
      <c r="BD301">
        <f>IFERROR(INDEX(clean_historis!$AF:$AF,$BC301)/INDEX(clean_historis!$V:$V,$BC301),0)</f>
        <v>0</v>
      </c>
      <c r="BE301">
        <f>IFERROR(INDEX(clean_historis!$AR:$AR,$BC301)/INDEX(clean_historis!$AH:$AH,$BC301),0)</f>
        <v>0</v>
      </c>
      <c r="BF301">
        <f t="shared" si="75"/>
        <v>0</v>
      </c>
      <c r="BG301">
        <f>MAX(IF(INDEX(clean_historis!$CL:$CL,$BC301)=1,2025,0),IF(INDEX(clean_historis!$CK:$CK,$BC301)=1,2024,0),IF(INDEX(clean_historis!$CJ:$CJ,$BC301)=1,2023,0),IF(INDEX(clean_historis!$CI:$CI,$BC301)=1,2022,0),IF(INDEX(clean_historis!$CH:$CH,$BC301)=1,2021,0))</f>
        <v>0</v>
      </c>
      <c r="BH301">
        <f t="shared" si="76"/>
        <v>0</v>
      </c>
      <c r="BI301">
        <f t="shared" si="77"/>
        <v>0</v>
      </c>
      <c r="BJ301">
        <f t="shared" si="78"/>
        <v>0</v>
      </c>
      <c r="BK301">
        <f t="shared" si="79"/>
        <v>17.823499999999999</v>
      </c>
      <c r="BL301">
        <f t="shared" si="80"/>
        <v>0</v>
      </c>
      <c r="BM301">
        <f t="shared" si="81"/>
        <v>0</v>
      </c>
      <c r="BN301">
        <v>0</v>
      </c>
      <c r="BO301">
        <f t="shared" si="84"/>
        <v>0</v>
      </c>
      <c r="BP301">
        <f t="shared" si="82"/>
        <v>1</v>
      </c>
      <c r="BQ301">
        <f t="shared" si="83"/>
        <v>0</v>
      </c>
    </row>
    <row r="302" spans="1:69" x14ac:dyDescent="0.25">
      <c r="A302">
        <v>301</v>
      </c>
      <c r="B302" t="s">
        <v>1242</v>
      </c>
      <c r="C302" t="s">
        <v>1243</v>
      </c>
      <c r="D302" t="s">
        <v>1244</v>
      </c>
      <c r="E302" t="s">
        <v>1245</v>
      </c>
      <c r="F302" t="s">
        <v>105</v>
      </c>
      <c r="G302">
        <v>2</v>
      </c>
      <c r="H302">
        <v>1</v>
      </c>
      <c r="I302">
        <v>1174</v>
      </c>
      <c r="J302">
        <v>0</v>
      </c>
      <c r="K302">
        <v>0</v>
      </c>
      <c r="L302">
        <v>3864.4</v>
      </c>
      <c r="M302">
        <v>3774.1</v>
      </c>
      <c r="N302">
        <v>3834.9</v>
      </c>
      <c r="O302">
        <v>1360.2</v>
      </c>
      <c r="P302">
        <v>27289.5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0.76</v>
      </c>
      <c r="W302">
        <v>0</v>
      </c>
      <c r="X302">
        <v>0</v>
      </c>
      <c r="Y302">
        <v>0.15999999642372131</v>
      </c>
      <c r="Z302">
        <v>0</v>
      </c>
      <c r="AA302">
        <v>0</v>
      </c>
      <c r="AB302">
        <v>0.15999999642372131</v>
      </c>
      <c r="AC302">
        <v>0</v>
      </c>
      <c r="AD302">
        <v>0</v>
      </c>
      <c r="AE302">
        <v>0.15999999642372131</v>
      </c>
      <c r="AF302">
        <v>0</v>
      </c>
      <c r="AG302">
        <v>1</v>
      </c>
      <c r="AH302">
        <v>0</v>
      </c>
      <c r="AI302">
        <v>150</v>
      </c>
      <c r="AJ302">
        <v>0</v>
      </c>
      <c r="AK302">
        <v>0.15999999642372131</v>
      </c>
      <c r="AL302">
        <v>0</v>
      </c>
      <c r="AM302">
        <v>0</v>
      </c>
      <c r="AN302">
        <v>0</v>
      </c>
      <c r="AO302">
        <v>0</v>
      </c>
      <c r="AR302">
        <v>0</v>
      </c>
      <c r="AS302">
        <v>0</v>
      </c>
      <c r="AT302">
        <v>0</v>
      </c>
      <c r="AU302">
        <v>1</v>
      </c>
      <c r="AV302">
        <f t="shared" si="68"/>
        <v>-0.21052631578947367</v>
      </c>
      <c r="AW302">
        <f t="shared" si="69"/>
        <v>-0.78947368421052633</v>
      </c>
      <c r="AX302">
        <f t="shared" si="70"/>
        <v>0</v>
      </c>
      <c r="AY302">
        <f t="shared" si="71"/>
        <v>0</v>
      </c>
      <c r="AZ302">
        <f t="shared" si="72"/>
        <v>0</v>
      </c>
      <c r="BA302" t="str">
        <f t="shared" si="73"/>
        <v/>
      </c>
      <c r="BB302">
        <f t="shared" si="74"/>
        <v>1</v>
      </c>
      <c r="BC302">
        <f>MATCH($B302,clean_historis!$B:$B,0)</f>
        <v>302</v>
      </c>
      <c r="BD302">
        <f>IFERROR(INDEX(clean_historis!$AF:$AF,$BC302)/INDEX(clean_historis!$V:$V,$BC302),0)</f>
        <v>1</v>
      </c>
      <c r="BE302">
        <f>IFERROR(INDEX(clean_historis!$AR:$AR,$BC302)/INDEX(clean_historis!$AH:$AH,$BC302),0)</f>
        <v>0.78947368421052633</v>
      </c>
      <c r="BF302">
        <f t="shared" si="75"/>
        <v>0</v>
      </c>
      <c r="BG302">
        <f>MAX(IF(INDEX(clean_historis!$CL:$CL,$BC302)=1,2025,0),IF(INDEX(clean_historis!$CK:$CK,$BC302)=1,2024,0),IF(INDEX(clean_historis!$CJ:$CJ,$BC302)=1,2023,0),IF(INDEX(clean_historis!$CI:$CI,$BC302)=1,2022,0),IF(INDEX(clean_historis!$CH:$CH,$BC302)=1,2021,0))</f>
        <v>0</v>
      </c>
      <c r="BH302">
        <f t="shared" si="76"/>
        <v>0</v>
      </c>
      <c r="BI302">
        <f t="shared" si="77"/>
        <v>0</v>
      </c>
      <c r="BJ302">
        <f t="shared" si="78"/>
        <v>0</v>
      </c>
      <c r="BK302">
        <f t="shared" si="79"/>
        <v>38.762900000000002</v>
      </c>
      <c r="BL302">
        <f t="shared" si="80"/>
        <v>0</v>
      </c>
      <c r="BM302">
        <f t="shared" si="81"/>
        <v>0</v>
      </c>
      <c r="BN302">
        <v>1</v>
      </c>
      <c r="BO302">
        <f t="shared" si="84"/>
        <v>1</v>
      </c>
      <c r="BP302">
        <f t="shared" si="82"/>
        <v>0</v>
      </c>
      <c r="BQ302">
        <f t="shared" si="83"/>
        <v>1</v>
      </c>
    </row>
    <row r="303" spans="1:69" x14ac:dyDescent="0.25">
      <c r="A303">
        <v>302</v>
      </c>
      <c r="B303" t="s">
        <v>1246</v>
      </c>
      <c r="C303" t="s">
        <v>1247</v>
      </c>
      <c r="D303" t="s">
        <v>1248</v>
      </c>
      <c r="E303" t="s">
        <v>305</v>
      </c>
      <c r="F303" t="s">
        <v>127</v>
      </c>
      <c r="G303">
        <v>1</v>
      </c>
      <c r="H303">
        <v>1</v>
      </c>
      <c r="I303">
        <v>507</v>
      </c>
      <c r="J303">
        <v>0</v>
      </c>
      <c r="K303">
        <v>0</v>
      </c>
      <c r="L303">
        <v>25176.7</v>
      </c>
      <c r="M303">
        <v>21227</v>
      </c>
      <c r="N303">
        <v>27387.1</v>
      </c>
      <c r="O303">
        <v>1857.4</v>
      </c>
      <c r="P303">
        <v>20527.7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1.98</v>
      </c>
      <c r="W303">
        <v>1.9800000190734861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1.9800000190734861</v>
      </c>
      <c r="AE303">
        <v>0</v>
      </c>
      <c r="AF303">
        <v>1.9800000190734861</v>
      </c>
      <c r="AG303">
        <v>0</v>
      </c>
      <c r="AH303">
        <v>1</v>
      </c>
      <c r="AI303">
        <v>150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R303">
        <v>0</v>
      </c>
      <c r="AS303">
        <v>0</v>
      </c>
      <c r="AT303">
        <v>0</v>
      </c>
      <c r="AU303">
        <v>0</v>
      </c>
      <c r="AV303">
        <f t="shared" si="68"/>
        <v>1.0000000000000007</v>
      </c>
      <c r="AW303">
        <f t="shared" si="69"/>
        <v>9.6330732279881204E-9</v>
      </c>
      <c r="AX303">
        <f t="shared" si="70"/>
        <v>507.00000488396847</v>
      </c>
      <c r="AY303">
        <f t="shared" si="71"/>
        <v>0</v>
      </c>
      <c r="AZ303">
        <f t="shared" si="72"/>
        <v>1.9800000190734863</v>
      </c>
      <c r="BA303" t="str">
        <f t="shared" si="73"/>
        <v/>
      </c>
      <c r="BB303">
        <f t="shared" si="74"/>
        <v>0</v>
      </c>
      <c r="BC303">
        <f>MATCH($B303,clean_historis!$B:$B,0)</f>
        <v>303</v>
      </c>
      <c r="BD303">
        <f>IFERROR(INDEX(clean_historis!$AF:$AF,$BC303)/INDEX(clean_historis!$V:$V,$BC303),0)</f>
        <v>0</v>
      </c>
      <c r="BE303">
        <f>IFERROR(INDEX(clean_historis!$AR:$AR,$BC303)/INDEX(clean_historis!$AH:$AH,$BC303),0)</f>
        <v>1.0000000000000007</v>
      </c>
      <c r="BF303">
        <f t="shared" si="75"/>
        <v>1.0000000096330739</v>
      </c>
      <c r="BG303">
        <f>MAX(IF(INDEX(clean_historis!$CL:$CL,$BC303)=1,2025,0),IF(INDEX(clean_historis!$CK:$CK,$BC303)=1,2024,0),IF(INDEX(clean_historis!$CJ:$CJ,$BC303)=1,2023,0),IF(INDEX(clean_historis!$CI:$CI,$BC303)=1,2022,0),IF(INDEX(clean_historis!$CH:$CH,$BC303)=1,2021,0))</f>
        <v>0</v>
      </c>
      <c r="BH303">
        <f t="shared" si="76"/>
        <v>1</v>
      </c>
      <c r="BI303">
        <f t="shared" si="77"/>
        <v>507</v>
      </c>
      <c r="BJ303">
        <f t="shared" si="78"/>
        <v>0</v>
      </c>
      <c r="BK303">
        <f t="shared" si="79"/>
        <v>94.3185</v>
      </c>
      <c r="BL303">
        <f t="shared" si="80"/>
        <v>0</v>
      </c>
      <c r="BM303">
        <f t="shared" si="81"/>
        <v>1</v>
      </c>
      <c r="BN303">
        <v>0</v>
      </c>
      <c r="BO303">
        <f t="shared" si="84"/>
        <v>0</v>
      </c>
      <c r="BP303">
        <f t="shared" si="82"/>
        <v>0</v>
      </c>
      <c r="BQ303">
        <f t="shared" si="83"/>
        <v>1</v>
      </c>
    </row>
    <row r="304" spans="1:69" x14ac:dyDescent="0.25">
      <c r="A304">
        <v>303</v>
      </c>
      <c r="B304" t="s">
        <v>1249</v>
      </c>
      <c r="C304" t="s">
        <v>1250</v>
      </c>
      <c r="D304" t="s">
        <v>1251</v>
      </c>
      <c r="E304" t="s">
        <v>1252</v>
      </c>
      <c r="F304" t="s">
        <v>127</v>
      </c>
      <c r="G304">
        <v>2</v>
      </c>
      <c r="H304">
        <v>1</v>
      </c>
      <c r="I304">
        <v>878</v>
      </c>
      <c r="J304">
        <v>0</v>
      </c>
      <c r="K304">
        <v>0</v>
      </c>
      <c r="L304">
        <v>18414.900000000001</v>
      </c>
      <c r="M304">
        <v>14465.2</v>
      </c>
      <c r="N304">
        <v>20625.3</v>
      </c>
      <c r="O304">
        <v>3828.7</v>
      </c>
      <c r="P304">
        <v>31142.7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4.88</v>
      </c>
      <c r="W304">
        <v>0.98000001907348633</v>
      </c>
      <c r="X304">
        <v>0</v>
      </c>
      <c r="Y304">
        <v>0</v>
      </c>
      <c r="Z304">
        <v>0</v>
      </c>
      <c r="AA304">
        <v>0</v>
      </c>
      <c r="AB304">
        <v>0.98000001907348633</v>
      </c>
      <c r="AC304">
        <v>0</v>
      </c>
      <c r="AD304">
        <v>0</v>
      </c>
      <c r="AE304">
        <v>0.98000001907348633</v>
      </c>
      <c r="AF304">
        <v>0</v>
      </c>
      <c r="AG304">
        <v>1</v>
      </c>
      <c r="AH304">
        <v>0</v>
      </c>
      <c r="AI304">
        <v>150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R304">
        <v>0</v>
      </c>
      <c r="AS304">
        <v>0</v>
      </c>
      <c r="AT304">
        <v>0</v>
      </c>
      <c r="AU304">
        <v>0</v>
      </c>
      <c r="AV304">
        <f t="shared" si="68"/>
        <v>-2.2204460492503131E-16</v>
      </c>
      <c r="AW304">
        <f t="shared" si="69"/>
        <v>-0.99999999999999978</v>
      </c>
      <c r="AX304">
        <f t="shared" si="70"/>
        <v>0</v>
      </c>
      <c r="AY304">
        <f t="shared" si="71"/>
        <v>0</v>
      </c>
      <c r="AZ304">
        <f t="shared" si="72"/>
        <v>0</v>
      </c>
      <c r="BA304" t="str">
        <f t="shared" si="73"/>
        <v/>
      </c>
      <c r="BB304">
        <f t="shared" si="74"/>
        <v>1</v>
      </c>
      <c r="BC304">
        <f>MATCH($B304,clean_historis!$B:$B,0)</f>
        <v>304</v>
      </c>
      <c r="BD304">
        <f>IFERROR(INDEX(clean_historis!$AF:$AF,$BC304)/INDEX(clean_historis!$V:$V,$BC304),0)</f>
        <v>1</v>
      </c>
      <c r="BE304">
        <f>IFERROR(INDEX(clean_historis!$AR:$AR,$BC304)/INDEX(clean_historis!$AH:$AH,$BC304),0)</f>
        <v>0.99999999999999978</v>
      </c>
      <c r="BF304">
        <f t="shared" si="75"/>
        <v>0</v>
      </c>
      <c r="BG304">
        <f>MAX(IF(INDEX(clean_historis!$CL:$CL,$BC304)=1,2025,0),IF(INDEX(clean_historis!$CK:$CK,$BC304)=1,2024,0),IF(INDEX(clean_historis!$CJ:$CJ,$BC304)=1,2023,0),IF(INDEX(clean_historis!$CI:$CI,$BC304)=1,2022,0),IF(INDEX(clean_historis!$CH:$CH,$BC304)=1,2021,0))</f>
        <v>0</v>
      </c>
      <c r="BH304">
        <f t="shared" si="76"/>
        <v>0</v>
      </c>
      <c r="BI304">
        <f t="shared" si="77"/>
        <v>0</v>
      </c>
      <c r="BJ304">
        <f t="shared" si="78"/>
        <v>0</v>
      </c>
      <c r="BK304">
        <f t="shared" si="79"/>
        <v>84.648099999999999</v>
      </c>
      <c r="BL304">
        <f t="shared" si="80"/>
        <v>0</v>
      </c>
      <c r="BM304">
        <f t="shared" si="81"/>
        <v>0</v>
      </c>
      <c r="BN304">
        <v>0</v>
      </c>
      <c r="BO304">
        <f t="shared" si="84"/>
        <v>0</v>
      </c>
      <c r="BP304">
        <f t="shared" si="82"/>
        <v>0</v>
      </c>
      <c r="BQ304">
        <f t="shared" si="83"/>
        <v>0</v>
      </c>
    </row>
    <row r="305" spans="1:69" x14ac:dyDescent="0.25">
      <c r="A305">
        <v>304</v>
      </c>
      <c r="B305" t="s">
        <v>1253</v>
      </c>
      <c r="C305" t="s">
        <v>1254</v>
      </c>
      <c r="D305" t="s">
        <v>1255</v>
      </c>
      <c r="E305" t="s">
        <v>1256</v>
      </c>
      <c r="F305" t="s">
        <v>315</v>
      </c>
      <c r="G305">
        <v>2</v>
      </c>
      <c r="H305">
        <v>1</v>
      </c>
      <c r="I305">
        <v>3896</v>
      </c>
      <c r="J305">
        <v>0</v>
      </c>
      <c r="K305">
        <v>0</v>
      </c>
      <c r="L305">
        <v>3310.7</v>
      </c>
      <c r="M305">
        <v>613.79999999999995</v>
      </c>
      <c r="N305">
        <v>4529.6000000000004</v>
      </c>
      <c r="O305">
        <v>201.4</v>
      </c>
      <c r="P305">
        <v>4114.8999999999996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2.23</v>
      </c>
      <c r="W305">
        <v>1.029999971389771</v>
      </c>
      <c r="X305">
        <v>0</v>
      </c>
      <c r="Y305">
        <v>0.10000000149011611</v>
      </c>
      <c r="Z305">
        <v>0</v>
      </c>
      <c r="AA305">
        <v>0</v>
      </c>
      <c r="AB305">
        <v>0</v>
      </c>
      <c r="AC305">
        <v>0.62999999523162842</v>
      </c>
      <c r="AD305">
        <v>0.5</v>
      </c>
      <c r="AE305">
        <v>0</v>
      </c>
      <c r="AF305">
        <v>1.129999995231628</v>
      </c>
      <c r="AG305">
        <v>0</v>
      </c>
      <c r="AH305">
        <v>1</v>
      </c>
      <c r="AI305">
        <v>150</v>
      </c>
      <c r="AJ305">
        <v>0</v>
      </c>
      <c r="AK305">
        <v>0</v>
      </c>
      <c r="AL305">
        <v>0</v>
      </c>
      <c r="AM305">
        <v>0.10000000149011611</v>
      </c>
      <c r="AN305">
        <v>1</v>
      </c>
      <c r="AO305">
        <v>1</v>
      </c>
      <c r="AP305">
        <v>2024</v>
      </c>
      <c r="AQ305">
        <v>2</v>
      </c>
      <c r="AR305">
        <v>1</v>
      </c>
      <c r="AS305">
        <v>0</v>
      </c>
      <c r="AT305">
        <v>1</v>
      </c>
      <c r="AU305">
        <v>1</v>
      </c>
      <c r="AV305">
        <f t="shared" si="68"/>
        <v>8.9686098654708502E-2</v>
      </c>
      <c r="AW305">
        <f t="shared" si="69"/>
        <v>-0.31390134529147984</v>
      </c>
      <c r="AX305">
        <f t="shared" si="70"/>
        <v>873.54260089686102</v>
      </c>
      <c r="AY305">
        <f t="shared" si="71"/>
        <v>0</v>
      </c>
      <c r="AZ305">
        <f t="shared" si="72"/>
        <v>0.5</v>
      </c>
      <c r="BA305">
        <f t="shared" si="73"/>
        <v>1</v>
      </c>
      <c r="BB305">
        <f t="shared" si="74"/>
        <v>0</v>
      </c>
      <c r="BC305">
        <f>MATCH($B305,clean_historis!$B:$B,0)</f>
        <v>305</v>
      </c>
      <c r="BD305">
        <f>IFERROR(INDEX(clean_historis!$AF:$AF,$BC305)/INDEX(clean_historis!$V:$V,$BC305),0)</f>
        <v>0.44843049327354262</v>
      </c>
      <c r="BE305">
        <f>IFERROR(INDEX(clean_historis!$AR:$AR,$BC305)/INDEX(clean_historis!$AH:$AH,$BC305),0)</f>
        <v>0.53811659192825112</v>
      </c>
      <c r="BF305">
        <f t="shared" si="75"/>
        <v>0.22421524663677131</v>
      </c>
      <c r="BG305">
        <f>MAX(IF(INDEX(clean_historis!$CL:$CL,$BC305)=1,2025,0),IF(INDEX(clean_historis!$CK:$CK,$BC305)=1,2024,0),IF(INDEX(clean_historis!$CJ:$CJ,$BC305)=1,2023,0),IF(INDEX(clean_historis!$CI:$CI,$BC305)=1,2022,0),IF(INDEX(clean_historis!$CH:$CH,$BC305)=1,2021,0))</f>
        <v>2024</v>
      </c>
      <c r="BH305">
        <f t="shared" si="76"/>
        <v>1</v>
      </c>
      <c r="BI305">
        <f t="shared" si="77"/>
        <v>3896</v>
      </c>
      <c r="BJ305">
        <f t="shared" si="78"/>
        <v>1</v>
      </c>
      <c r="BK305">
        <f t="shared" si="79"/>
        <v>12.569000000000001</v>
      </c>
      <c r="BL305">
        <f t="shared" si="80"/>
        <v>0</v>
      </c>
      <c r="BM305">
        <f t="shared" si="81"/>
        <v>0</v>
      </c>
      <c r="BN305">
        <v>0</v>
      </c>
      <c r="BO305">
        <f t="shared" si="84"/>
        <v>0</v>
      </c>
      <c r="BP305">
        <f t="shared" si="82"/>
        <v>1</v>
      </c>
      <c r="BQ305">
        <f t="shared" si="83"/>
        <v>1</v>
      </c>
    </row>
    <row r="306" spans="1:69" x14ac:dyDescent="0.25">
      <c r="A306">
        <v>305</v>
      </c>
      <c r="B306" t="s">
        <v>1257</v>
      </c>
      <c r="C306" t="s">
        <v>1258</v>
      </c>
      <c r="D306" t="s">
        <v>1259</v>
      </c>
      <c r="E306" t="s">
        <v>1260</v>
      </c>
      <c r="F306" t="s">
        <v>176</v>
      </c>
      <c r="G306">
        <v>2</v>
      </c>
      <c r="H306">
        <v>1</v>
      </c>
      <c r="I306">
        <v>1049</v>
      </c>
      <c r="J306">
        <v>0</v>
      </c>
      <c r="K306">
        <v>0</v>
      </c>
      <c r="L306">
        <v>4069.8</v>
      </c>
      <c r="M306">
        <v>4190.8999999999996</v>
      </c>
      <c r="N306">
        <v>2443.1</v>
      </c>
      <c r="O306">
        <v>1566.7</v>
      </c>
      <c r="P306">
        <v>13203.1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2.02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2</v>
      </c>
      <c r="AF306">
        <v>0</v>
      </c>
      <c r="AG306">
        <v>1</v>
      </c>
      <c r="AH306">
        <v>0</v>
      </c>
      <c r="AI306">
        <v>150</v>
      </c>
      <c r="AJ306">
        <v>0</v>
      </c>
      <c r="AK306">
        <v>2</v>
      </c>
      <c r="AL306">
        <v>0</v>
      </c>
      <c r="AM306">
        <v>0</v>
      </c>
      <c r="AN306">
        <v>1</v>
      </c>
      <c r="AO306">
        <v>2</v>
      </c>
      <c r="AP306">
        <v>2023</v>
      </c>
      <c r="AQ306">
        <v>3</v>
      </c>
      <c r="AR306">
        <v>1</v>
      </c>
      <c r="AS306">
        <v>1</v>
      </c>
      <c r="AT306">
        <v>0</v>
      </c>
      <c r="AU306">
        <v>0</v>
      </c>
      <c r="AV306">
        <f t="shared" si="68"/>
        <v>0</v>
      </c>
      <c r="AW306">
        <f t="shared" si="69"/>
        <v>0</v>
      </c>
      <c r="AX306">
        <f t="shared" si="70"/>
        <v>0</v>
      </c>
      <c r="AY306">
        <f t="shared" si="71"/>
        <v>0</v>
      </c>
      <c r="AZ306">
        <f t="shared" si="72"/>
        <v>0</v>
      </c>
      <c r="BA306" t="str">
        <f t="shared" si="73"/>
        <v/>
      </c>
      <c r="BB306">
        <f t="shared" si="74"/>
        <v>1</v>
      </c>
      <c r="BC306">
        <f>MATCH($B306,clean_historis!$B:$B,0)</f>
        <v>306</v>
      </c>
      <c r="BD306">
        <f>IFERROR(INDEX(clean_historis!$AF:$AF,$BC306)/INDEX(clean_historis!$V:$V,$BC306),0)</f>
        <v>0</v>
      </c>
      <c r="BE306">
        <f>IFERROR(INDEX(clean_historis!$AR:$AR,$BC306)/INDEX(clean_historis!$AH:$AH,$BC306),0)</f>
        <v>0</v>
      </c>
      <c r="BF306">
        <f t="shared" si="75"/>
        <v>0</v>
      </c>
      <c r="BG306">
        <f>MAX(IF(INDEX(clean_historis!$CL:$CL,$BC306)=1,2025,0),IF(INDEX(clean_historis!$CK:$CK,$BC306)=1,2024,0),IF(INDEX(clean_historis!$CJ:$CJ,$BC306)=1,2023,0),IF(INDEX(clean_historis!$CI:$CI,$BC306)=1,2022,0),IF(INDEX(clean_historis!$CH:$CH,$BC306)=1,2021,0))</f>
        <v>0</v>
      </c>
      <c r="BH306">
        <f t="shared" si="76"/>
        <v>0</v>
      </c>
      <c r="BI306">
        <f t="shared" si="77"/>
        <v>0</v>
      </c>
      <c r="BJ306">
        <f t="shared" si="78"/>
        <v>0</v>
      </c>
      <c r="BK306">
        <f t="shared" si="79"/>
        <v>23.9069</v>
      </c>
      <c r="BL306">
        <f t="shared" si="80"/>
        <v>0</v>
      </c>
      <c r="BM306">
        <f t="shared" si="81"/>
        <v>0</v>
      </c>
      <c r="BN306">
        <v>0</v>
      </c>
      <c r="BO306">
        <f t="shared" si="84"/>
        <v>0</v>
      </c>
      <c r="BP306">
        <f t="shared" si="82"/>
        <v>1</v>
      </c>
      <c r="BQ306">
        <f t="shared" si="83"/>
        <v>0</v>
      </c>
    </row>
    <row r="307" spans="1:69" x14ac:dyDescent="0.25">
      <c r="A307">
        <v>306</v>
      </c>
      <c r="B307" t="s">
        <v>1261</v>
      </c>
      <c r="C307" t="s">
        <v>1262</v>
      </c>
      <c r="D307" t="s">
        <v>1263</v>
      </c>
      <c r="E307" t="s">
        <v>1264</v>
      </c>
      <c r="F307" t="s">
        <v>176</v>
      </c>
      <c r="G307">
        <v>2</v>
      </c>
      <c r="H307">
        <v>1</v>
      </c>
      <c r="I307">
        <v>644</v>
      </c>
      <c r="J307">
        <v>0</v>
      </c>
      <c r="K307">
        <v>0</v>
      </c>
      <c r="L307">
        <v>4359.3999999999996</v>
      </c>
      <c r="M307">
        <v>4390.1000000000004</v>
      </c>
      <c r="N307">
        <v>11531.3</v>
      </c>
      <c r="O307">
        <v>1786.9</v>
      </c>
      <c r="P307">
        <v>6516.8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2.04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150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2025</v>
      </c>
      <c r="AQ307">
        <v>1</v>
      </c>
      <c r="AR307">
        <v>0</v>
      </c>
      <c r="AS307">
        <v>0</v>
      </c>
      <c r="AT307">
        <v>0</v>
      </c>
      <c r="AU307">
        <v>1</v>
      </c>
      <c r="AV307">
        <f t="shared" si="68"/>
        <v>0</v>
      </c>
      <c r="AW307">
        <f t="shared" si="69"/>
        <v>-1</v>
      </c>
      <c r="AX307">
        <f t="shared" si="70"/>
        <v>0</v>
      </c>
      <c r="AY307">
        <f t="shared" si="71"/>
        <v>0</v>
      </c>
      <c r="AZ307">
        <f t="shared" si="72"/>
        <v>0</v>
      </c>
      <c r="BA307" t="str">
        <f t="shared" si="73"/>
        <v/>
      </c>
      <c r="BB307">
        <f t="shared" si="74"/>
        <v>0</v>
      </c>
      <c r="BC307">
        <f>MATCH($B307,clean_historis!$B:$B,0)</f>
        <v>307</v>
      </c>
      <c r="BD307">
        <f>IFERROR(INDEX(clean_historis!$AF:$AF,$BC307)/INDEX(clean_historis!$V:$V,$BC307),0)</f>
        <v>1</v>
      </c>
      <c r="BE307">
        <f>IFERROR(INDEX(clean_historis!$AR:$AR,$BC307)/INDEX(clean_historis!$AH:$AH,$BC307),0)</f>
        <v>1</v>
      </c>
      <c r="BF307">
        <f t="shared" si="75"/>
        <v>0</v>
      </c>
      <c r="BG307">
        <f>MAX(IF(INDEX(clean_historis!$CL:$CL,$BC307)=1,2025,0),IF(INDEX(clean_historis!$CK:$CK,$BC307)=1,2024,0),IF(INDEX(clean_historis!$CJ:$CJ,$BC307)=1,2023,0),IF(INDEX(clean_historis!$CI:$CI,$BC307)=1,2022,0),IF(INDEX(clean_historis!$CH:$CH,$BC307)=1,2021,0))</f>
        <v>0</v>
      </c>
      <c r="BH307">
        <f t="shared" si="76"/>
        <v>1</v>
      </c>
      <c r="BI307">
        <f t="shared" si="77"/>
        <v>644</v>
      </c>
      <c r="BJ307">
        <f t="shared" si="78"/>
        <v>0</v>
      </c>
      <c r="BK307">
        <f t="shared" si="79"/>
        <v>26.797599999999999</v>
      </c>
      <c r="BL307">
        <f t="shared" si="80"/>
        <v>0</v>
      </c>
      <c r="BM307">
        <f t="shared" si="81"/>
        <v>0</v>
      </c>
      <c r="BN307">
        <v>0</v>
      </c>
      <c r="BO307">
        <f t="shared" si="84"/>
        <v>0</v>
      </c>
      <c r="BP307">
        <f t="shared" si="82"/>
        <v>1</v>
      </c>
      <c r="BQ307">
        <f t="shared" si="83"/>
        <v>1</v>
      </c>
    </row>
    <row r="308" spans="1:69" x14ac:dyDescent="0.25">
      <c r="A308">
        <v>307</v>
      </c>
      <c r="B308" t="s">
        <v>1265</v>
      </c>
      <c r="C308" t="s">
        <v>1266</v>
      </c>
      <c r="D308" t="s">
        <v>1267</v>
      </c>
      <c r="E308" t="s">
        <v>1268</v>
      </c>
      <c r="F308" t="s">
        <v>127</v>
      </c>
      <c r="G308">
        <v>1</v>
      </c>
      <c r="H308">
        <v>1</v>
      </c>
      <c r="I308">
        <v>340</v>
      </c>
      <c r="J308">
        <v>0</v>
      </c>
      <c r="K308">
        <v>0</v>
      </c>
      <c r="L308">
        <v>6198.5</v>
      </c>
      <c r="M308">
        <v>3506.8</v>
      </c>
      <c r="N308">
        <v>6173.1</v>
      </c>
      <c r="O308">
        <v>314.39999999999998</v>
      </c>
      <c r="P308">
        <v>7923.7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0.66</v>
      </c>
      <c r="W308">
        <v>0</v>
      </c>
      <c r="X308">
        <v>0</v>
      </c>
      <c r="Y308">
        <v>0.6600000262260437</v>
      </c>
      <c r="Z308">
        <v>0</v>
      </c>
      <c r="AA308">
        <v>0</v>
      </c>
      <c r="AB308">
        <v>0.20000000298023221</v>
      </c>
      <c r="AC308">
        <v>0.10000000149011611</v>
      </c>
      <c r="AD308">
        <v>0.36000001430511469</v>
      </c>
      <c r="AE308">
        <v>0.20000000298023221</v>
      </c>
      <c r="AF308">
        <v>0.46000001579523092</v>
      </c>
      <c r="AG308">
        <v>0.30303029892530009</v>
      </c>
      <c r="AH308">
        <v>0.69696970107469991</v>
      </c>
      <c r="AI308">
        <v>150</v>
      </c>
      <c r="AJ308">
        <v>0</v>
      </c>
      <c r="AK308">
        <v>0.20000000298023221</v>
      </c>
      <c r="AL308">
        <v>0.10000000149011611</v>
      </c>
      <c r="AM308">
        <v>0.36000001430511469</v>
      </c>
      <c r="AN308">
        <v>0</v>
      </c>
      <c r="AO308">
        <v>0</v>
      </c>
      <c r="AR308">
        <v>0</v>
      </c>
      <c r="AS308">
        <v>0</v>
      </c>
      <c r="AT308">
        <v>0</v>
      </c>
      <c r="AU308">
        <v>0</v>
      </c>
      <c r="AV308">
        <f t="shared" si="68"/>
        <v>9.0909090909090898E-2</v>
      </c>
      <c r="AW308">
        <f t="shared" si="69"/>
        <v>0.45454547621987079</v>
      </c>
      <c r="AX308">
        <f t="shared" si="70"/>
        <v>185.45455282384697</v>
      </c>
      <c r="AY308">
        <f t="shared" si="71"/>
        <v>0</v>
      </c>
      <c r="AZ308">
        <f t="shared" si="72"/>
        <v>0.36000001430511475</v>
      </c>
      <c r="BA308" t="str">
        <f t="shared" si="73"/>
        <v/>
      </c>
      <c r="BB308">
        <f t="shared" si="74"/>
        <v>0.30303029892530009</v>
      </c>
      <c r="BC308">
        <f>MATCH($B308,clean_historis!$B:$B,0)</f>
        <v>308</v>
      </c>
      <c r="BD308">
        <f>IFERROR(INDEX(clean_historis!$AF:$AF,$BC308)/INDEX(clean_historis!$V:$V,$BC308),0)</f>
        <v>0</v>
      </c>
      <c r="BE308">
        <f>IFERROR(INDEX(clean_historis!$AR:$AR,$BC308)/INDEX(clean_historis!$AH:$AH,$BC308),0)</f>
        <v>9.0909090909090898E-2</v>
      </c>
      <c r="BF308">
        <f t="shared" si="75"/>
        <v>0.54545456712896168</v>
      </c>
      <c r="BG308">
        <f>MAX(IF(INDEX(clean_historis!$CL:$CL,$BC308)=1,2025,0),IF(INDEX(clean_historis!$CK:$CK,$BC308)=1,2024,0),IF(INDEX(clean_historis!$CJ:$CJ,$BC308)=1,2023,0),IF(INDEX(clean_historis!$CI:$CI,$BC308)=1,2022,0),IF(INDEX(clean_historis!$CH:$CH,$BC308)=1,2021,0))</f>
        <v>0</v>
      </c>
      <c r="BH308">
        <f t="shared" si="76"/>
        <v>0.69696970107469991</v>
      </c>
      <c r="BI308">
        <f t="shared" si="77"/>
        <v>236.96969836539796</v>
      </c>
      <c r="BJ308">
        <f t="shared" si="78"/>
        <v>0</v>
      </c>
      <c r="BK308">
        <f t="shared" si="79"/>
        <v>23.802100000000003</v>
      </c>
      <c r="BL308">
        <f t="shared" si="80"/>
        <v>0</v>
      </c>
      <c r="BM308">
        <f t="shared" si="81"/>
        <v>1</v>
      </c>
      <c r="BN308">
        <v>0</v>
      </c>
      <c r="BO308">
        <f t="shared" si="84"/>
        <v>1</v>
      </c>
      <c r="BP308">
        <f t="shared" si="82"/>
        <v>0</v>
      </c>
      <c r="BQ308">
        <f t="shared" si="83"/>
        <v>1</v>
      </c>
    </row>
    <row r="309" spans="1:69" x14ac:dyDescent="0.25">
      <c r="A309">
        <v>308</v>
      </c>
      <c r="B309" t="s">
        <v>1269</v>
      </c>
      <c r="C309" t="s">
        <v>1270</v>
      </c>
      <c r="D309" t="s">
        <v>1271</v>
      </c>
      <c r="E309" t="s">
        <v>1272</v>
      </c>
      <c r="F309" t="s">
        <v>105</v>
      </c>
      <c r="G309">
        <v>2</v>
      </c>
      <c r="H309">
        <v>1</v>
      </c>
      <c r="I309">
        <v>1152</v>
      </c>
      <c r="J309">
        <v>0</v>
      </c>
      <c r="K309">
        <v>0</v>
      </c>
      <c r="L309">
        <v>1719.7</v>
      </c>
      <c r="M309">
        <v>1507.5</v>
      </c>
      <c r="N309">
        <v>6525</v>
      </c>
      <c r="O309">
        <v>1400.5</v>
      </c>
      <c r="P309">
        <v>5074.2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1.05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150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2</v>
      </c>
      <c r="AP309">
        <v>2023</v>
      </c>
      <c r="AQ309">
        <v>3</v>
      </c>
      <c r="AR309">
        <v>0</v>
      </c>
      <c r="AS309">
        <v>0</v>
      </c>
      <c r="AT309">
        <v>0</v>
      </c>
      <c r="AU309">
        <v>1</v>
      </c>
      <c r="AV309">
        <f t="shared" si="68"/>
        <v>0</v>
      </c>
      <c r="AW309">
        <f t="shared" si="69"/>
        <v>-1</v>
      </c>
      <c r="AX309">
        <f t="shared" si="70"/>
        <v>0</v>
      </c>
      <c r="AY309">
        <f t="shared" si="71"/>
        <v>0</v>
      </c>
      <c r="AZ309">
        <f t="shared" si="72"/>
        <v>0</v>
      </c>
      <c r="BA309">
        <f t="shared" si="73"/>
        <v>2</v>
      </c>
      <c r="BB309">
        <f t="shared" si="74"/>
        <v>0</v>
      </c>
      <c r="BC309">
        <f>MATCH($B309,clean_historis!$B:$B,0)</f>
        <v>309</v>
      </c>
      <c r="BD309">
        <f>IFERROR(INDEX(clean_historis!$AF:$AF,$BC309)/INDEX(clean_historis!$V:$V,$BC309),0)</f>
        <v>1</v>
      </c>
      <c r="BE309">
        <f>IFERROR(INDEX(clean_historis!$AR:$AR,$BC309)/INDEX(clean_historis!$AH:$AH,$BC309),0)</f>
        <v>1</v>
      </c>
      <c r="BF309">
        <f t="shared" si="75"/>
        <v>0</v>
      </c>
      <c r="BG309">
        <f>MAX(IF(INDEX(clean_historis!$CL:$CL,$BC309)=1,2025,0),IF(INDEX(clean_historis!$CK:$CK,$BC309)=1,2024,0),IF(INDEX(clean_historis!$CJ:$CJ,$BC309)=1,2023,0),IF(INDEX(clean_historis!$CI:$CI,$BC309)=1,2022,0),IF(INDEX(clean_historis!$CH:$CH,$BC309)=1,2021,0))</f>
        <v>2023</v>
      </c>
      <c r="BH309">
        <f t="shared" si="76"/>
        <v>1</v>
      </c>
      <c r="BI309">
        <f t="shared" si="77"/>
        <v>1152</v>
      </c>
      <c r="BJ309">
        <f t="shared" si="78"/>
        <v>1</v>
      </c>
      <c r="BK309">
        <f t="shared" si="79"/>
        <v>14.8264</v>
      </c>
      <c r="BL309">
        <f t="shared" si="80"/>
        <v>0</v>
      </c>
      <c r="BM309">
        <f t="shared" si="81"/>
        <v>0</v>
      </c>
      <c r="BN309">
        <v>1</v>
      </c>
      <c r="BO309">
        <f t="shared" si="84"/>
        <v>0</v>
      </c>
      <c r="BP309">
        <f t="shared" si="82"/>
        <v>1</v>
      </c>
      <c r="BQ309">
        <f t="shared" si="83"/>
        <v>1</v>
      </c>
    </row>
    <row r="310" spans="1:69" x14ac:dyDescent="0.25">
      <c r="A310">
        <v>309</v>
      </c>
      <c r="B310" t="s">
        <v>1273</v>
      </c>
      <c r="C310" t="s">
        <v>1274</v>
      </c>
      <c r="D310" t="s">
        <v>1275</v>
      </c>
      <c r="E310" t="s">
        <v>1276</v>
      </c>
      <c r="F310" t="s">
        <v>127</v>
      </c>
      <c r="G310">
        <v>2</v>
      </c>
      <c r="H310">
        <v>1</v>
      </c>
      <c r="I310">
        <v>1327</v>
      </c>
      <c r="J310">
        <v>0</v>
      </c>
      <c r="K310">
        <v>0</v>
      </c>
      <c r="L310">
        <v>1930.8</v>
      </c>
      <c r="M310">
        <v>2770.5</v>
      </c>
      <c r="N310">
        <v>6675.5</v>
      </c>
      <c r="O310">
        <v>763.3</v>
      </c>
      <c r="P310">
        <v>5253.2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1.61</v>
      </c>
      <c r="W310">
        <v>0</v>
      </c>
      <c r="X310">
        <v>0</v>
      </c>
      <c r="Y310">
        <v>1.610000014305115</v>
      </c>
      <c r="Z310">
        <v>0</v>
      </c>
      <c r="AA310">
        <v>0</v>
      </c>
      <c r="AB310">
        <v>1.2100000381469731</v>
      </c>
      <c r="AC310">
        <v>0.30000001192092901</v>
      </c>
      <c r="AD310">
        <v>0.10000000149011611</v>
      </c>
      <c r="AE310">
        <v>1.2100000381469731</v>
      </c>
      <c r="AF310">
        <v>0.40000001341104507</v>
      </c>
      <c r="AG310">
        <v>0.75155279465739155</v>
      </c>
      <c r="AH310">
        <v>0.2484472053426085</v>
      </c>
      <c r="AI310">
        <v>150</v>
      </c>
      <c r="AJ310">
        <v>0</v>
      </c>
      <c r="AK310">
        <v>1.2100000381469731</v>
      </c>
      <c r="AL310">
        <v>0.30000001192092901</v>
      </c>
      <c r="AM310">
        <v>0.10000000149011611</v>
      </c>
      <c r="AN310">
        <v>1</v>
      </c>
      <c r="AO310">
        <v>2</v>
      </c>
      <c r="AP310">
        <v>2024</v>
      </c>
      <c r="AQ310">
        <v>2</v>
      </c>
      <c r="AR310">
        <v>0</v>
      </c>
      <c r="AS310">
        <v>0</v>
      </c>
      <c r="AT310">
        <v>0</v>
      </c>
      <c r="AU310">
        <v>0</v>
      </c>
      <c r="AV310">
        <f t="shared" si="68"/>
        <v>0</v>
      </c>
      <c r="AW310">
        <f t="shared" si="69"/>
        <v>6.2111802167773976E-2</v>
      </c>
      <c r="AX310">
        <f t="shared" si="70"/>
        <v>82.42236147663607</v>
      </c>
      <c r="AY310">
        <f t="shared" si="71"/>
        <v>0</v>
      </c>
      <c r="AZ310">
        <f t="shared" si="72"/>
        <v>0.10000000149011611</v>
      </c>
      <c r="BA310" t="str">
        <f t="shared" si="73"/>
        <v/>
      </c>
      <c r="BB310">
        <f t="shared" si="74"/>
        <v>0.75155279465739155</v>
      </c>
      <c r="BC310">
        <f>MATCH($B310,clean_historis!$B:$B,0)</f>
        <v>310</v>
      </c>
      <c r="BD310">
        <f>IFERROR(INDEX(clean_historis!$AF:$AF,$BC310)/INDEX(clean_historis!$V:$V,$BC310),0)</f>
        <v>0</v>
      </c>
      <c r="BE310">
        <f>IFERROR(INDEX(clean_historis!$AR:$AR,$BC310)/INDEX(clean_historis!$AH:$AH,$BC310),0)</f>
        <v>0</v>
      </c>
      <c r="BF310">
        <f t="shared" si="75"/>
        <v>6.2111802167773976E-2</v>
      </c>
      <c r="BG310">
        <f>MAX(IF(INDEX(clean_historis!$CL:$CL,$BC310)=1,2025,0),IF(INDEX(clean_historis!$CK:$CK,$BC310)=1,2024,0),IF(INDEX(clean_historis!$CJ:$CJ,$BC310)=1,2023,0),IF(INDEX(clean_historis!$CI:$CI,$BC310)=1,2022,0),IF(INDEX(clean_historis!$CH:$CH,$BC310)=1,2021,0))</f>
        <v>0</v>
      </c>
      <c r="BH310">
        <f t="shared" si="76"/>
        <v>0.24844720534260845</v>
      </c>
      <c r="BI310">
        <f t="shared" si="77"/>
        <v>329.68944148964141</v>
      </c>
      <c r="BJ310">
        <f t="shared" si="78"/>
        <v>1</v>
      </c>
      <c r="BK310">
        <f t="shared" si="79"/>
        <v>16.63</v>
      </c>
      <c r="BL310">
        <f t="shared" si="80"/>
        <v>0</v>
      </c>
      <c r="BM310">
        <f t="shared" si="81"/>
        <v>0</v>
      </c>
      <c r="BN310">
        <v>0</v>
      </c>
      <c r="BO310">
        <f t="shared" si="84"/>
        <v>0</v>
      </c>
      <c r="BP310">
        <f t="shared" si="82"/>
        <v>1</v>
      </c>
      <c r="BQ310">
        <f t="shared" si="83"/>
        <v>0</v>
      </c>
    </row>
    <row r="311" spans="1:69" x14ac:dyDescent="0.25">
      <c r="A311">
        <v>310</v>
      </c>
      <c r="B311" t="s">
        <v>1277</v>
      </c>
      <c r="C311" t="s">
        <v>1278</v>
      </c>
      <c r="D311" t="s">
        <v>1279</v>
      </c>
      <c r="E311" t="s">
        <v>378</v>
      </c>
      <c r="F311" t="s">
        <v>105</v>
      </c>
      <c r="G311">
        <v>2</v>
      </c>
      <c r="H311">
        <v>1</v>
      </c>
      <c r="I311">
        <v>1247</v>
      </c>
      <c r="J311">
        <v>0</v>
      </c>
      <c r="K311">
        <v>0</v>
      </c>
      <c r="L311">
        <v>2227.1999999999998</v>
      </c>
      <c r="M311">
        <v>2247</v>
      </c>
      <c r="N311">
        <v>3854.6</v>
      </c>
      <c r="O311">
        <v>338.4</v>
      </c>
      <c r="P311">
        <v>40544.1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0.5</v>
      </c>
      <c r="W311">
        <v>0</v>
      </c>
      <c r="X311">
        <v>0</v>
      </c>
      <c r="Y311">
        <v>0.5</v>
      </c>
      <c r="Z311">
        <v>0</v>
      </c>
      <c r="AA311">
        <v>0.20000000298023221</v>
      </c>
      <c r="AB311">
        <v>0.30000001192092901</v>
      </c>
      <c r="AC311">
        <v>0</v>
      </c>
      <c r="AD311">
        <v>0</v>
      </c>
      <c r="AE311">
        <v>0.50000001490116119</v>
      </c>
      <c r="AF311">
        <v>0</v>
      </c>
      <c r="AG311">
        <v>1</v>
      </c>
      <c r="AH311">
        <v>0</v>
      </c>
      <c r="AI311">
        <v>150</v>
      </c>
      <c r="AJ311">
        <v>0.20000000298023221</v>
      </c>
      <c r="AK311">
        <v>0.30000001192092901</v>
      </c>
      <c r="AL311">
        <v>0</v>
      </c>
      <c r="AM311">
        <v>0</v>
      </c>
      <c r="AN311">
        <v>0</v>
      </c>
      <c r="AO311">
        <v>0</v>
      </c>
      <c r="AR311">
        <v>0</v>
      </c>
      <c r="AS311">
        <v>0</v>
      </c>
      <c r="AT311">
        <v>0</v>
      </c>
      <c r="AU311">
        <v>0</v>
      </c>
      <c r="AV311">
        <f t="shared" si="68"/>
        <v>0</v>
      </c>
      <c r="AW311">
        <f t="shared" si="69"/>
        <v>0</v>
      </c>
      <c r="AX311">
        <f t="shared" si="70"/>
        <v>0</v>
      </c>
      <c r="AY311">
        <f t="shared" si="71"/>
        <v>0</v>
      </c>
      <c r="AZ311">
        <f t="shared" si="72"/>
        <v>0</v>
      </c>
      <c r="BA311" t="str">
        <f t="shared" si="73"/>
        <v/>
      </c>
      <c r="BB311">
        <f t="shared" si="74"/>
        <v>1</v>
      </c>
      <c r="BC311">
        <f>MATCH($B311,clean_historis!$B:$B,0)</f>
        <v>311</v>
      </c>
      <c r="BD311">
        <f>IFERROR(INDEX(clean_historis!$AF:$AF,$BC311)/INDEX(clean_historis!$V:$V,$BC311),0)</f>
        <v>0</v>
      </c>
      <c r="BE311">
        <f>IFERROR(INDEX(clean_historis!$AR:$AR,$BC311)/INDEX(clean_historis!$AH:$AH,$BC311),0)</f>
        <v>0</v>
      </c>
      <c r="BF311">
        <f t="shared" si="75"/>
        <v>0</v>
      </c>
      <c r="BG311">
        <f>MAX(IF(INDEX(clean_historis!$CL:$CL,$BC311)=1,2025,0),IF(INDEX(clean_historis!$CK:$CK,$BC311)=1,2024,0),IF(INDEX(clean_historis!$CJ:$CJ,$BC311)=1,2023,0),IF(INDEX(clean_historis!$CI:$CI,$BC311)=1,2022,0),IF(INDEX(clean_historis!$CH:$CH,$BC311)=1,2021,0))</f>
        <v>0</v>
      </c>
      <c r="BH311">
        <f t="shared" si="76"/>
        <v>0</v>
      </c>
      <c r="BI311">
        <f t="shared" si="77"/>
        <v>0</v>
      </c>
      <c r="BJ311">
        <f t="shared" si="78"/>
        <v>0</v>
      </c>
      <c r="BK311">
        <f t="shared" si="79"/>
        <v>48.872899999999994</v>
      </c>
      <c r="BL311">
        <f t="shared" si="80"/>
        <v>0</v>
      </c>
      <c r="BM311">
        <f t="shared" si="81"/>
        <v>0</v>
      </c>
      <c r="BN311">
        <v>0</v>
      </c>
      <c r="BO311">
        <f t="shared" si="84"/>
        <v>1</v>
      </c>
      <c r="BP311">
        <f t="shared" si="82"/>
        <v>0</v>
      </c>
      <c r="BQ311">
        <f t="shared" si="83"/>
        <v>1</v>
      </c>
    </row>
    <row r="312" spans="1:69" x14ac:dyDescent="0.25">
      <c r="A312">
        <v>311</v>
      </c>
      <c r="B312" t="s">
        <v>1280</v>
      </c>
      <c r="C312" t="s">
        <v>1281</v>
      </c>
      <c r="D312" t="s">
        <v>1282</v>
      </c>
      <c r="E312" t="s">
        <v>1283</v>
      </c>
      <c r="F312" t="s">
        <v>310</v>
      </c>
      <c r="G312">
        <v>2</v>
      </c>
      <c r="H312">
        <v>1</v>
      </c>
      <c r="I312">
        <v>383</v>
      </c>
      <c r="J312">
        <v>0</v>
      </c>
      <c r="K312">
        <v>0</v>
      </c>
      <c r="L312">
        <v>38431.300000000003</v>
      </c>
      <c r="M312">
        <v>5308.5</v>
      </c>
      <c r="N312">
        <v>40641.699999999997</v>
      </c>
      <c r="O312">
        <v>1530.9</v>
      </c>
      <c r="P312">
        <v>5930.7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1.1599999999999999</v>
      </c>
      <c r="W312">
        <v>1.1599999666213989</v>
      </c>
      <c r="X312">
        <v>0</v>
      </c>
      <c r="Y312">
        <v>0</v>
      </c>
      <c r="Z312">
        <v>0</v>
      </c>
      <c r="AA312">
        <v>0</v>
      </c>
      <c r="AB312">
        <v>0.36000001430511469</v>
      </c>
      <c r="AC312">
        <v>0.80000001192092896</v>
      </c>
      <c r="AD312">
        <v>0</v>
      </c>
      <c r="AE312">
        <v>0.36000001430511469</v>
      </c>
      <c r="AF312">
        <v>0.80000001192092896</v>
      </c>
      <c r="AG312">
        <v>0.31034483290172199</v>
      </c>
      <c r="AH312">
        <v>0.6896551670982779</v>
      </c>
      <c r="AI312">
        <v>150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2023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f t="shared" si="68"/>
        <v>0</v>
      </c>
      <c r="AW312">
        <f t="shared" si="69"/>
        <v>0</v>
      </c>
      <c r="AX312">
        <f t="shared" si="70"/>
        <v>0</v>
      </c>
      <c r="AY312">
        <f t="shared" si="71"/>
        <v>0</v>
      </c>
      <c r="AZ312">
        <f t="shared" si="72"/>
        <v>0</v>
      </c>
      <c r="BA312" t="str">
        <f t="shared" si="73"/>
        <v/>
      </c>
      <c r="BB312">
        <f t="shared" si="74"/>
        <v>0.31034483290172199</v>
      </c>
      <c r="BC312">
        <f>MATCH($B312,clean_historis!$B:$B,0)</f>
        <v>312</v>
      </c>
      <c r="BD312">
        <f>IFERROR(INDEX(clean_historis!$AF:$AF,$BC312)/INDEX(clean_historis!$V:$V,$BC312),0)</f>
        <v>0</v>
      </c>
      <c r="BE312">
        <f>IFERROR(INDEX(clean_historis!$AR:$AR,$BC312)/INDEX(clean_historis!$AH:$AH,$BC312),0)</f>
        <v>0</v>
      </c>
      <c r="BF312">
        <f t="shared" si="75"/>
        <v>0</v>
      </c>
      <c r="BG312">
        <f>MAX(IF(INDEX(clean_historis!$CL:$CL,$BC312)=1,2025,0),IF(INDEX(clean_historis!$CK:$CK,$BC312)=1,2024,0),IF(INDEX(clean_historis!$CJ:$CJ,$BC312)=1,2023,0),IF(INDEX(clean_historis!$CI:$CI,$BC312)=1,2022,0),IF(INDEX(clean_historis!$CH:$CH,$BC312)=1,2021,0))</f>
        <v>0</v>
      </c>
      <c r="BH312">
        <f t="shared" si="76"/>
        <v>0.68965516709827801</v>
      </c>
      <c r="BI312">
        <f t="shared" si="77"/>
        <v>264.13792899864046</v>
      </c>
      <c r="BJ312">
        <f t="shared" si="78"/>
        <v>0</v>
      </c>
      <c r="BK312">
        <f t="shared" si="79"/>
        <v>90.31219999999999</v>
      </c>
      <c r="BL312">
        <f t="shared" si="80"/>
        <v>0</v>
      </c>
      <c r="BM312">
        <f t="shared" si="81"/>
        <v>0</v>
      </c>
      <c r="BN312">
        <v>0</v>
      </c>
      <c r="BO312">
        <f t="shared" si="84"/>
        <v>0</v>
      </c>
      <c r="BP312">
        <f t="shared" si="82"/>
        <v>1</v>
      </c>
      <c r="BQ312">
        <f t="shared" si="83"/>
        <v>1</v>
      </c>
    </row>
    <row r="313" spans="1:69" x14ac:dyDescent="0.25">
      <c r="A313">
        <v>312</v>
      </c>
      <c r="B313" t="s">
        <v>1284</v>
      </c>
      <c r="C313" t="s">
        <v>1285</v>
      </c>
      <c r="D313" t="s">
        <v>1286</v>
      </c>
      <c r="E313" t="s">
        <v>1009</v>
      </c>
      <c r="F313" t="s">
        <v>203</v>
      </c>
      <c r="G313">
        <v>3</v>
      </c>
      <c r="H313">
        <v>2</v>
      </c>
      <c r="I313">
        <v>1967</v>
      </c>
      <c r="J313">
        <v>0</v>
      </c>
      <c r="K313">
        <v>1</v>
      </c>
      <c r="L313">
        <v>1183.2</v>
      </c>
      <c r="M313">
        <v>2223.6</v>
      </c>
      <c r="N313">
        <v>7793.6</v>
      </c>
      <c r="O313">
        <v>981.5</v>
      </c>
      <c r="P313">
        <v>9536.7999999999993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1.1100000000000001</v>
      </c>
      <c r="W313">
        <v>0</v>
      </c>
      <c r="X313">
        <v>0</v>
      </c>
      <c r="Y313">
        <v>1.110000014305115</v>
      </c>
      <c r="Z313">
        <v>0</v>
      </c>
      <c r="AA313">
        <v>0.9100000262260437</v>
      </c>
      <c r="AB313">
        <v>0.20000000298023221</v>
      </c>
      <c r="AC313">
        <v>0</v>
      </c>
      <c r="AD313">
        <v>0</v>
      </c>
      <c r="AE313">
        <v>1.1100000292062759</v>
      </c>
      <c r="AF313">
        <v>0</v>
      </c>
      <c r="AG313">
        <v>1</v>
      </c>
      <c r="AH313">
        <v>0</v>
      </c>
      <c r="AI313">
        <v>150</v>
      </c>
      <c r="AJ313">
        <v>0.9100000262260437</v>
      </c>
      <c r="AK313">
        <v>0.20000000298023221</v>
      </c>
      <c r="AL313">
        <v>0</v>
      </c>
      <c r="AM313">
        <v>0</v>
      </c>
      <c r="AN313">
        <v>1</v>
      </c>
      <c r="AO313">
        <v>1</v>
      </c>
      <c r="AP313">
        <v>2023</v>
      </c>
      <c r="AQ313">
        <v>3</v>
      </c>
      <c r="AR313">
        <v>0</v>
      </c>
      <c r="AS313">
        <v>0</v>
      </c>
      <c r="AT313">
        <v>0</v>
      </c>
      <c r="AU313">
        <v>0</v>
      </c>
      <c r="AV313">
        <f t="shared" si="68"/>
        <v>0</v>
      </c>
      <c r="AW313">
        <f t="shared" si="69"/>
        <v>0</v>
      </c>
      <c r="AX313">
        <f t="shared" si="70"/>
        <v>0</v>
      </c>
      <c r="AY313">
        <f t="shared" si="71"/>
        <v>0</v>
      </c>
      <c r="AZ313">
        <f t="shared" si="72"/>
        <v>0</v>
      </c>
      <c r="BA313">
        <f t="shared" si="73"/>
        <v>2</v>
      </c>
      <c r="BB313">
        <f t="shared" si="74"/>
        <v>1</v>
      </c>
      <c r="BC313">
        <f>MATCH($B313,clean_historis!$B:$B,0)</f>
        <v>313</v>
      </c>
      <c r="BD313">
        <f>IFERROR(INDEX(clean_historis!$AF:$AF,$BC313)/INDEX(clean_historis!$V:$V,$BC313),0)</f>
        <v>0</v>
      </c>
      <c r="BE313">
        <f>IFERROR(INDEX(clean_historis!$AR:$AR,$BC313)/INDEX(clean_historis!$AH:$AH,$BC313),0)</f>
        <v>0</v>
      </c>
      <c r="BF313">
        <f t="shared" si="75"/>
        <v>0</v>
      </c>
      <c r="BG313">
        <f>MAX(IF(INDEX(clean_historis!$CL:$CL,$BC313)=1,2025,0),IF(INDEX(clean_historis!$CK:$CK,$BC313)=1,2024,0),IF(INDEX(clean_historis!$CJ:$CJ,$BC313)=1,2023,0),IF(INDEX(clean_historis!$CI:$CI,$BC313)=1,2022,0),IF(INDEX(clean_historis!$CH:$CH,$BC313)=1,2021,0))</f>
        <v>2023</v>
      </c>
      <c r="BH313">
        <f t="shared" si="76"/>
        <v>0</v>
      </c>
      <c r="BI313">
        <f t="shared" si="77"/>
        <v>0</v>
      </c>
      <c r="BJ313">
        <f t="shared" si="78"/>
        <v>1</v>
      </c>
      <c r="BK313">
        <f t="shared" si="79"/>
        <v>20.737199999999998</v>
      </c>
      <c r="BL313">
        <f t="shared" si="80"/>
        <v>0</v>
      </c>
      <c r="BM313">
        <f t="shared" si="81"/>
        <v>0</v>
      </c>
      <c r="BN313">
        <v>0</v>
      </c>
      <c r="BO313">
        <f t="shared" si="84"/>
        <v>0</v>
      </c>
      <c r="BP313">
        <f t="shared" si="82"/>
        <v>1</v>
      </c>
      <c r="BQ313">
        <f t="shared" si="83"/>
        <v>0</v>
      </c>
    </row>
    <row r="314" spans="1:69" x14ac:dyDescent="0.25">
      <c r="A314">
        <v>313</v>
      </c>
      <c r="B314" t="s">
        <v>1287</v>
      </c>
      <c r="C314" t="s">
        <v>1288</v>
      </c>
      <c r="D314" t="s">
        <v>1289</v>
      </c>
      <c r="E314" t="s">
        <v>1290</v>
      </c>
      <c r="F314" t="s">
        <v>203</v>
      </c>
      <c r="G314">
        <v>4</v>
      </c>
      <c r="H314">
        <v>2</v>
      </c>
      <c r="I314">
        <v>3450</v>
      </c>
      <c r="J314">
        <v>1</v>
      </c>
      <c r="K314">
        <v>1</v>
      </c>
      <c r="L314">
        <v>3451.8</v>
      </c>
      <c r="M314">
        <v>5726.6</v>
      </c>
      <c r="N314">
        <v>11399.7</v>
      </c>
      <c r="O314">
        <v>145.5</v>
      </c>
      <c r="P314">
        <v>6836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</v>
      </c>
      <c r="W314">
        <v>0</v>
      </c>
      <c r="X314">
        <v>0</v>
      </c>
      <c r="Y314">
        <v>6.7399997711181641</v>
      </c>
      <c r="Z314">
        <v>0</v>
      </c>
      <c r="AA314">
        <v>0.89999997615814209</v>
      </c>
      <c r="AB314">
        <v>2.1400001049041748</v>
      </c>
      <c r="AC314">
        <v>2</v>
      </c>
      <c r="AD314">
        <v>1.700000047683716</v>
      </c>
      <c r="AE314">
        <v>3.0400000810623169</v>
      </c>
      <c r="AF314">
        <v>3.7000000476837158</v>
      </c>
      <c r="AG314">
        <v>0.4510385790790637</v>
      </c>
      <c r="AH314">
        <v>0.54896142092093636</v>
      </c>
      <c r="AI314">
        <v>150</v>
      </c>
      <c r="AJ314">
        <v>0.89999997615814209</v>
      </c>
      <c r="AK314">
        <v>2.1400001049041748</v>
      </c>
      <c r="AL314">
        <v>2</v>
      </c>
      <c r="AM314">
        <v>1.700000047683716</v>
      </c>
      <c r="AN314">
        <v>1</v>
      </c>
      <c r="AO314">
        <v>3</v>
      </c>
      <c r="AP314">
        <v>2025</v>
      </c>
      <c r="AQ314">
        <v>1</v>
      </c>
      <c r="AR314">
        <v>1</v>
      </c>
      <c r="AS314">
        <v>0</v>
      </c>
      <c r="AT314">
        <v>1</v>
      </c>
      <c r="AU314">
        <v>1</v>
      </c>
      <c r="AV314">
        <f t="shared" si="68"/>
        <v>8.9020771513353109E-2</v>
      </c>
      <c r="AW314">
        <f t="shared" si="69"/>
        <v>0.13353116434476497</v>
      </c>
      <c r="AX314">
        <f t="shared" si="70"/>
        <v>870.17806595086347</v>
      </c>
      <c r="AY314">
        <f t="shared" si="71"/>
        <v>0</v>
      </c>
      <c r="AZ314">
        <f t="shared" si="72"/>
        <v>1.7000000476837158</v>
      </c>
      <c r="BA314">
        <f t="shared" si="73"/>
        <v>0</v>
      </c>
      <c r="BB314">
        <f t="shared" si="74"/>
        <v>0.4510385790790637</v>
      </c>
      <c r="BC314">
        <f>MATCH($B314,clean_historis!$B:$B,0)</f>
        <v>314</v>
      </c>
      <c r="BD314">
        <f>IFERROR(INDEX(clean_historis!$AF:$AF,$BC314)/INDEX(clean_historis!$V:$V,$BC314),0)</f>
        <v>2.967359050445104E-2</v>
      </c>
      <c r="BE314">
        <f>IFERROR(INDEX(clean_historis!$AR:$AR,$BC314)/INDEX(clean_historis!$AH:$AH,$BC314),0)</f>
        <v>0.11869436201780414</v>
      </c>
      <c r="BF314">
        <f t="shared" si="75"/>
        <v>0.25222552636256912</v>
      </c>
      <c r="BG314">
        <f>MAX(IF(INDEX(clean_historis!$CL:$CL,$BC314)=1,2025,0),IF(INDEX(clean_historis!$CK:$CK,$BC314)=1,2024,0),IF(INDEX(clean_historis!$CJ:$CJ,$BC314)=1,2023,0),IF(INDEX(clean_historis!$CI:$CI,$BC314)=1,2022,0),IF(INDEX(clean_historis!$CH:$CH,$BC314)=1,2021,0))</f>
        <v>2025</v>
      </c>
      <c r="BH314">
        <f t="shared" si="76"/>
        <v>0.54896142092093636</v>
      </c>
      <c r="BI314">
        <f t="shared" si="77"/>
        <v>1893.9169021772304</v>
      </c>
      <c r="BJ314">
        <f t="shared" si="78"/>
        <v>0</v>
      </c>
      <c r="BK314">
        <f t="shared" si="79"/>
        <v>27.414099999999998</v>
      </c>
      <c r="BL314">
        <f t="shared" si="80"/>
        <v>0</v>
      </c>
      <c r="BM314">
        <f t="shared" si="81"/>
        <v>0</v>
      </c>
      <c r="BN314">
        <v>0</v>
      </c>
      <c r="BO314">
        <f t="shared" si="84"/>
        <v>0</v>
      </c>
      <c r="BP314">
        <f t="shared" si="82"/>
        <v>1</v>
      </c>
      <c r="BQ314">
        <f t="shared" si="83"/>
        <v>1</v>
      </c>
    </row>
    <row r="315" spans="1:69" x14ac:dyDescent="0.25">
      <c r="A315">
        <v>314</v>
      </c>
      <c r="B315" t="s">
        <v>1291</v>
      </c>
      <c r="C315" t="s">
        <v>1292</v>
      </c>
      <c r="D315" t="s">
        <v>1293</v>
      </c>
      <c r="E315" t="s">
        <v>1294</v>
      </c>
      <c r="F315" t="s">
        <v>149</v>
      </c>
      <c r="G315">
        <v>2</v>
      </c>
      <c r="H315">
        <v>1</v>
      </c>
      <c r="I315">
        <v>1383</v>
      </c>
      <c r="J315">
        <v>0</v>
      </c>
      <c r="K315">
        <v>0</v>
      </c>
      <c r="L315">
        <v>1884.6</v>
      </c>
      <c r="M315">
        <v>3129</v>
      </c>
      <c r="N315">
        <v>8698.9</v>
      </c>
      <c r="O315">
        <v>1459.4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2.2599999999999998</v>
      </c>
      <c r="W315">
        <v>0</v>
      </c>
      <c r="X315">
        <v>0</v>
      </c>
      <c r="Y315">
        <v>2.2599999904632568</v>
      </c>
      <c r="Z315">
        <v>0</v>
      </c>
      <c r="AA315">
        <v>1.200000047683716</v>
      </c>
      <c r="AB315">
        <v>1.059999942779541</v>
      </c>
      <c r="AC315">
        <v>0</v>
      </c>
      <c r="AD315">
        <v>0</v>
      </c>
      <c r="AE315">
        <v>2.2599999904632568</v>
      </c>
      <c r="AF315">
        <v>0</v>
      </c>
      <c r="AG315">
        <v>1</v>
      </c>
      <c r="AH315">
        <v>0</v>
      </c>
      <c r="AI315">
        <v>150</v>
      </c>
      <c r="AJ315">
        <v>1.200000047683716</v>
      </c>
      <c r="AK315">
        <v>1.059999942779541</v>
      </c>
      <c r="AL315">
        <v>0</v>
      </c>
      <c r="AM315">
        <v>0</v>
      </c>
      <c r="AN315">
        <v>1</v>
      </c>
      <c r="AO315">
        <v>1</v>
      </c>
      <c r="AP315">
        <v>2024</v>
      </c>
      <c r="AQ315">
        <v>2</v>
      </c>
      <c r="AR315">
        <v>0</v>
      </c>
      <c r="AS315">
        <v>0</v>
      </c>
      <c r="AT315">
        <v>0</v>
      </c>
      <c r="AU315">
        <v>0</v>
      </c>
      <c r="AV315">
        <f t="shared" si="68"/>
        <v>-8.8495575221238951E-2</v>
      </c>
      <c r="AW315">
        <f t="shared" si="69"/>
        <v>0</v>
      </c>
      <c r="AX315">
        <f t="shared" si="70"/>
        <v>0</v>
      </c>
      <c r="AY315">
        <f t="shared" si="71"/>
        <v>1</v>
      </c>
      <c r="AZ315">
        <f t="shared" si="72"/>
        <v>0</v>
      </c>
      <c r="BA315">
        <f t="shared" si="73"/>
        <v>1</v>
      </c>
      <c r="BB315">
        <f t="shared" si="74"/>
        <v>1</v>
      </c>
      <c r="BC315">
        <f>MATCH($B315,clean_historis!$B:$B,0)</f>
        <v>315</v>
      </c>
      <c r="BD315">
        <f>IFERROR(INDEX(clean_historis!$AF:$AF,$BC315)/INDEX(clean_historis!$V:$V,$BC315),0)</f>
        <v>8.8495575221238951E-2</v>
      </c>
      <c r="BE315">
        <f>IFERROR(INDEX(clean_historis!$AR:$AR,$BC315)/INDEX(clean_historis!$AH:$AH,$BC315),0)</f>
        <v>0</v>
      </c>
      <c r="BF315">
        <f t="shared" si="75"/>
        <v>0</v>
      </c>
      <c r="BG315">
        <f>MAX(IF(INDEX(clean_historis!$CL:$CL,$BC315)=1,2025,0),IF(INDEX(clean_historis!$CK:$CK,$BC315)=1,2024,0),IF(INDEX(clean_historis!$CJ:$CJ,$BC315)=1,2023,0),IF(INDEX(clean_historis!$CI:$CI,$BC315)=1,2022,0),IF(INDEX(clean_historis!$CH:$CH,$BC315)=1,2021,0))</f>
        <v>2024</v>
      </c>
      <c r="BH315">
        <f t="shared" si="76"/>
        <v>0</v>
      </c>
      <c r="BI315">
        <f t="shared" si="77"/>
        <v>0</v>
      </c>
      <c r="BJ315">
        <f t="shared" si="78"/>
        <v>1</v>
      </c>
      <c r="BK315">
        <f t="shared" si="79"/>
        <v>13.7125</v>
      </c>
      <c r="BL315">
        <f t="shared" si="80"/>
        <v>0</v>
      </c>
      <c r="BM315">
        <f t="shared" si="81"/>
        <v>0</v>
      </c>
      <c r="BN315">
        <v>0</v>
      </c>
      <c r="BO315">
        <f t="shared" si="84"/>
        <v>0</v>
      </c>
      <c r="BP315">
        <f t="shared" si="82"/>
        <v>1</v>
      </c>
      <c r="BQ315">
        <f t="shared" si="83"/>
        <v>0</v>
      </c>
    </row>
    <row r="316" spans="1:69" x14ac:dyDescent="0.25">
      <c r="A316">
        <v>315</v>
      </c>
      <c r="B316" t="s">
        <v>1295</v>
      </c>
      <c r="C316" t="s">
        <v>1296</v>
      </c>
      <c r="D316" t="s">
        <v>1297</v>
      </c>
      <c r="E316" t="s">
        <v>1298</v>
      </c>
      <c r="F316" t="s">
        <v>185</v>
      </c>
      <c r="G316">
        <v>3</v>
      </c>
      <c r="H316">
        <v>1</v>
      </c>
      <c r="I316">
        <v>1322</v>
      </c>
      <c r="J316">
        <v>0</v>
      </c>
      <c r="K316">
        <v>0</v>
      </c>
      <c r="O316">
        <v>737.9</v>
      </c>
      <c r="P316">
        <v>9365.6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8.0299999999999994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150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f t="shared" si="68"/>
        <v>-1.5543122344752192E-15</v>
      </c>
      <c r="AW316">
        <f t="shared" si="69"/>
        <v>-0.99999999999999845</v>
      </c>
      <c r="AX316">
        <f t="shared" si="70"/>
        <v>0</v>
      </c>
      <c r="AY316">
        <f t="shared" si="71"/>
        <v>3</v>
      </c>
      <c r="AZ316">
        <f t="shared" si="72"/>
        <v>0</v>
      </c>
      <c r="BA316" t="str">
        <f t="shared" si="73"/>
        <v/>
      </c>
      <c r="BB316">
        <f t="shared" si="74"/>
        <v>0</v>
      </c>
      <c r="BC316">
        <f>MATCH($B316,clean_historis!$B:$B,0)</f>
        <v>316</v>
      </c>
      <c r="BD316">
        <f>IFERROR(INDEX(clean_historis!$AF:$AF,$BC316)/INDEX(clean_historis!$V:$V,$BC316),0)</f>
        <v>1</v>
      </c>
      <c r="BE316">
        <f>IFERROR(INDEX(clean_historis!$AR:$AR,$BC316)/INDEX(clean_historis!$AH:$AH,$BC316),0)</f>
        <v>0.99999999999999845</v>
      </c>
      <c r="BF316">
        <f t="shared" si="75"/>
        <v>0</v>
      </c>
      <c r="BG316">
        <f>MAX(IF(INDEX(clean_historis!$CL:$CL,$BC316)=1,2025,0),IF(INDEX(clean_historis!$CK:$CK,$BC316)=1,2024,0),IF(INDEX(clean_historis!$CJ:$CJ,$BC316)=1,2023,0),IF(INDEX(clean_historis!$CI:$CI,$BC316)=1,2022,0),IF(INDEX(clean_historis!$CH:$CH,$BC316)=1,2021,0))</f>
        <v>0</v>
      </c>
      <c r="BH316">
        <f t="shared" si="76"/>
        <v>1</v>
      </c>
      <c r="BI316">
        <f t="shared" si="77"/>
        <v>1322</v>
      </c>
      <c r="BJ316">
        <f t="shared" si="78"/>
        <v>0</v>
      </c>
      <c r="BK316">
        <f t="shared" si="79"/>
        <v>9.3656000000000006</v>
      </c>
      <c r="BL316">
        <f t="shared" si="80"/>
        <v>0</v>
      </c>
      <c r="BM316">
        <f t="shared" si="81"/>
        <v>0</v>
      </c>
      <c r="BN316">
        <v>0</v>
      </c>
      <c r="BO316">
        <f t="shared" si="84"/>
        <v>0</v>
      </c>
      <c r="BP316">
        <f t="shared" si="82"/>
        <v>0</v>
      </c>
      <c r="BQ316">
        <f t="shared" si="83"/>
        <v>1</v>
      </c>
    </row>
    <row r="317" spans="1:69" x14ac:dyDescent="0.25">
      <c r="A317">
        <v>316</v>
      </c>
      <c r="B317" t="s">
        <v>1299</v>
      </c>
      <c r="C317" t="s">
        <v>1300</v>
      </c>
      <c r="D317" t="s">
        <v>1301</v>
      </c>
      <c r="E317" t="s">
        <v>1302</v>
      </c>
      <c r="F317" t="s">
        <v>176</v>
      </c>
      <c r="G317">
        <v>8</v>
      </c>
      <c r="H317">
        <v>1</v>
      </c>
      <c r="I317">
        <v>2472</v>
      </c>
      <c r="J317">
        <v>0</v>
      </c>
      <c r="K317">
        <v>1</v>
      </c>
      <c r="L317">
        <v>521.79999999999995</v>
      </c>
      <c r="M317">
        <v>552.5</v>
      </c>
      <c r="N317">
        <v>7693.7</v>
      </c>
      <c r="O317">
        <v>1000.2</v>
      </c>
      <c r="P317">
        <v>6193.3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7.3</v>
      </c>
      <c r="W317">
        <v>0</v>
      </c>
      <c r="X317">
        <v>0</v>
      </c>
      <c r="Y317">
        <v>7.3000001907348633</v>
      </c>
      <c r="Z317">
        <v>0</v>
      </c>
      <c r="AA317">
        <v>0</v>
      </c>
      <c r="AB317">
        <v>7</v>
      </c>
      <c r="AC317">
        <v>0.30000001192092901</v>
      </c>
      <c r="AD317">
        <v>0</v>
      </c>
      <c r="AE317">
        <v>7</v>
      </c>
      <c r="AF317">
        <v>0.30000001192092901</v>
      </c>
      <c r="AG317">
        <v>0.95890410802314685</v>
      </c>
      <c r="AH317">
        <v>4.1095891976853108E-2</v>
      </c>
      <c r="AI317">
        <v>150</v>
      </c>
      <c r="AJ317">
        <v>0</v>
      </c>
      <c r="AK317">
        <v>7</v>
      </c>
      <c r="AL317">
        <v>0.30000001192092901</v>
      </c>
      <c r="AM317">
        <v>0</v>
      </c>
      <c r="AN317">
        <v>1</v>
      </c>
      <c r="AO317">
        <v>3</v>
      </c>
      <c r="AP317">
        <v>2023</v>
      </c>
      <c r="AQ317">
        <v>3</v>
      </c>
      <c r="AR317">
        <v>1</v>
      </c>
      <c r="AS317">
        <v>1</v>
      </c>
      <c r="AT317">
        <v>0</v>
      </c>
      <c r="AU317">
        <v>0</v>
      </c>
      <c r="AV317">
        <f t="shared" si="68"/>
        <v>0</v>
      </c>
      <c r="AW317">
        <f t="shared" si="69"/>
        <v>0</v>
      </c>
      <c r="AX317">
        <f t="shared" si="70"/>
        <v>0</v>
      </c>
      <c r="AY317">
        <f t="shared" si="71"/>
        <v>0</v>
      </c>
      <c r="AZ317">
        <f t="shared" si="72"/>
        <v>0</v>
      </c>
      <c r="BA317">
        <f t="shared" si="73"/>
        <v>4</v>
      </c>
      <c r="BB317">
        <f t="shared" si="74"/>
        <v>0.95890410802314685</v>
      </c>
      <c r="BC317">
        <f>MATCH($B317,clean_historis!$B:$B,0)</f>
        <v>317</v>
      </c>
      <c r="BD317">
        <f>IFERROR(INDEX(clean_historis!$AF:$AF,$BC317)/INDEX(clean_historis!$V:$V,$BC317),0)</f>
        <v>0</v>
      </c>
      <c r="BE317">
        <f>IFERROR(INDEX(clean_historis!$AR:$AR,$BC317)/INDEX(clean_historis!$AH:$AH,$BC317),0)</f>
        <v>0</v>
      </c>
      <c r="BF317">
        <f t="shared" si="75"/>
        <v>0</v>
      </c>
      <c r="BG317">
        <f>MAX(IF(INDEX(clean_historis!$CL:$CL,$BC317)=1,2025,0),IF(INDEX(clean_historis!$CK:$CK,$BC317)=1,2024,0),IF(INDEX(clean_historis!$CJ:$CJ,$BC317)=1,2023,0),IF(INDEX(clean_historis!$CI:$CI,$BC317)=1,2022,0),IF(INDEX(clean_historis!$CH:$CH,$BC317)=1,2021,0))</f>
        <v>2021</v>
      </c>
      <c r="BH317">
        <f t="shared" si="76"/>
        <v>4.1095891976853149E-2</v>
      </c>
      <c r="BI317">
        <f t="shared" si="77"/>
        <v>101.58904496678099</v>
      </c>
      <c r="BJ317">
        <f t="shared" si="78"/>
        <v>1</v>
      </c>
      <c r="BK317">
        <f t="shared" si="79"/>
        <v>14.9613</v>
      </c>
      <c r="BL317">
        <f t="shared" si="80"/>
        <v>0</v>
      </c>
      <c r="BM317">
        <f t="shared" si="81"/>
        <v>0</v>
      </c>
      <c r="BN317">
        <v>0</v>
      </c>
      <c r="BO317">
        <f t="shared" si="84"/>
        <v>0</v>
      </c>
      <c r="BP317">
        <f t="shared" si="82"/>
        <v>1</v>
      </c>
      <c r="BQ317">
        <f t="shared" si="83"/>
        <v>0</v>
      </c>
    </row>
    <row r="318" spans="1:69" x14ac:dyDescent="0.25">
      <c r="A318">
        <v>317</v>
      </c>
      <c r="B318" t="s">
        <v>1303</v>
      </c>
      <c r="C318" t="s">
        <v>1304</v>
      </c>
      <c r="D318" t="s">
        <v>1305</v>
      </c>
      <c r="E318" t="s">
        <v>1306</v>
      </c>
      <c r="F318" t="s">
        <v>176</v>
      </c>
      <c r="G318">
        <v>3</v>
      </c>
      <c r="H318">
        <v>1</v>
      </c>
      <c r="I318">
        <v>1361</v>
      </c>
      <c r="J318">
        <v>0</v>
      </c>
      <c r="K318">
        <v>0</v>
      </c>
      <c r="L318">
        <v>4723.8</v>
      </c>
      <c r="M318">
        <v>1843.3</v>
      </c>
      <c r="N318">
        <v>4521.5</v>
      </c>
      <c r="O318">
        <v>1010.2</v>
      </c>
      <c r="P318">
        <v>30302.6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1.59</v>
      </c>
      <c r="W318">
        <v>0</v>
      </c>
      <c r="X318">
        <v>0</v>
      </c>
      <c r="Y318">
        <v>1.5900000333786011</v>
      </c>
      <c r="Z318">
        <v>0</v>
      </c>
      <c r="AA318">
        <v>0</v>
      </c>
      <c r="AB318">
        <v>0.10000000149011611</v>
      </c>
      <c r="AC318">
        <v>0.5</v>
      </c>
      <c r="AD318">
        <v>0.99000000953674316</v>
      </c>
      <c r="AE318">
        <v>0.10000000149011611</v>
      </c>
      <c r="AF318">
        <v>1.4900000095367429</v>
      </c>
      <c r="AG318">
        <v>6.2893082262014441E-2</v>
      </c>
      <c r="AH318">
        <v>0.9371069177379856</v>
      </c>
      <c r="AI318">
        <v>150</v>
      </c>
      <c r="AJ318">
        <v>0</v>
      </c>
      <c r="AK318">
        <v>0.10000000149011611</v>
      </c>
      <c r="AL318">
        <v>0.5</v>
      </c>
      <c r="AM318">
        <v>0.99000000953674316</v>
      </c>
      <c r="AN318">
        <v>1</v>
      </c>
      <c r="AO318">
        <v>1</v>
      </c>
      <c r="AP318">
        <v>2022</v>
      </c>
      <c r="AQ318">
        <v>4</v>
      </c>
      <c r="AR318">
        <v>0</v>
      </c>
      <c r="AS318">
        <v>0</v>
      </c>
      <c r="AT318">
        <v>0</v>
      </c>
      <c r="AU318">
        <v>0</v>
      </c>
      <c r="AV318">
        <f t="shared" si="68"/>
        <v>0</v>
      </c>
      <c r="AW318">
        <f t="shared" si="69"/>
        <v>0.62264151543191393</v>
      </c>
      <c r="AX318">
        <f t="shared" si="70"/>
        <v>847.41510250283488</v>
      </c>
      <c r="AY318">
        <f t="shared" si="71"/>
        <v>0</v>
      </c>
      <c r="AZ318">
        <f t="shared" si="72"/>
        <v>0.99000000953674316</v>
      </c>
      <c r="BA318" t="str">
        <f t="shared" si="73"/>
        <v/>
      </c>
      <c r="BB318">
        <f t="shared" si="74"/>
        <v>6.2893082262014441E-2</v>
      </c>
      <c r="BC318">
        <f>MATCH($B318,clean_historis!$B:$B,0)</f>
        <v>318</v>
      </c>
      <c r="BD318">
        <f>IFERROR(INDEX(clean_historis!$AF:$AF,$BC318)/INDEX(clean_historis!$V:$V,$BC318),0)</f>
        <v>0</v>
      </c>
      <c r="BE318">
        <f>IFERROR(INDEX(clean_historis!$AR:$AR,$BC318)/INDEX(clean_historis!$AH:$AH,$BC318),0)</f>
        <v>0</v>
      </c>
      <c r="BF318">
        <f t="shared" si="75"/>
        <v>0.62264151543191393</v>
      </c>
      <c r="BG318">
        <f>MAX(IF(INDEX(clean_historis!$CL:$CL,$BC318)=1,2025,0),IF(INDEX(clean_historis!$CK:$CK,$BC318)=1,2024,0),IF(INDEX(clean_historis!$CJ:$CJ,$BC318)=1,2023,0),IF(INDEX(clean_historis!$CI:$CI,$BC318)=1,2022,0),IF(INDEX(clean_historis!$CH:$CH,$BC318)=1,2021,0))</f>
        <v>0</v>
      </c>
      <c r="BH318">
        <f t="shared" si="76"/>
        <v>0.9371069177379856</v>
      </c>
      <c r="BI318">
        <f t="shared" si="77"/>
        <v>1275.4025150413984</v>
      </c>
      <c r="BJ318">
        <f t="shared" si="78"/>
        <v>0</v>
      </c>
      <c r="BK318">
        <f t="shared" si="79"/>
        <v>41.391200000000005</v>
      </c>
      <c r="BL318">
        <f t="shared" si="80"/>
        <v>0</v>
      </c>
      <c r="BM318">
        <f t="shared" si="81"/>
        <v>1</v>
      </c>
      <c r="BN318">
        <v>0</v>
      </c>
      <c r="BO318">
        <f t="shared" si="84"/>
        <v>0</v>
      </c>
      <c r="BP318">
        <f t="shared" si="82"/>
        <v>1</v>
      </c>
      <c r="BQ318">
        <f t="shared" si="83"/>
        <v>1</v>
      </c>
    </row>
    <row r="319" spans="1:69" x14ac:dyDescent="0.25">
      <c r="A319">
        <v>318</v>
      </c>
      <c r="B319" t="s">
        <v>1307</v>
      </c>
      <c r="C319" t="s">
        <v>1308</v>
      </c>
      <c r="D319" t="s">
        <v>1309</v>
      </c>
      <c r="E319" t="s">
        <v>1310</v>
      </c>
      <c r="F319" t="s">
        <v>310</v>
      </c>
      <c r="G319">
        <v>2</v>
      </c>
      <c r="H319">
        <v>1</v>
      </c>
      <c r="I319">
        <v>712</v>
      </c>
      <c r="J319">
        <v>1</v>
      </c>
      <c r="K319">
        <v>0</v>
      </c>
      <c r="L319">
        <v>28189.8</v>
      </c>
      <c r="M319">
        <v>6376.2</v>
      </c>
      <c r="N319">
        <v>30400.2</v>
      </c>
      <c r="O319">
        <v>422.1</v>
      </c>
      <c r="P319">
        <v>33413.1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0.66</v>
      </c>
      <c r="W319">
        <v>0.56000000238418579</v>
      </c>
      <c r="X319">
        <v>0.10000000149011611</v>
      </c>
      <c r="Y319">
        <v>0</v>
      </c>
      <c r="Z319">
        <v>0</v>
      </c>
      <c r="AA319">
        <v>0</v>
      </c>
      <c r="AB319">
        <v>0.20000000298023221</v>
      </c>
      <c r="AC319">
        <v>0.40000000596046448</v>
      </c>
      <c r="AD319">
        <v>5.9999998658895493E-2</v>
      </c>
      <c r="AE319">
        <v>0.20000000298023221</v>
      </c>
      <c r="AF319">
        <v>0.46000000461936003</v>
      </c>
      <c r="AG319">
        <v>0.30303030405655379</v>
      </c>
      <c r="AH319">
        <v>0.69696969594344627</v>
      </c>
      <c r="AI319">
        <v>150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2024</v>
      </c>
      <c r="AQ319">
        <v>2</v>
      </c>
      <c r="AR319">
        <v>0</v>
      </c>
      <c r="AS319">
        <v>0</v>
      </c>
      <c r="AT319">
        <v>0</v>
      </c>
      <c r="AU319">
        <v>0</v>
      </c>
      <c r="AV319">
        <f t="shared" si="68"/>
        <v>0</v>
      </c>
      <c r="AW319">
        <f t="shared" si="69"/>
        <v>9.090908887711438E-2</v>
      </c>
      <c r="AX319">
        <f t="shared" si="70"/>
        <v>64.727271280505434</v>
      </c>
      <c r="AY319">
        <f t="shared" si="71"/>
        <v>0</v>
      </c>
      <c r="AZ319">
        <f t="shared" si="72"/>
        <v>5.9999998658895493E-2</v>
      </c>
      <c r="BA319" t="str">
        <f t="shared" si="73"/>
        <v/>
      </c>
      <c r="BB319">
        <f t="shared" si="74"/>
        <v>0.30303030405655379</v>
      </c>
      <c r="BC319">
        <f>MATCH($B319,clean_historis!$B:$B,0)</f>
        <v>319</v>
      </c>
      <c r="BD319">
        <f>IFERROR(INDEX(clean_historis!$AF:$AF,$BC319)/INDEX(clean_historis!$V:$V,$BC319),0)</f>
        <v>0</v>
      </c>
      <c r="BE319">
        <f>IFERROR(INDEX(clean_historis!$AR:$AR,$BC319)/INDEX(clean_historis!$AH:$AH,$BC319),0)</f>
        <v>0</v>
      </c>
      <c r="BF319">
        <f t="shared" si="75"/>
        <v>9.090908887711438E-2</v>
      </c>
      <c r="BG319">
        <f>MAX(IF(INDEX(clean_historis!$CL:$CL,$BC319)=1,2025,0),IF(INDEX(clean_historis!$CK:$CK,$BC319)=1,2024,0),IF(INDEX(clean_historis!$CJ:$CJ,$BC319)=1,2023,0),IF(INDEX(clean_historis!$CI:$CI,$BC319)=1,2022,0),IF(INDEX(clean_historis!$CH:$CH,$BC319)=1,2021,0))</f>
        <v>0</v>
      </c>
      <c r="BH319">
        <f t="shared" si="76"/>
        <v>0.69696969594344615</v>
      </c>
      <c r="BI319">
        <f t="shared" si="77"/>
        <v>496.24242351173365</v>
      </c>
      <c r="BJ319">
        <f t="shared" si="78"/>
        <v>0</v>
      </c>
      <c r="BK319">
        <f t="shared" si="79"/>
        <v>98.379299999999986</v>
      </c>
      <c r="BL319">
        <f t="shared" si="80"/>
        <v>0</v>
      </c>
      <c r="BM319">
        <f t="shared" si="81"/>
        <v>0</v>
      </c>
      <c r="BN319">
        <v>0</v>
      </c>
      <c r="BO319">
        <f t="shared" si="84"/>
        <v>1</v>
      </c>
      <c r="BP319">
        <f t="shared" si="82"/>
        <v>1</v>
      </c>
      <c r="BQ319">
        <f t="shared" si="83"/>
        <v>1</v>
      </c>
    </row>
    <row r="320" spans="1:69" x14ac:dyDescent="0.25">
      <c r="A320">
        <v>319</v>
      </c>
      <c r="B320" t="s">
        <v>1311</v>
      </c>
      <c r="C320" t="s">
        <v>1312</v>
      </c>
      <c r="D320" t="s">
        <v>1313</v>
      </c>
      <c r="E320" t="s">
        <v>1314</v>
      </c>
      <c r="F320" t="s">
        <v>310</v>
      </c>
      <c r="G320">
        <v>2</v>
      </c>
      <c r="H320">
        <v>1</v>
      </c>
      <c r="I320">
        <v>740</v>
      </c>
      <c r="J320">
        <v>1</v>
      </c>
      <c r="K320">
        <v>0</v>
      </c>
      <c r="L320">
        <v>31300.400000000001</v>
      </c>
      <c r="M320">
        <v>10246.299999999999</v>
      </c>
      <c r="N320">
        <v>33510.699999999997</v>
      </c>
      <c r="O320">
        <v>2940.2</v>
      </c>
      <c r="P320">
        <v>34426.6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7.65</v>
      </c>
      <c r="W320">
        <v>0</v>
      </c>
      <c r="X320">
        <v>0</v>
      </c>
      <c r="Y320">
        <v>7.6500000953674316</v>
      </c>
      <c r="Z320">
        <v>0</v>
      </c>
      <c r="AA320">
        <v>2.2000000476837158</v>
      </c>
      <c r="AB320">
        <v>3.0499999523162842</v>
      </c>
      <c r="AC320">
        <v>2</v>
      </c>
      <c r="AD320">
        <v>0.40000000596046448</v>
      </c>
      <c r="AE320">
        <v>5.25</v>
      </c>
      <c r="AF320">
        <v>2.400000005960464</v>
      </c>
      <c r="AG320">
        <v>0.68627450926921374</v>
      </c>
      <c r="AH320">
        <v>0.31372549073078632</v>
      </c>
      <c r="AI320">
        <v>150</v>
      </c>
      <c r="AJ320">
        <v>2.2000000476837158</v>
      </c>
      <c r="AK320">
        <v>3.0499999523162842</v>
      </c>
      <c r="AL320">
        <v>2</v>
      </c>
      <c r="AM320">
        <v>0.40000000596046448</v>
      </c>
      <c r="AN320">
        <v>1</v>
      </c>
      <c r="AO320">
        <v>3</v>
      </c>
      <c r="AP320">
        <v>2025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f t="shared" si="68"/>
        <v>7.8431372549019607E-2</v>
      </c>
      <c r="AW320">
        <f t="shared" si="69"/>
        <v>-0.10457516261954714</v>
      </c>
      <c r="AX320">
        <f t="shared" si="70"/>
        <v>38.692811034084144</v>
      </c>
      <c r="AY320">
        <f t="shared" si="71"/>
        <v>0</v>
      </c>
      <c r="AZ320">
        <f t="shared" si="72"/>
        <v>0.40000000596046448</v>
      </c>
      <c r="BA320">
        <f t="shared" si="73"/>
        <v>0</v>
      </c>
      <c r="BB320">
        <f t="shared" si="74"/>
        <v>0.68627450926921374</v>
      </c>
      <c r="BC320">
        <f>MATCH($B320,clean_historis!$B:$B,0)</f>
        <v>320</v>
      </c>
      <c r="BD320">
        <f>IFERROR(INDEX(clean_historis!$AF:$AF,$BC320)/INDEX(clean_historis!$V:$V,$BC320),0)</f>
        <v>7.8431372549019607E-2</v>
      </c>
      <c r="BE320">
        <f>IFERROR(INDEX(clean_historis!$AR:$AR,$BC320)/INDEX(clean_historis!$AH:$AH,$BC320),0)</f>
        <v>0.15686274509803921</v>
      </c>
      <c r="BF320">
        <f t="shared" si="75"/>
        <v>5.2287582478492085E-2</v>
      </c>
      <c r="BG320">
        <f>MAX(IF(INDEX(clean_historis!$CL:$CL,$BC320)=1,2025,0),IF(INDEX(clean_historis!$CK:$CK,$BC320)=1,2024,0),IF(INDEX(clean_historis!$CJ:$CJ,$BC320)=1,2023,0),IF(INDEX(clean_historis!$CI:$CI,$BC320)=1,2022,0),IF(INDEX(clean_historis!$CH:$CH,$BC320)=1,2021,0))</f>
        <v>2025</v>
      </c>
      <c r="BH320">
        <f t="shared" si="76"/>
        <v>0.31372549073078626</v>
      </c>
      <c r="BI320">
        <f t="shared" si="77"/>
        <v>232.15686314078184</v>
      </c>
      <c r="BJ320">
        <f t="shared" si="78"/>
        <v>0</v>
      </c>
      <c r="BK320">
        <f t="shared" si="79"/>
        <v>109.48399999999999</v>
      </c>
      <c r="BL320">
        <f t="shared" si="80"/>
        <v>0</v>
      </c>
      <c r="BM320">
        <f t="shared" si="81"/>
        <v>0</v>
      </c>
      <c r="BN320">
        <v>0</v>
      </c>
      <c r="BO320">
        <f t="shared" si="84"/>
        <v>0</v>
      </c>
      <c r="BP320">
        <f t="shared" si="82"/>
        <v>1</v>
      </c>
      <c r="BQ320">
        <f t="shared" si="83"/>
        <v>0</v>
      </c>
    </row>
    <row r="321" spans="1:69" x14ac:dyDescent="0.25">
      <c r="A321">
        <v>320</v>
      </c>
      <c r="B321" t="s">
        <v>1315</v>
      </c>
      <c r="C321" t="s">
        <v>1316</v>
      </c>
      <c r="D321" t="s">
        <v>1317</v>
      </c>
      <c r="E321" t="s">
        <v>575</v>
      </c>
      <c r="F321" t="s">
        <v>310</v>
      </c>
      <c r="G321">
        <v>1</v>
      </c>
      <c r="H321">
        <v>1</v>
      </c>
      <c r="I321">
        <v>266</v>
      </c>
      <c r="J321">
        <v>0</v>
      </c>
      <c r="K321">
        <v>0</v>
      </c>
      <c r="L321">
        <v>32313.9</v>
      </c>
      <c r="M321">
        <v>11259.8</v>
      </c>
      <c r="N321">
        <v>34524.300000000003</v>
      </c>
      <c r="O321">
        <v>2327.6999999999998</v>
      </c>
      <c r="P321">
        <v>8108.2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0.4</v>
      </c>
      <c r="W321">
        <v>0.40000000596046448</v>
      </c>
      <c r="X321">
        <v>0</v>
      </c>
      <c r="Y321">
        <v>0</v>
      </c>
      <c r="Z321">
        <v>0</v>
      </c>
      <c r="AA321">
        <v>0</v>
      </c>
      <c r="AB321">
        <v>0.30000001192092901</v>
      </c>
      <c r="AC321">
        <v>0</v>
      </c>
      <c r="AD321">
        <v>0.10000000149011611</v>
      </c>
      <c r="AE321">
        <v>0.30000001192092901</v>
      </c>
      <c r="AF321">
        <v>0.10000000149011611</v>
      </c>
      <c r="AG321">
        <v>0.75000000465661276</v>
      </c>
      <c r="AH321">
        <v>0.24999999534338729</v>
      </c>
      <c r="AI321">
        <v>150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R321">
        <v>0</v>
      </c>
      <c r="AS321">
        <v>0</v>
      </c>
      <c r="AT321">
        <v>0</v>
      </c>
      <c r="AU321">
        <v>0</v>
      </c>
      <c r="AV321">
        <f t="shared" si="68"/>
        <v>0</v>
      </c>
      <c r="AW321">
        <f t="shared" si="69"/>
        <v>-0.24999999627470976</v>
      </c>
      <c r="AX321">
        <f t="shared" si="70"/>
        <v>66.500000990927205</v>
      </c>
      <c r="AY321">
        <f t="shared" si="71"/>
        <v>0</v>
      </c>
      <c r="AZ321">
        <f t="shared" si="72"/>
        <v>0.10000000149011611</v>
      </c>
      <c r="BA321" t="str">
        <f t="shared" si="73"/>
        <v/>
      </c>
      <c r="BB321">
        <f t="shared" si="74"/>
        <v>0.75000000465661276</v>
      </c>
      <c r="BC321">
        <f>MATCH($B321,clean_historis!$B:$B,0)</f>
        <v>321</v>
      </c>
      <c r="BD321">
        <f>IFERROR(INDEX(clean_historis!$AF:$AF,$BC321)/INDEX(clean_historis!$V:$V,$BC321),0)</f>
        <v>0.5</v>
      </c>
      <c r="BE321">
        <f>IFERROR(INDEX(clean_historis!$AR:$AR,$BC321)/INDEX(clean_historis!$AH:$AH,$BC321),0)</f>
        <v>0.5</v>
      </c>
      <c r="BF321">
        <f t="shared" si="75"/>
        <v>0.25000000372529024</v>
      </c>
      <c r="BG321">
        <f>MAX(IF(INDEX(clean_historis!$CL:$CL,$BC321)=1,2025,0),IF(INDEX(clean_historis!$CK:$CK,$BC321)=1,2024,0),IF(INDEX(clean_historis!$CJ:$CJ,$BC321)=1,2023,0),IF(INDEX(clean_historis!$CI:$CI,$BC321)=1,2022,0),IF(INDEX(clean_historis!$CH:$CH,$BC321)=1,2021,0))</f>
        <v>0</v>
      </c>
      <c r="BH321">
        <f t="shared" si="76"/>
        <v>0.24999999534338724</v>
      </c>
      <c r="BI321">
        <f t="shared" si="77"/>
        <v>66.499998761341004</v>
      </c>
      <c r="BJ321">
        <f t="shared" si="78"/>
        <v>0</v>
      </c>
      <c r="BK321">
        <f t="shared" si="79"/>
        <v>86.206199999999995</v>
      </c>
      <c r="BL321">
        <f t="shared" si="80"/>
        <v>0</v>
      </c>
      <c r="BM321">
        <f t="shared" si="81"/>
        <v>0</v>
      </c>
      <c r="BN321">
        <v>0</v>
      </c>
      <c r="BO321">
        <f t="shared" si="84"/>
        <v>1</v>
      </c>
      <c r="BP321">
        <f t="shared" si="82"/>
        <v>0</v>
      </c>
      <c r="BQ321">
        <f t="shared" si="83"/>
        <v>1</v>
      </c>
    </row>
    <row r="322" spans="1:69" x14ac:dyDescent="0.25">
      <c r="A322">
        <v>321</v>
      </c>
      <c r="B322" t="s">
        <v>1318</v>
      </c>
      <c r="C322" t="s">
        <v>1319</v>
      </c>
      <c r="D322" t="s">
        <v>1320</v>
      </c>
      <c r="E322" t="s">
        <v>1321</v>
      </c>
      <c r="F322" t="s">
        <v>149</v>
      </c>
      <c r="G322">
        <v>3</v>
      </c>
      <c r="H322">
        <v>1</v>
      </c>
      <c r="I322">
        <v>1729</v>
      </c>
      <c r="J322">
        <v>0</v>
      </c>
      <c r="K322">
        <v>0</v>
      </c>
      <c r="L322">
        <v>1881.3</v>
      </c>
      <c r="M322">
        <v>2948.4</v>
      </c>
      <c r="N322">
        <v>9971.1</v>
      </c>
      <c r="O322">
        <v>316.3</v>
      </c>
      <c r="P322">
        <v>3930.7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1.49</v>
      </c>
      <c r="W322">
        <v>0</v>
      </c>
      <c r="X322">
        <v>0</v>
      </c>
      <c r="Y322">
        <v>1.4900000095367429</v>
      </c>
      <c r="Z322">
        <v>0</v>
      </c>
      <c r="AA322">
        <v>1.4900000095367429</v>
      </c>
      <c r="AB322">
        <v>0</v>
      </c>
      <c r="AC322">
        <v>0</v>
      </c>
      <c r="AD322">
        <v>0</v>
      </c>
      <c r="AE322">
        <v>1.4900000095367429</v>
      </c>
      <c r="AF322">
        <v>0</v>
      </c>
      <c r="AG322">
        <v>1</v>
      </c>
      <c r="AH322">
        <v>0</v>
      </c>
      <c r="AI322">
        <v>150</v>
      </c>
      <c r="AJ322">
        <v>1.4900000095367429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2024</v>
      </c>
      <c r="AQ322">
        <v>2</v>
      </c>
      <c r="AR322">
        <v>0</v>
      </c>
      <c r="AS322">
        <v>0</v>
      </c>
      <c r="AT322">
        <v>0</v>
      </c>
      <c r="AU322">
        <v>0</v>
      </c>
      <c r="AV322">
        <f t="shared" ref="AV322:AV351" si="85">IFERROR($BE322-$BD322,0)</f>
        <v>-0.53691275167785235</v>
      </c>
      <c r="AW322">
        <f t="shared" ref="AW322:AW351" si="86">IFERROR($BF322-$BE322,0)</f>
        <v>0</v>
      </c>
      <c r="AX322">
        <f t="shared" ref="AX322:AX351" si="87">IFERROR($BF322*$I322,0)</f>
        <v>0</v>
      </c>
      <c r="AY322">
        <f t="shared" ref="AY322:AY351" si="88">SUM($Q322:$U322)</f>
        <v>0</v>
      </c>
      <c r="AZ322">
        <f t="shared" ref="AZ322:AZ351" si="89">IFERROR($V322*$BF322,0)</f>
        <v>0</v>
      </c>
      <c r="BA322">
        <f t="shared" ref="BA322:BA351" si="90">IFERROR(IF($BG322=0,"",2025-$BG322),"")</f>
        <v>1</v>
      </c>
      <c r="BB322">
        <f t="shared" ref="BB322:BB351" si="91">$AG322</f>
        <v>1</v>
      </c>
      <c r="BC322">
        <f>MATCH($B322,clean_historis!$B:$B,0)</f>
        <v>322</v>
      </c>
      <c r="BD322">
        <f>IFERROR(INDEX(clean_historis!$AF:$AF,$BC322)/INDEX(clean_historis!$V:$V,$BC322),0)</f>
        <v>0.53691275167785235</v>
      </c>
      <c r="BE322">
        <f>IFERROR(INDEX(clean_historis!$AR:$AR,$BC322)/INDEX(clean_historis!$AH:$AH,$BC322),0)</f>
        <v>0</v>
      </c>
      <c r="BF322">
        <f t="shared" ref="BF322:BF351" si="92">IFERROR($AD322/$V322,0)</f>
        <v>0</v>
      </c>
      <c r="BG322">
        <f>MAX(IF(INDEX(clean_historis!$CL:$CL,$BC322)=1,2025,0),IF(INDEX(clean_historis!$CK:$CK,$BC322)=1,2024,0),IF(INDEX(clean_historis!$CJ:$CJ,$BC322)=1,2023,0),IF(INDEX(clean_historis!$CI:$CI,$BC322)=1,2022,0),IF(INDEX(clean_historis!$CH:$CH,$BC322)=1,2021,0))</f>
        <v>2024</v>
      </c>
      <c r="BH322">
        <f t="shared" ref="BH322:BH351" si="93">IF($AG322&lt;&gt;"",1-$AG322,IF($BB322&lt;&gt;"",1-$BB322,IFERROR($AF322/$V322,0)))</f>
        <v>0</v>
      </c>
      <c r="BI322">
        <f t="shared" ref="BI322:BI351" si="94">IFERROR($BH322*$I322,0)</f>
        <v>0</v>
      </c>
      <c r="BJ322">
        <f t="shared" ref="BJ322:BJ351" si="95">IF(OR(AND($P322&lt;&gt;"",$P322&lt;=5000),AND($L322&lt;&gt;"",$L322&lt;=2000)),1,0)</f>
        <v>1</v>
      </c>
      <c r="BK322">
        <f t="shared" ref="BK322:BK351" si="96">IFERROR(($P322+$L322+$N322+$M322)/1000,0)</f>
        <v>18.7315</v>
      </c>
      <c r="BL322">
        <f t="shared" ref="BL322:BL351" si="97">IF(OR(ISNUMBER(SEARCH("stadion",$C322)),ISNUMBER(SEARCH("pasar",$C322)),ISNUMBER(SEARCH("pustu",$C322)),ISNUMBER(SEARCH("puskesmas",$C322)),ISNUMBER(SEARCH("sekolah",$C322)),ISNUMBER(SEARCH("kantor",$C322)),ISNUMBER(SEARCH("terminal",$C322))),1,0)</f>
        <v>0</v>
      </c>
      <c r="BM322">
        <f t="shared" ref="BM322:BM351" si="98">IF(IF($BF322&lt;&gt;"",$BF322,IFERROR($AD322/$V322,0))&gt;=0.3,1,0)</f>
        <v>0</v>
      </c>
      <c r="BN322">
        <v>0</v>
      </c>
      <c r="BO322">
        <f t="shared" si="84"/>
        <v>0</v>
      </c>
      <c r="BP322">
        <f t="shared" ref="BP322:BP351" si="99">IF(AO322&gt;=1,1,0)</f>
        <v>1</v>
      </c>
      <c r="BQ322">
        <f t="shared" ref="BQ322:BQ351" si="100">IF(OR(BO322=1,BL322=1,BH322&gt;0.5),1,0)</f>
        <v>0</v>
      </c>
    </row>
    <row r="323" spans="1:69" x14ac:dyDescent="0.25">
      <c r="A323">
        <v>322</v>
      </c>
      <c r="B323" t="s">
        <v>1322</v>
      </c>
      <c r="C323" t="s">
        <v>1323</v>
      </c>
      <c r="D323" t="s">
        <v>1324</v>
      </c>
      <c r="E323" t="s">
        <v>1325</v>
      </c>
      <c r="F323" t="s">
        <v>100</v>
      </c>
      <c r="G323">
        <v>2</v>
      </c>
      <c r="H323">
        <v>1</v>
      </c>
      <c r="I323">
        <v>717</v>
      </c>
      <c r="J323">
        <v>0</v>
      </c>
      <c r="K323">
        <v>0</v>
      </c>
      <c r="L323">
        <v>4249.1000000000004</v>
      </c>
      <c r="M323">
        <v>4208.3999999999996</v>
      </c>
      <c r="N323">
        <v>5604.4</v>
      </c>
      <c r="O323">
        <v>672.9</v>
      </c>
      <c r="P323">
        <v>13564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0.64</v>
      </c>
      <c r="W323">
        <v>0</v>
      </c>
      <c r="X323">
        <v>0</v>
      </c>
      <c r="Y323">
        <v>0.63999998569488525</v>
      </c>
      <c r="Z323">
        <v>0</v>
      </c>
      <c r="AA323">
        <v>0.63999998569488525</v>
      </c>
      <c r="AB323">
        <v>0</v>
      </c>
      <c r="AC323">
        <v>0</v>
      </c>
      <c r="AD323">
        <v>0</v>
      </c>
      <c r="AE323">
        <v>0.63999998569488525</v>
      </c>
      <c r="AF323">
        <v>0</v>
      </c>
      <c r="AG323">
        <v>1</v>
      </c>
      <c r="AH323">
        <v>0</v>
      </c>
      <c r="AI323">
        <v>150</v>
      </c>
      <c r="AJ323">
        <v>0.63999998569488525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2024</v>
      </c>
      <c r="AQ323">
        <v>2</v>
      </c>
      <c r="AR323">
        <v>0</v>
      </c>
      <c r="AS323">
        <v>0</v>
      </c>
      <c r="AT323">
        <v>0</v>
      </c>
      <c r="AU323">
        <v>0</v>
      </c>
      <c r="AV323">
        <f t="shared" si="85"/>
        <v>-1</v>
      </c>
      <c r="AW323">
        <f t="shared" si="86"/>
        <v>0</v>
      </c>
      <c r="AX323">
        <f t="shared" si="87"/>
        <v>0</v>
      </c>
      <c r="AY323">
        <f t="shared" si="88"/>
        <v>0</v>
      </c>
      <c r="AZ323">
        <f t="shared" si="89"/>
        <v>0</v>
      </c>
      <c r="BA323">
        <f t="shared" si="90"/>
        <v>1</v>
      </c>
      <c r="BB323">
        <f t="shared" si="91"/>
        <v>1</v>
      </c>
      <c r="BC323">
        <f>MATCH($B323,clean_historis!$B:$B,0)</f>
        <v>323</v>
      </c>
      <c r="BD323">
        <f>IFERROR(INDEX(clean_historis!$AF:$AF,$BC323)/INDEX(clean_historis!$V:$V,$BC323),0)</f>
        <v>1</v>
      </c>
      <c r="BE323">
        <f>IFERROR(INDEX(clean_historis!$AR:$AR,$BC323)/INDEX(clean_historis!$AH:$AH,$BC323),0)</f>
        <v>0</v>
      </c>
      <c r="BF323">
        <f t="shared" si="92"/>
        <v>0</v>
      </c>
      <c r="BG323">
        <f>MAX(IF(INDEX(clean_historis!$CL:$CL,$BC323)=1,2025,0),IF(INDEX(clean_historis!$CK:$CK,$BC323)=1,2024,0),IF(INDEX(clean_historis!$CJ:$CJ,$BC323)=1,2023,0),IF(INDEX(clean_historis!$CI:$CI,$BC323)=1,2022,0),IF(INDEX(clean_historis!$CH:$CH,$BC323)=1,2021,0))</f>
        <v>2024</v>
      </c>
      <c r="BH323">
        <f t="shared" si="93"/>
        <v>0</v>
      </c>
      <c r="BI323">
        <f t="shared" si="94"/>
        <v>0</v>
      </c>
      <c r="BJ323">
        <f t="shared" si="95"/>
        <v>0</v>
      </c>
      <c r="BK323">
        <f t="shared" si="96"/>
        <v>27.625900000000001</v>
      </c>
      <c r="BL323">
        <f t="shared" si="97"/>
        <v>0</v>
      </c>
      <c r="BM323">
        <f t="shared" si="98"/>
        <v>0</v>
      </c>
      <c r="BN323">
        <v>0</v>
      </c>
      <c r="BO323">
        <f t="shared" ref="BO323:BO351" si="101">IF($V323&lt;1,1,0)</f>
        <v>1</v>
      </c>
      <c r="BP323">
        <f t="shared" si="99"/>
        <v>1</v>
      </c>
      <c r="BQ323">
        <f t="shared" si="100"/>
        <v>1</v>
      </c>
    </row>
    <row r="324" spans="1:69" x14ac:dyDescent="0.25">
      <c r="A324">
        <v>323</v>
      </c>
      <c r="B324" t="s">
        <v>1326</v>
      </c>
      <c r="C324" t="s">
        <v>1327</v>
      </c>
      <c r="D324" t="s">
        <v>1328</v>
      </c>
      <c r="E324" t="s">
        <v>1329</v>
      </c>
      <c r="F324" t="s">
        <v>132</v>
      </c>
      <c r="G324">
        <v>3</v>
      </c>
      <c r="H324">
        <v>1</v>
      </c>
      <c r="I324">
        <v>536</v>
      </c>
      <c r="J324">
        <v>0</v>
      </c>
      <c r="K324">
        <v>0</v>
      </c>
      <c r="L324">
        <v>5667.6</v>
      </c>
      <c r="M324">
        <v>1807.7</v>
      </c>
      <c r="N324">
        <v>15354.2</v>
      </c>
      <c r="O324">
        <v>208.6</v>
      </c>
      <c r="P324">
        <v>5233.5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2.82</v>
      </c>
      <c r="W324">
        <v>0</v>
      </c>
      <c r="X324">
        <v>0</v>
      </c>
      <c r="Y324">
        <v>2.8199999332427979</v>
      </c>
      <c r="Z324">
        <v>0</v>
      </c>
      <c r="AA324">
        <v>0</v>
      </c>
      <c r="AB324">
        <v>0.89999997615814209</v>
      </c>
      <c r="AC324">
        <v>1.0199999809265139</v>
      </c>
      <c r="AD324">
        <v>0.89999997615814209</v>
      </c>
      <c r="AE324">
        <v>0.89999997615814209</v>
      </c>
      <c r="AF324">
        <v>1.919999957084656</v>
      </c>
      <c r="AG324">
        <v>0.31914893527079152</v>
      </c>
      <c r="AH324">
        <v>0.68085106472920853</v>
      </c>
      <c r="AI324">
        <v>150</v>
      </c>
      <c r="AJ324">
        <v>0</v>
      </c>
      <c r="AK324">
        <v>0.89999997615814209</v>
      </c>
      <c r="AL324">
        <v>1.0199999809265139</v>
      </c>
      <c r="AM324">
        <v>0.89999997615814209</v>
      </c>
      <c r="AN324">
        <v>1</v>
      </c>
      <c r="AO324">
        <v>2</v>
      </c>
      <c r="AP324">
        <v>2022</v>
      </c>
      <c r="AQ324">
        <v>4</v>
      </c>
      <c r="AR324">
        <v>1</v>
      </c>
      <c r="AS324">
        <v>1</v>
      </c>
      <c r="AT324">
        <v>0</v>
      </c>
      <c r="AU324">
        <v>1</v>
      </c>
      <c r="AV324">
        <f t="shared" si="85"/>
        <v>7.0921985815602842E-2</v>
      </c>
      <c r="AW324">
        <f t="shared" si="86"/>
        <v>0.2482269419000504</v>
      </c>
      <c r="AX324">
        <f t="shared" si="87"/>
        <v>171.06382525559013</v>
      </c>
      <c r="AY324">
        <f t="shared" si="88"/>
        <v>0</v>
      </c>
      <c r="AZ324">
        <f t="shared" si="89"/>
        <v>0.89999997615814209</v>
      </c>
      <c r="BA324" t="str">
        <f t="shared" si="90"/>
        <v/>
      </c>
      <c r="BB324">
        <f t="shared" si="91"/>
        <v>0.31914893527079152</v>
      </c>
      <c r="BC324">
        <f>MATCH($B324,clean_historis!$B:$B,0)</f>
        <v>324</v>
      </c>
      <c r="BD324">
        <f>IFERROR(INDEX(clean_historis!$AF:$AF,$BC324)/INDEX(clean_historis!$V:$V,$BC324),0)</f>
        <v>0</v>
      </c>
      <c r="BE324">
        <f>IFERROR(INDEX(clean_historis!$AR:$AR,$BC324)/INDEX(clean_historis!$AH:$AH,$BC324),0)</f>
        <v>7.0921985815602842E-2</v>
      </c>
      <c r="BF324">
        <f t="shared" si="92"/>
        <v>0.31914892771565323</v>
      </c>
      <c r="BG324">
        <f>MAX(IF(INDEX(clean_historis!$CL:$CL,$BC324)=1,2025,0),IF(INDEX(clean_historis!$CK:$CK,$BC324)=1,2024,0),IF(INDEX(clean_historis!$CJ:$CJ,$BC324)=1,2023,0),IF(INDEX(clean_historis!$CI:$CI,$BC324)=1,2022,0),IF(INDEX(clean_historis!$CH:$CH,$BC324)=1,2021,0))</f>
        <v>0</v>
      </c>
      <c r="BH324">
        <f t="shared" si="93"/>
        <v>0.68085106472920853</v>
      </c>
      <c r="BI324">
        <f t="shared" si="94"/>
        <v>364.93617069485578</v>
      </c>
      <c r="BJ324">
        <f t="shared" si="95"/>
        <v>0</v>
      </c>
      <c r="BK324">
        <f t="shared" si="96"/>
        <v>28.063000000000002</v>
      </c>
      <c r="BL324">
        <f t="shared" si="97"/>
        <v>0</v>
      </c>
      <c r="BM324">
        <f t="shared" si="98"/>
        <v>1</v>
      </c>
      <c r="BN324">
        <v>0</v>
      </c>
      <c r="BO324">
        <f t="shared" si="101"/>
        <v>0</v>
      </c>
      <c r="BP324">
        <f t="shared" si="99"/>
        <v>1</v>
      </c>
      <c r="BQ324">
        <f t="shared" si="100"/>
        <v>1</v>
      </c>
    </row>
    <row r="325" spans="1:69" x14ac:dyDescent="0.25">
      <c r="A325">
        <v>324</v>
      </c>
      <c r="B325" t="s">
        <v>1330</v>
      </c>
      <c r="C325" t="s">
        <v>1331</v>
      </c>
      <c r="D325" t="s">
        <v>1332</v>
      </c>
      <c r="E325" t="s">
        <v>1333</v>
      </c>
      <c r="F325" t="s">
        <v>363</v>
      </c>
      <c r="G325">
        <v>1</v>
      </c>
      <c r="H325">
        <v>1</v>
      </c>
      <c r="I325">
        <v>616</v>
      </c>
      <c r="J325">
        <v>1</v>
      </c>
      <c r="K325">
        <v>0</v>
      </c>
      <c r="L325">
        <v>2918.2</v>
      </c>
      <c r="M325">
        <v>1429</v>
      </c>
      <c r="N325">
        <v>4137.1000000000004</v>
      </c>
      <c r="O325">
        <v>1065.5999999999999</v>
      </c>
      <c r="P325">
        <v>30750.2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0.18</v>
      </c>
      <c r="W325">
        <v>0</v>
      </c>
      <c r="X325">
        <v>0</v>
      </c>
      <c r="Y325">
        <v>0.1800000071525574</v>
      </c>
      <c r="Z325">
        <v>0</v>
      </c>
      <c r="AA325">
        <v>0</v>
      </c>
      <c r="AB325">
        <v>0</v>
      </c>
      <c r="AC325">
        <v>0</v>
      </c>
      <c r="AD325">
        <v>0.1800000071525574</v>
      </c>
      <c r="AE325">
        <v>0</v>
      </c>
      <c r="AF325">
        <v>0.1800000071525574</v>
      </c>
      <c r="AG325">
        <v>0</v>
      </c>
      <c r="AH325">
        <v>1</v>
      </c>
      <c r="AI325">
        <v>150</v>
      </c>
      <c r="AJ325">
        <v>0</v>
      </c>
      <c r="AK325">
        <v>0</v>
      </c>
      <c r="AL325">
        <v>0</v>
      </c>
      <c r="AM325">
        <v>0.1800000071525574</v>
      </c>
      <c r="AN325">
        <v>1</v>
      </c>
      <c r="AO325">
        <v>1</v>
      </c>
      <c r="AP325">
        <v>2024</v>
      </c>
      <c r="AQ325">
        <v>2</v>
      </c>
      <c r="AR325">
        <v>0</v>
      </c>
      <c r="AS325">
        <v>0</v>
      </c>
      <c r="AT325">
        <v>0</v>
      </c>
      <c r="AU325">
        <v>1</v>
      </c>
      <c r="AV325">
        <f t="shared" si="85"/>
        <v>0</v>
      </c>
      <c r="AW325">
        <f t="shared" si="86"/>
        <v>3.973643014631989E-8</v>
      </c>
      <c r="AX325">
        <f t="shared" si="87"/>
        <v>616.00002447764098</v>
      </c>
      <c r="AY325">
        <f t="shared" si="88"/>
        <v>0</v>
      </c>
      <c r="AZ325">
        <f t="shared" si="89"/>
        <v>0.18000000715255743</v>
      </c>
      <c r="BA325">
        <f t="shared" si="90"/>
        <v>1</v>
      </c>
      <c r="BB325">
        <f t="shared" si="91"/>
        <v>0</v>
      </c>
      <c r="BC325">
        <f>MATCH($B325,clean_historis!$B:$B,0)</f>
        <v>325</v>
      </c>
      <c r="BD325">
        <f>IFERROR(INDEX(clean_historis!$AF:$AF,$BC325)/INDEX(clean_historis!$V:$V,$BC325),0)</f>
        <v>1</v>
      </c>
      <c r="BE325">
        <f>IFERROR(INDEX(clean_historis!$AR:$AR,$BC325)/INDEX(clean_historis!$AH:$AH,$BC325),0)</f>
        <v>1</v>
      </c>
      <c r="BF325">
        <f t="shared" si="92"/>
        <v>1.0000000397364301</v>
      </c>
      <c r="BG325">
        <f>MAX(IF(INDEX(clean_historis!$CL:$CL,$BC325)=1,2025,0),IF(INDEX(clean_historis!$CK:$CK,$BC325)=1,2024,0),IF(INDEX(clean_historis!$CJ:$CJ,$BC325)=1,2023,0),IF(INDEX(clean_historis!$CI:$CI,$BC325)=1,2022,0),IF(INDEX(clean_historis!$CH:$CH,$BC325)=1,2021,0))</f>
        <v>2024</v>
      </c>
      <c r="BH325">
        <f t="shared" si="93"/>
        <v>1</v>
      </c>
      <c r="BI325">
        <f t="shared" si="94"/>
        <v>616</v>
      </c>
      <c r="BJ325">
        <f t="shared" si="95"/>
        <v>0</v>
      </c>
      <c r="BK325">
        <f t="shared" si="96"/>
        <v>39.234499999999997</v>
      </c>
      <c r="BL325">
        <f t="shared" si="97"/>
        <v>0</v>
      </c>
      <c r="BM325">
        <f t="shared" si="98"/>
        <v>1</v>
      </c>
      <c r="BN325">
        <v>1</v>
      </c>
      <c r="BO325">
        <f t="shared" si="101"/>
        <v>1</v>
      </c>
      <c r="BP325">
        <f t="shared" si="99"/>
        <v>1</v>
      </c>
      <c r="BQ325">
        <f t="shared" si="100"/>
        <v>1</v>
      </c>
    </row>
    <row r="326" spans="1:69" x14ac:dyDescent="0.25">
      <c r="A326">
        <v>325</v>
      </c>
      <c r="B326" t="s">
        <v>1334</v>
      </c>
      <c r="C326" t="s">
        <v>1335</v>
      </c>
      <c r="D326" t="s">
        <v>1336</v>
      </c>
      <c r="E326" t="s">
        <v>1333</v>
      </c>
      <c r="F326" t="s">
        <v>363</v>
      </c>
      <c r="G326">
        <v>1</v>
      </c>
      <c r="H326">
        <v>1</v>
      </c>
      <c r="I326">
        <v>616</v>
      </c>
      <c r="J326">
        <v>1</v>
      </c>
      <c r="K326">
        <v>0</v>
      </c>
      <c r="L326">
        <v>2535.4</v>
      </c>
      <c r="M326">
        <v>1804.6</v>
      </c>
      <c r="N326">
        <v>3754.3</v>
      </c>
      <c r="O326">
        <v>682.8</v>
      </c>
      <c r="P326">
        <v>30367.4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0.21</v>
      </c>
      <c r="W326">
        <v>0</v>
      </c>
      <c r="X326">
        <v>0</v>
      </c>
      <c r="Y326">
        <v>0.10000000149011611</v>
      </c>
      <c r="Z326">
        <v>0</v>
      </c>
      <c r="AA326">
        <v>0</v>
      </c>
      <c r="AB326">
        <v>0</v>
      </c>
      <c r="AC326">
        <v>0</v>
      </c>
      <c r="AD326">
        <v>0.10000000149011611</v>
      </c>
      <c r="AE326">
        <v>0</v>
      </c>
      <c r="AF326">
        <v>0.10000000149011611</v>
      </c>
      <c r="AG326">
        <v>0</v>
      </c>
      <c r="AH326">
        <v>1</v>
      </c>
      <c r="AI326">
        <v>150</v>
      </c>
      <c r="AJ326">
        <v>0</v>
      </c>
      <c r="AK326">
        <v>0</v>
      </c>
      <c r="AL326">
        <v>0</v>
      </c>
      <c r="AM326">
        <v>0.10000000149011611</v>
      </c>
      <c r="AN326">
        <v>0</v>
      </c>
      <c r="AO326">
        <v>0</v>
      </c>
      <c r="AR326">
        <v>0</v>
      </c>
      <c r="AS326">
        <v>0</v>
      </c>
      <c r="AT326">
        <v>0</v>
      </c>
      <c r="AU326">
        <v>1</v>
      </c>
      <c r="AV326">
        <f t="shared" si="85"/>
        <v>0</v>
      </c>
      <c r="AW326">
        <f t="shared" si="86"/>
        <v>-0.52380951671373288</v>
      </c>
      <c r="AX326">
        <f t="shared" si="87"/>
        <v>293.33333770434058</v>
      </c>
      <c r="AY326">
        <f t="shared" si="88"/>
        <v>0</v>
      </c>
      <c r="AZ326">
        <f t="shared" si="89"/>
        <v>0.10000000149011611</v>
      </c>
      <c r="BA326" t="str">
        <f t="shared" si="90"/>
        <v/>
      </c>
      <c r="BB326">
        <f t="shared" si="91"/>
        <v>0</v>
      </c>
      <c r="BC326">
        <f>MATCH($B326,clean_historis!$B:$B,0)</f>
        <v>326</v>
      </c>
      <c r="BD326">
        <f>IFERROR(INDEX(clean_historis!$AF:$AF,$BC326)/INDEX(clean_historis!$V:$V,$BC326),0)</f>
        <v>1</v>
      </c>
      <c r="BE326">
        <f>IFERROR(INDEX(clean_historis!$AR:$AR,$BC326)/INDEX(clean_historis!$AH:$AH,$BC326),0)</f>
        <v>1</v>
      </c>
      <c r="BF326">
        <f t="shared" si="92"/>
        <v>0.47619048328626717</v>
      </c>
      <c r="BG326">
        <f>MAX(IF(INDEX(clean_historis!$CL:$CL,$BC326)=1,2025,0),IF(INDEX(clean_historis!$CK:$CK,$BC326)=1,2024,0),IF(INDEX(clean_historis!$CJ:$CJ,$BC326)=1,2023,0),IF(INDEX(clean_historis!$CI:$CI,$BC326)=1,2022,0),IF(INDEX(clean_historis!$CH:$CH,$BC326)=1,2021,0))</f>
        <v>0</v>
      </c>
      <c r="BH326">
        <f t="shared" si="93"/>
        <v>1</v>
      </c>
      <c r="BI326">
        <f t="shared" si="94"/>
        <v>616</v>
      </c>
      <c r="BJ326">
        <f t="shared" si="95"/>
        <v>0</v>
      </c>
      <c r="BK326">
        <f t="shared" si="96"/>
        <v>38.461700000000008</v>
      </c>
      <c r="BL326">
        <f t="shared" si="97"/>
        <v>0</v>
      </c>
      <c r="BM326">
        <f t="shared" si="98"/>
        <v>1</v>
      </c>
      <c r="BN326">
        <v>1</v>
      </c>
      <c r="BO326">
        <f t="shared" si="101"/>
        <v>1</v>
      </c>
      <c r="BP326">
        <f t="shared" si="99"/>
        <v>0</v>
      </c>
      <c r="BQ326">
        <f t="shared" si="100"/>
        <v>1</v>
      </c>
    </row>
    <row r="327" spans="1:69" x14ac:dyDescent="0.25">
      <c r="A327">
        <v>326</v>
      </c>
      <c r="B327" t="s">
        <v>1337</v>
      </c>
      <c r="C327" t="s">
        <v>1338</v>
      </c>
      <c r="D327" t="s">
        <v>1339</v>
      </c>
      <c r="E327" t="s">
        <v>705</v>
      </c>
      <c r="F327" t="s">
        <v>100</v>
      </c>
      <c r="G327">
        <v>1</v>
      </c>
      <c r="H327">
        <v>1</v>
      </c>
      <c r="I327">
        <v>3189</v>
      </c>
      <c r="J327">
        <v>0</v>
      </c>
      <c r="K327">
        <v>1</v>
      </c>
      <c r="L327">
        <v>1044</v>
      </c>
      <c r="M327">
        <v>1570.5</v>
      </c>
      <c r="N327">
        <v>2861.8</v>
      </c>
      <c r="O327">
        <v>120.5</v>
      </c>
      <c r="P327">
        <v>1157.7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1.43</v>
      </c>
      <c r="W327">
        <v>0</v>
      </c>
      <c r="X327">
        <v>0</v>
      </c>
      <c r="Y327">
        <v>1.429999947547913</v>
      </c>
      <c r="Z327">
        <v>0</v>
      </c>
      <c r="AA327">
        <v>0</v>
      </c>
      <c r="AB327">
        <v>1.2300000190734861</v>
      </c>
      <c r="AC327">
        <v>0.20000000298023221</v>
      </c>
      <c r="AD327">
        <v>0</v>
      </c>
      <c r="AE327">
        <v>1.2300000190734861</v>
      </c>
      <c r="AF327">
        <v>0.20000000298023221</v>
      </c>
      <c r="AG327">
        <v>0.86013986021273003</v>
      </c>
      <c r="AH327">
        <v>0.13986013978726999</v>
      </c>
      <c r="AI327">
        <v>120</v>
      </c>
      <c r="AJ327">
        <v>0</v>
      </c>
      <c r="AK327">
        <v>1.2300000190734861</v>
      </c>
      <c r="AL327">
        <v>0.20000000298023221</v>
      </c>
      <c r="AM327">
        <v>0</v>
      </c>
      <c r="AN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f t="shared" si="85"/>
        <v>0</v>
      </c>
      <c r="AW327">
        <f t="shared" si="86"/>
        <v>0</v>
      </c>
      <c r="AX327">
        <f t="shared" si="87"/>
        <v>0</v>
      </c>
      <c r="AY327">
        <f t="shared" si="88"/>
        <v>0</v>
      </c>
      <c r="AZ327">
        <f t="shared" si="89"/>
        <v>0</v>
      </c>
      <c r="BA327" t="str">
        <f t="shared" si="90"/>
        <v/>
      </c>
      <c r="BB327">
        <f t="shared" si="91"/>
        <v>0.86013986021273003</v>
      </c>
      <c r="BC327">
        <f>MATCH($B327,clean_historis!$B:$B,0)</f>
        <v>327</v>
      </c>
      <c r="BD327">
        <f>IFERROR(INDEX(clean_historis!$AF:$AF,$BC327)/INDEX(clean_historis!$V:$V,$BC327),0)</f>
        <v>0</v>
      </c>
      <c r="BE327">
        <f>IFERROR(INDEX(clean_historis!$AR:$AR,$BC327)/INDEX(clean_historis!$AH:$AH,$BC327),0)</f>
        <v>0</v>
      </c>
      <c r="BF327">
        <f t="shared" si="92"/>
        <v>0</v>
      </c>
      <c r="BG327">
        <f>MAX(IF(INDEX(clean_historis!$CL:$CL,$BC327)=1,2025,0),IF(INDEX(clean_historis!$CK:$CK,$BC327)=1,2024,0),IF(INDEX(clean_historis!$CJ:$CJ,$BC327)=1,2023,0),IF(INDEX(clean_historis!$CI:$CI,$BC327)=1,2022,0),IF(INDEX(clean_historis!$CH:$CH,$BC327)=1,2021,0))</f>
        <v>0</v>
      </c>
      <c r="BH327">
        <f t="shared" si="93"/>
        <v>0.13986013978726997</v>
      </c>
      <c r="BI327">
        <f t="shared" si="94"/>
        <v>446.01398578160394</v>
      </c>
      <c r="BJ327">
        <f t="shared" si="95"/>
        <v>1</v>
      </c>
      <c r="BK327">
        <f t="shared" si="96"/>
        <v>6.6340000000000003</v>
      </c>
      <c r="BL327">
        <f t="shared" si="97"/>
        <v>0</v>
      </c>
      <c r="BM327">
        <f t="shared" si="98"/>
        <v>0</v>
      </c>
      <c r="BN327">
        <v>1</v>
      </c>
      <c r="BO327">
        <f t="shared" si="101"/>
        <v>0</v>
      </c>
      <c r="BP327">
        <f t="shared" si="99"/>
        <v>0</v>
      </c>
      <c r="BQ327">
        <f t="shared" si="100"/>
        <v>0</v>
      </c>
    </row>
    <row r="328" spans="1:69" x14ac:dyDescent="0.25">
      <c r="A328">
        <v>327</v>
      </c>
      <c r="B328" t="s">
        <v>1340</v>
      </c>
      <c r="C328" t="s">
        <v>1341</v>
      </c>
      <c r="D328" t="s">
        <v>1342</v>
      </c>
      <c r="E328" t="s">
        <v>109</v>
      </c>
      <c r="F328" t="s">
        <v>100</v>
      </c>
      <c r="G328">
        <v>2</v>
      </c>
      <c r="H328">
        <v>1</v>
      </c>
      <c r="I328">
        <v>2315</v>
      </c>
      <c r="J328">
        <v>0</v>
      </c>
      <c r="L328">
        <v>1071.5999999999999</v>
      </c>
      <c r="M328">
        <v>1221.5999999999999</v>
      </c>
      <c r="N328">
        <v>1568.9</v>
      </c>
      <c r="O328">
        <v>323.8</v>
      </c>
      <c r="P328">
        <v>1389.9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1.64</v>
      </c>
      <c r="W328">
        <v>0</v>
      </c>
      <c r="X328">
        <v>0</v>
      </c>
      <c r="Y328">
        <v>1.639999985694885</v>
      </c>
      <c r="Z328">
        <v>0</v>
      </c>
      <c r="AA328">
        <v>0</v>
      </c>
      <c r="AB328">
        <v>1.639999985694885</v>
      </c>
      <c r="AC328">
        <v>0</v>
      </c>
      <c r="AD328">
        <v>0</v>
      </c>
      <c r="AE328">
        <v>1.639999985694885</v>
      </c>
      <c r="AF328">
        <v>0</v>
      </c>
      <c r="AG328">
        <v>1</v>
      </c>
      <c r="AH328">
        <v>0</v>
      </c>
      <c r="AI328">
        <v>150</v>
      </c>
      <c r="AJ328">
        <v>0</v>
      </c>
      <c r="AK328">
        <v>1.639999985694885</v>
      </c>
      <c r="AL328">
        <v>0</v>
      </c>
      <c r="AM328">
        <v>0</v>
      </c>
      <c r="AN328">
        <v>1</v>
      </c>
      <c r="AO328">
        <v>1</v>
      </c>
      <c r="AP328">
        <v>2025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f t="shared" si="85"/>
        <v>0</v>
      </c>
      <c r="AW328">
        <f t="shared" si="86"/>
        <v>0</v>
      </c>
      <c r="AX328">
        <f t="shared" si="87"/>
        <v>0</v>
      </c>
      <c r="AY328">
        <f t="shared" si="88"/>
        <v>0</v>
      </c>
      <c r="AZ328">
        <f t="shared" si="89"/>
        <v>0</v>
      </c>
      <c r="BA328" t="str">
        <f t="shared" si="90"/>
        <v/>
      </c>
      <c r="BB328">
        <f t="shared" si="91"/>
        <v>1</v>
      </c>
      <c r="BC328">
        <f>MATCH($B328,clean_historis!$B:$B,0)</f>
        <v>328</v>
      </c>
      <c r="BD328">
        <f>IFERROR(INDEX(clean_historis!$AF:$AF,$BC328)/INDEX(clean_historis!$V:$V,$BC328),0)</f>
        <v>0</v>
      </c>
      <c r="BE328">
        <f>IFERROR(INDEX(clean_historis!$AR:$AR,$BC328)/INDEX(clean_historis!$AH:$AH,$BC328),0)</f>
        <v>0</v>
      </c>
      <c r="BF328">
        <f t="shared" si="92"/>
        <v>0</v>
      </c>
      <c r="BG328">
        <f>MAX(IF(INDEX(clean_historis!$CL:$CL,$BC328)=1,2025,0),IF(INDEX(clean_historis!$CK:$CK,$BC328)=1,2024,0),IF(INDEX(clean_historis!$CJ:$CJ,$BC328)=1,2023,0),IF(INDEX(clean_historis!$CI:$CI,$BC328)=1,2022,0),IF(INDEX(clean_historis!$CH:$CH,$BC328)=1,2021,0))</f>
        <v>0</v>
      </c>
      <c r="BH328">
        <f t="shared" si="93"/>
        <v>0</v>
      </c>
      <c r="BI328">
        <f t="shared" si="94"/>
        <v>0</v>
      </c>
      <c r="BJ328">
        <f t="shared" si="95"/>
        <v>1</v>
      </c>
      <c r="BK328">
        <f t="shared" si="96"/>
        <v>5.2519999999999998</v>
      </c>
      <c r="BL328">
        <f t="shared" si="97"/>
        <v>0</v>
      </c>
      <c r="BM328">
        <f t="shared" si="98"/>
        <v>0</v>
      </c>
      <c r="BN328">
        <v>0</v>
      </c>
      <c r="BO328">
        <f t="shared" si="101"/>
        <v>0</v>
      </c>
      <c r="BP328">
        <f t="shared" si="99"/>
        <v>1</v>
      </c>
      <c r="BQ328">
        <f t="shared" si="100"/>
        <v>0</v>
      </c>
    </row>
    <row r="329" spans="1:69" x14ac:dyDescent="0.25">
      <c r="A329">
        <v>328</v>
      </c>
      <c r="B329" t="s">
        <v>1343</v>
      </c>
      <c r="C329" t="s">
        <v>1344</v>
      </c>
      <c r="D329" t="s">
        <v>1345</v>
      </c>
      <c r="E329" t="s">
        <v>1346</v>
      </c>
      <c r="F329" t="s">
        <v>213</v>
      </c>
      <c r="G329">
        <v>3</v>
      </c>
      <c r="H329">
        <v>2</v>
      </c>
      <c r="I329">
        <v>3515</v>
      </c>
      <c r="J329">
        <v>0</v>
      </c>
      <c r="K329">
        <v>1</v>
      </c>
      <c r="L329">
        <v>3128.2</v>
      </c>
      <c r="M329">
        <v>2288.5</v>
      </c>
      <c r="N329">
        <v>3236.9</v>
      </c>
      <c r="O329">
        <v>1380.8</v>
      </c>
      <c r="P329">
        <v>3546.1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2.1800000000000002</v>
      </c>
      <c r="W329">
        <v>0</v>
      </c>
      <c r="X329">
        <v>0</v>
      </c>
      <c r="Y329">
        <v>2.1800000667572021</v>
      </c>
      <c r="Z329">
        <v>0</v>
      </c>
      <c r="AA329">
        <v>0</v>
      </c>
      <c r="AB329">
        <v>1.200000047683716</v>
      </c>
      <c r="AC329">
        <v>0.98000001907348633</v>
      </c>
      <c r="AD329">
        <v>0</v>
      </c>
      <c r="AE329">
        <v>1.200000047683716</v>
      </c>
      <c r="AF329">
        <v>0.98000001907348633</v>
      </c>
      <c r="AG329">
        <v>0.55045872061313383</v>
      </c>
      <c r="AH329">
        <v>0.44954127938686622</v>
      </c>
      <c r="AI329">
        <v>150</v>
      </c>
      <c r="AJ329">
        <v>0</v>
      </c>
      <c r="AK329">
        <v>1.200000047683716</v>
      </c>
      <c r="AL329">
        <v>0.98000001907348633</v>
      </c>
      <c r="AM329">
        <v>0</v>
      </c>
      <c r="AN329">
        <v>1</v>
      </c>
      <c r="AO329">
        <v>2</v>
      </c>
      <c r="AP329">
        <v>2023</v>
      </c>
      <c r="AQ329">
        <v>3</v>
      </c>
      <c r="AR329">
        <v>0</v>
      </c>
      <c r="AS329">
        <v>0</v>
      </c>
      <c r="AT329">
        <v>0</v>
      </c>
      <c r="AU329">
        <v>0</v>
      </c>
      <c r="AV329">
        <f t="shared" si="85"/>
        <v>0</v>
      </c>
      <c r="AW329">
        <f t="shared" si="86"/>
        <v>0</v>
      </c>
      <c r="AX329">
        <f t="shared" si="87"/>
        <v>0</v>
      </c>
      <c r="AY329">
        <f t="shared" si="88"/>
        <v>0</v>
      </c>
      <c r="AZ329">
        <f t="shared" si="89"/>
        <v>0</v>
      </c>
      <c r="BA329" t="str">
        <f t="shared" si="90"/>
        <v/>
      </c>
      <c r="BB329">
        <f t="shared" si="91"/>
        <v>0.55045872061313383</v>
      </c>
      <c r="BC329">
        <f>MATCH($B329,clean_historis!$B:$B,0)</f>
        <v>329</v>
      </c>
      <c r="BD329">
        <f>IFERROR(INDEX(clean_historis!$AF:$AF,$BC329)/INDEX(clean_historis!$V:$V,$BC329),0)</f>
        <v>0</v>
      </c>
      <c r="BE329">
        <f>IFERROR(INDEX(clean_historis!$AR:$AR,$BC329)/INDEX(clean_historis!$AH:$AH,$BC329),0)</f>
        <v>0</v>
      </c>
      <c r="BF329">
        <f t="shared" si="92"/>
        <v>0</v>
      </c>
      <c r="BG329">
        <f>MAX(IF(INDEX(clean_historis!$CL:$CL,$BC329)=1,2025,0),IF(INDEX(clean_historis!$CK:$CK,$BC329)=1,2024,0),IF(INDEX(clean_historis!$CJ:$CJ,$BC329)=1,2023,0),IF(INDEX(clean_historis!$CI:$CI,$BC329)=1,2022,0),IF(INDEX(clean_historis!$CH:$CH,$BC329)=1,2021,0))</f>
        <v>0</v>
      </c>
      <c r="BH329">
        <f t="shared" si="93"/>
        <v>0.44954127938686617</v>
      </c>
      <c r="BI329">
        <f t="shared" si="94"/>
        <v>1580.1375970448346</v>
      </c>
      <c r="BJ329">
        <f t="shared" si="95"/>
        <v>1</v>
      </c>
      <c r="BK329">
        <f t="shared" si="96"/>
        <v>12.199699999999998</v>
      </c>
      <c r="BL329">
        <f t="shared" si="97"/>
        <v>0</v>
      </c>
      <c r="BM329">
        <f t="shared" si="98"/>
        <v>0</v>
      </c>
      <c r="BN329">
        <v>0</v>
      </c>
      <c r="BO329">
        <f t="shared" si="101"/>
        <v>0</v>
      </c>
      <c r="BP329">
        <f t="shared" si="99"/>
        <v>1</v>
      </c>
      <c r="BQ329">
        <f t="shared" si="100"/>
        <v>0</v>
      </c>
    </row>
    <row r="330" spans="1:69" x14ac:dyDescent="0.25">
      <c r="A330">
        <v>329</v>
      </c>
      <c r="B330" t="s">
        <v>1347</v>
      </c>
      <c r="C330" t="s">
        <v>1348</v>
      </c>
      <c r="D330" t="s">
        <v>1349</v>
      </c>
      <c r="E330" t="s">
        <v>1350</v>
      </c>
      <c r="F330" t="s">
        <v>539</v>
      </c>
      <c r="G330">
        <v>2</v>
      </c>
      <c r="H330">
        <v>2</v>
      </c>
      <c r="I330">
        <v>748</v>
      </c>
      <c r="J330">
        <v>0</v>
      </c>
      <c r="K330">
        <v>1</v>
      </c>
      <c r="L330">
        <v>4137.8999999999996</v>
      </c>
      <c r="M330">
        <v>3602.1</v>
      </c>
      <c r="N330">
        <v>2974.2</v>
      </c>
      <c r="O330">
        <v>650.79999999999995</v>
      </c>
      <c r="P330">
        <v>4456.2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2.2200000000000002</v>
      </c>
      <c r="W330">
        <v>0</v>
      </c>
      <c r="X330">
        <v>0</v>
      </c>
      <c r="Y330">
        <v>2.220000028610229</v>
      </c>
      <c r="Z330">
        <v>0</v>
      </c>
      <c r="AA330">
        <v>1.6000000238418579</v>
      </c>
      <c r="AB330">
        <v>0.62000000476837158</v>
      </c>
      <c r="AC330">
        <v>0</v>
      </c>
      <c r="AD330">
        <v>0</v>
      </c>
      <c r="AE330">
        <v>2.220000028610229</v>
      </c>
      <c r="AF330">
        <v>0</v>
      </c>
      <c r="AG330">
        <v>1</v>
      </c>
      <c r="AH330">
        <v>0</v>
      </c>
      <c r="AI330">
        <v>150</v>
      </c>
      <c r="AJ330">
        <v>1.6000000238418579</v>
      </c>
      <c r="AK330">
        <v>0.62000000476837158</v>
      </c>
      <c r="AL330">
        <v>0</v>
      </c>
      <c r="AM330">
        <v>0</v>
      </c>
      <c r="AN330">
        <v>1</v>
      </c>
      <c r="AO330">
        <v>1</v>
      </c>
      <c r="AP330">
        <v>2023</v>
      </c>
      <c r="AQ330">
        <v>3</v>
      </c>
      <c r="AR330">
        <v>0</v>
      </c>
      <c r="AS330">
        <v>0</v>
      </c>
      <c r="AT330">
        <v>0</v>
      </c>
      <c r="AU330">
        <v>0</v>
      </c>
      <c r="AV330">
        <f t="shared" si="85"/>
        <v>0</v>
      </c>
      <c r="AW330">
        <f t="shared" si="86"/>
        <v>0</v>
      </c>
      <c r="AX330">
        <f t="shared" si="87"/>
        <v>0</v>
      </c>
      <c r="AY330">
        <f t="shared" si="88"/>
        <v>0</v>
      </c>
      <c r="AZ330">
        <f t="shared" si="89"/>
        <v>0</v>
      </c>
      <c r="BA330" t="str">
        <f t="shared" si="90"/>
        <v/>
      </c>
      <c r="BB330">
        <f t="shared" si="91"/>
        <v>1</v>
      </c>
      <c r="BC330">
        <f>MATCH($B330,clean_historis!$B:$B,0)</f>
        <v>330</v>
      </c>
      <c r="BD330">
        <f>IFERROR(INDEX(clean_historis!$AF:$AF,$BC330)/INDEX(clean_historis!$V:$V,$BC330),0)</f>
        <v>0</v>
      </c>
      <c r="BE330">
        <f>IFERROR(INDEX(clean_historis!$AR:$AR,$BC330)/INDEX(clean_historis!$AH:$AH,$BC330),0)</f>
        <v>0</v>
      </c>
      <c r="BF330">
        <f t="shared" si="92"/>
        <v>0</v>
      </c>
      <c r="BG330">
        <f>MAX(IF(INDEX(clean_historis!$CL:$CL,$BC330)=1,2025,0),IF(INDEX(clean_historis!$CK:$CK,$BC330)=1,2024,0),IF(INDEX(clean_historis!$CJ:$CJ,$BC330)=1,2023,0),IF(INDEX(clean_historis!$CI:$CI,$BC330)=1,2022,0),IF(INDEX(clean_historis!$CH:$CH,$BC330)=1,2021,0))</f>
        <v>0</v>
      </c>
      <c r="BH330">
        <f t="shared" si="93"/>
        <v>0</v>
      </c>
      <c r="BI330">
        <f t="shared" si="94"/>
        <v>0</v>
      </c>
      <c r="BJ330">
        <f t="shared" si="95"/>
        <v>1</v>
      </c>
      <c r="BK330">
        <f t="shared" si="96"/>
        <v>15.170399999999999</v>
      </c>
      <c r="BL330">
        <f t="shared" si="97"/>
        <v>0</v>
      </c>
      <c r="BM330">
        <f t="shared" si="98"/>
        <v>0</v>
      </c>
      <c r="BN330">
        <v>0</v>
      </c>
      <c r="BO330">
        <f t="shared" si="101"/>
        <v>0</v>
      </c>
      <c r="BP330">
        <f t="shared" si="99"/>
        <v>1</v>
      </c>
      <c r="BQ330">
        <f t="shared" si="100"/>
        <v>0</v>
      </c>
    </row>
    <row r="331" spans="1:69" x14ac:dyDescent="0.25">
      <c r="A331">
        <v>330</v>
      </c>
      <c r="B331" t="s">
        <v>1351</v>
      </c>
      <c r="C331" t="s">
        <v>1352</v>
      </c>
      <c r="D331" t="s">
        <v>1353</v>
      </c>
      <c r="E331" t="s">
        <v>109</v>
      </c>
      <c r="F331" t="s">
        <v>100</v>
      </c>
      <c r="G331">
        <v>2</v>
      </c>
      <c r="H331">
        <v>1</v>
      </c>
      <c r="I331">
        <v>2315</v>
      </c>
      <c r="J331">
        <v>0</v>
      </c>
      <c r="K331">
        <v>1</v>
      </c>
      <c r="L331">
        <v>956.5</v>
      </c>
      <c r="M331">
        <v>1106.5999999999999</v>
      </c>
      <c r="N331">
        <v>1294.7</v>
      </c>
      <c r="O331">
        <v>208.7</v>
      </c>
      <c r="P331">
        <v>1274.8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0.14000000000000001</v>
      </c>
      <c r="W331">
        <v>0</v>
      </c>
      <c r="X331">
        <v>0</v>
      </c>
      <c r="Y331">
        <v>0.14000000059604639</v>
      </c>
      <c r="Z331">
        <v>0</v>
      </c>
      <c r="AA331">
        <v>0</v>
      </c>
      <c r="AB331">
        <v>3.9999999105930328E-2</v>
      </c>
      <c r="AC331">
        <v>0.10000000149011611</v>
      </c>
      <c r="AD331">
        <v>0</v>
      </c>
      <c r="AE331">
        <v>3.9999999105930328E-2</v>
      </c>
      <c r="AF331">
        <v>0.10000000149011611</v>
      </c>
      <c r="AG331">
        <v>0.28571427811165251</v>
      </c>
      <c r="AH331">
        <v>0.71428572188834749</v>
      </c>
      <c r="AI331">
        <v>150</v>
      </c>
      <c r="AJ331">
        <v>0</v>
      </c>
      <c r="AK331">
        <v>3.9999999105930328E-2</v>
      </c>
      <c r="AL331">
        <v>0.10000000149011611</v>
      </c>
      <c r="AM331">
        <v>0</v>
      </c>
      <c r="AN331">
        <v>0</v>
      </c>
      <c r="AO331">
        <v>0</v>
      </c>
      <c r="AR331">
        <v>0</v>
      </c>
      <c r="AS331">
        <v>0</v>
      </c>
      <c r="AT331">
        <v>0</v>
      </c>
      <c r="AU331">
        <v>0</v>
      </c>
      <c r="AV331">
        <f t="shared" si="85"/>
        <v>0</v>
      </c>
      <c r="AW331">
        <f t="shared" si="86"/>
        <v>0</v>
      </c>
      <c r="AX331">
        <f t="shared" si="87"/>
        <v>0</v>
      </c>
      <c r="AY331">
        <f t="shared" si="88"/>
        <v>0</v>
      </c>
      <c r="AZ331">
        <f t="shared" si="89"/>
        <v>0</v>
      </c>
      <c r="BA331" t="str">
        <f t="shared" si="90"/>
        <v/>
      </c>
      <c r="BB331">
        <f t="shared" si="91"/>
        <v>0.28571427811165251</v>
      </c>
      <c r="BC331">
        <f>MATCH($B331,clean_historis!$B:$B,0)</f>
        <v>331</v>
      </c>
      <c r="BD331">
        <f>IFERROR(INDEX(clean_historis!$AF:$AF,$BC331)/INDEX(clean_historis!$V:$V,$BC331),0)</f>
        <v>0</v>
      </c>
      <c r="BE331">
        <f>IFERROR(INDEX(clean_historis!$AR:$AR,$BC331)/INDEX(clean_historis!$AH:$AH,$BC331),0)</f>
        <v>0</v>
      </c>
      <c r="BF331">
        <f t="shared" si="92"/>
        <v>0</v>
      </c>
      <c r="BG331">
        <f>MAX(IF(INDEX(clean_historis!$CL:$CL,$BC331)=1,2025,0),IF(INDEX(clean_historis!$CK:$CK,$BC331)=1,2024,0),IF(INDEX(clean_historis!$CJ:$CJ,$BC331)=1,2023,0),IF(INDEX(clean_historis!$CI:$CI,$BC331)=1,2022,0),IF(INDEX(clean_historis!$CH:$CH,$BC331)=1,2021,0))</f>
        <v>0</v>
      </c>
      <c r="BH331">
        <f t="shared" si="93"/>
        <v>0.71428572188834749</v>
      </c>
      <c r="BI331">
        <f t="shared" si="94"/>
        <v>1653.5714461715245</v>
      </c>
      <c r="BJ331">
        <f t="shared" si="95"/>
        <v>1</v>
      </c>
      <c r="BK331">
        <f t="shared" si="96"/>
        <v>4.6326000000000001</v>
      </c>
      <c r="BL331">
        <f t="shared" si="97"/>
        <v>0</v>
      </c>
      <c r="BM331">
        <f t="shared" si="98"/>
        <v>0</v>
      </c>
      <c r="BN331">
        <v>0</v>
      </c>
      <c r="BO331">
        <f t="shared" si="101"/>
        <v>1</v>
      </c>
      <c r="BP331">
        <f t="shared" si="99"/>
        <v>0</v>
      </c>
      <c r="BQ331">
        <f t="shared" si="100"/>
        <v>1</v>
      </c>
    </row>
    <row r="332" spans="1:69" x14ac:dyDescent="0.25">
      <c r="A332">
        <v>331</v>
      </c>
      <c r="B332" t="s">
        <v>1354</v>
      </c>
      <c r="C332" t="s">
        <v>1355</v>
      </c>
      <c r="D332" t="s">
        <v>1356</v>
      </c>
      <c r="E332" t="s">
        <v>954</v>
      </c>
      <c r="F332" t="s">
        <v>100</v>
      </c>
      <c r="G332">
        <v>2</v>
      </c>
      <c r="H332">
        <v>1</v>
      </c>
      <c r="I332">
        <v>1206</v>
      </c>
      <c r="J332">
        <v>0</v>
      </c>
      <c r="K332">
        <v>1</v>
      </c>
      <c r="L332">
        <v>2446.5</v>
      </c>
      <c r="M332">
        <v>2596.6</v>
      </c>
      <c r="N332">
        <v>2421</v>
      </c>
      <c r="O332">
        <v>891</v>
      </c>
      <c r="P332">
        <v>2301.6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0.5</v>
      </c>
      <c r="W332">
        <v>0</v>
      </c>
      <c r="X332">
        <v>0</v>
      </c>
      <c r="Y332">
        <v>0.5</v>
      </c>
      <c r="Z332">
        <v>0</v>
      </c>
      <c r="AA332">
        <v>0</v>
      </c>
      <c r="AB332">
        <v>0.40000000596046448</v>
      </c>
      <c r="AC332">
        <v>0.10000000149011611</v>
      </c>
      <c r="AD332">
        <v>0</v>
      </c>
      <c r="AE332">
        <v>0.40000000596046448</v>
      </c>
      <c r="AF332">
        <v>0.10000000149011611</v>
      </c>
      <c r="AG332">
        <v>0.8</v>
      </c>
      <c r="AH332">
        <v>0.2</v>
      </c>
      <c r="AI332">
        <v>150</v>
      </c>
      <c r="AJ332">
        <v>0</v>
      </c>
      <c r="AK332">
        <v>0.40000000596046448</v>
      </c>
      <c r="AL332">
        <v>0.10000000149011611</v>
      </c>
      <c r="AM332">
        <v>0</v>
      </c>
      <c r="AN332">
        <v>0</v>
      </c>
      <c r="AO332">
        <v>0</v>
      </c>
      <c r="AR332">
        <v>0</v>
      </c>
      <c r="AS332">
        <v>0</v>
      </c>
      <c r="AT332">
        <v>0</v>
      </c>
      <c r="AU332">
        <v>0</v>
      </c>
      <c r="AV332">
        <f t="shared" si="85"/>
        <v>0</v>
      </c>
      <c r="AW332">
        <f t="shared" si="86"/>
        <v>0</v>
      </c>
      <c r="AX332">
        <f t="shared" si="87"/>
        <v>0</v>
      </c>
      <c r="AY332">
        <f t="shared" si="88"/>
        <v>0</v>
      </c>
      <c r="AZ332">
        <f t="shared" si="89"/>
        <v>0</v>
      </c>
      <c r="BA332" t="str">
        <f t="shared" si="90"/>
        <v/>
      </c>
      <c r="BB332">
        <f t="shared" si="91"/>
        <v>0.8</v>
      </c>
      <c r="BC332">
        <f>MATCH($B332,clean_historis!$B:$B,0)</f>
        <v>332</v>
      </c>
      <c r="BD332">
        <f>IFERROR(INDEX(clean_historis!$AF:$AF,$BC332)/INDEX(clean_historis!$V:$V,$BC332),0)</f>
        <v>0</v>
      </c>
      <c r="BE332">
        <f>IFERROR(INDEX(clean_historis!$AR:$AR,$BC332)/INDEX(clean_historis!$AH:$AH,$BC332),0)</f>
        <v>0</v>
      </c>
      <c r="BF332">
        <f t="shared" si="92"/>
        <v>0</v>
      </c>
      <c r="BG332">
        <f>MAX(IF(INDEX(clean_historis!$CL:$CL,$BC332)=1,2025,0),IF(INDEX(clean_historis!$CK:$CK,$BC332)=1,2024,0),IF(INDEX(clean_historis!$CJ:$CJ,$BC332)=1,2023,0),IF(INDEX(clean_historis!$CI:$CI,$BC332)=1,2022,0),IF(INDEX(clean_historis!$CH:$CH,$BC332)=1,2021,0))</f>
        <v>0</v>
      </c>
      <c r="BH332">
        <f t="shared" si="93"/>
        <v>0.19999999999999996</v>
      </c>
      <c r="BI332">
        <f t="shared" si="94"/>
        <v>241.19999999999996</v>
      </c>
      <c r="BJ332">
        <f t="shared" si="95"/>
        <v>1</v>
      </c>
      <c r="BK332">
        <f t="shared" si="96"/>
        <v>9.7657000000000007</v>
      </c>
      <c r="BL332">
        <f t="shared" si="97"/>
        <v>0</v>
      </c>
      <c r="BM332">
        <f t="shared" si="98"/>
        <v>0</v>
      </c>
      <c r="BN332">
        <v>0</v>
      </c>
      <c r="BO332">
        <f t="shared" si="101"/>
        <v>1</v>
      </c>
      <c r="BP332">
        <f t="shared" si="99"/>
        <v>0</v>
      </c>
      <c r="BQ332">
        <f t="shared" si="100"/>
        <v>1</v>
      </c>
    </row>
    <row r="333" spans="1:69" x14ac:dyDescent="0.25">
      <c r="A333">
        <v>332</v>
      </c>
      <c r="B333" t="s">
        <v>1357</v>
      </c>
      <c r="C333" t="s">
        <v>1358</v>
      </c>
      <c r="D333" t="s">
        <v>1359</v>
      </c>
      <c r="E333" t="s">
        <v>1360</v>
      </c>
      <c r="F333" t="s">
        <v>213</v>
      </c>
      <c r="G333">
        <v>2</v>
      </c>
      <c r="H333">
        <v>2</v>
      </c>
      <c r="I333">
        <v>1157</v>
      </c>
      <c r="J333">
        <v>0</v>
      </c>
      <c r="K333">
        <v>1</v>
      </c>
      <c r="L333">
        <v>2488.8000000000002</v>
      </c>
      <c r="M333">
        <v>269.39999999999998</v>
      </c>
      <c r="N333">
        <v>5545.2</v>
      </c>
      <c r="O333">
        <v>277</v>
      </c>
      <c r="P333">
        <v>3682.3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0.37</v>
      </c>
      <c r="W333">
        <v>0</v>
      </c>
      <c r="X333">
        <v>0</v>
      </c>
      <c r="Y333">
        <v>0.37000000476837158</v>
      </c>
      <c r="Z333">
        <v>0</v>
      </c>
      <c r="AA333">
        <v>0</v>
      </c>
      <c r="AB333">
        <v>0.30000001192092901</v>
      </c>
      <c r="AC333">
        <v>7.0000000298023224E-2</v>
      </c>
      <c r="AD333">
        <v>0</v>
      </c>
      <c r="AE333">
        <v>0.30000001192092901</v>
      </c>
      <c r="AF333">
        <v>7.0000000298023224E-2</v>
      </c>
      <c r="AG333">
        <v>0.8108108162531632</v>
      </c>
      <c r="AH333">
        <v>0.18918918374683691</v>
      </c>
      <c r="AI333">
        <v>150</v>
      </c>
      <c r="AJ333">
        <v>0</v>
      </c>
      <c r="AK333">
        <v>0.30000001192092901</v>
      </c>
      <c r="AL333">
        <v>7.0000000298023224E-2</v>
      </c>
      <c r="AM333">
        <v>0</v>
      </c>
      <c r="AN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f t="shared" si="85"/>
        <v>0</v>
      </c>
      <c r="AW333">
        <f t="shared" si="86"/>
        <v>0</v>
      </c>
      <c r="AX333">
        <f t="shared" si="87"/>
        <v>0</v>
      </c>
      <c r="AY333">
        <f t="shared" si="88"/>
        <v>0</v>
      </c>
      <c r="AZ333">
        <f t="shared" si="89"/>
        <v>0</v>
      </c>
      <c r="BA333" t="str">
        <f t="shared" si="90"/>
        <v/>
      </c>
      <c r="BB333">
        <f t="shared" si="91"/>
        <v>0.8108108162531632</v>
      </c>
      <c r="BC333">
        <f>MATCH($B333,clean_historis!$B:$B,0)</f>
        <v>333</v>
      </c>
      <c r="BD333">
        <f>IFERROR(INDEX(clean_historis!$AF:$AF,$BC333)/INDEX(clean_historis!$V:$V,$BC333),0)</f>
        <v>0</v>
      </c>
      <c r="BE333">
        <f>IFERROR(INDEX(clean_historis!$AR:$AR,$BC333)/INDEX(clean_historis!$AH:$AH,$BC333),0)</f>
        <v>0</v>
      </c>
      <c r="BF333">
        <f t="shared" si="92"/>
        <v>0</v>
      </c>
      <c r="BG333">
        <f>MAX(IF(INDEX(clean_historis!$CL:$CL,$BC333)=1,2025,0),IF(INDEX(clean_historis!$CK:$CK,$BC333)=1,2024,0),IF(INDEX(clean_historis!$CJ:$CJ,$BC333)=1,2023,0),IF(INDEX(clean_historis!$CI:$CI,$BC333)=1,2022,0),IF(INDEX(clean_historis!$CH:$CH,$BC333)=1,2021,0))</f>
        <v>0</v>
      </c>
      <c r="BH333">
        <f t="shared" si="93"/>
        <v>0.1891891837468368</v>
      </c>
      <c r="BI333">
        <f t="shared" si="94"/>
        <v>218.89188559509017</v>
      </c>
      <c r="BJ333">
        <f t="shared" si="95"/>
        <v>1</v>
      </c>
      <c r="BK333">
        <f t="shared" si="96"/>
        <v>11.9857</v>
      </c>
      <c r="BL333">
        <f t="shared" si="97"/>
        <v>0</v>
      </c>
      <c r="BM333">
        <f t="shared" si="98"/>
        <v>0</v>
      </c>
      <c r="BN333">
        <v>0</v>
      </c>
      <c r="BO333">
        <f t="shared" si="101"/>
        <v>1</v>
      </c>
      <c r="BP333">
        <f t="shared" si="99"/>
        <v>0</v>
      </c>
      <c r="BQ333">
        <f t="shared" si="100"/>
        <v>1</v>
      </c>
    </row>
    <row r="334" spans="1:69" x14ac:dyDescent="0.25">
      <c r="A334">
        <v>333</v>
      </c>
      <c r="B334" t="s">
        <v>1361</v>
      </c>
      <c r="C334" t="s">
        <v>1362</v>
      </c>
      <c r="D334" t="s">
        <v>1363</v>
      </c>
      <c r="E334" t="s">
        <v>1364</v>
      </c>
      <c r="F334" t="s">
        <v>100</v>
      </c>
      <c r="G334">
        <v>1</v>
      </c>
      <c r="H334">
        <v>1</v>
      </c>
      <c r="I334">
        <v>1850</v>
      </c>
      <c r="J334">
        <v>0</v>
      </c>
      <c r="K334">
        <v>0</v>
      </c>
      <c r="L334">
        <v>1416.8</v>
      </c>
      <c r="M334">
        <v>742.1</v>
      </c>
      <c r="N334">
        <v>2709.9</v>
      </c>
      <c r="O334">
        <v>611.79999999999995</v>
      </c>
      <c r="P334">
        <v>1735.1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0.84</v>
      </c>
      <c r="W334">
        <v>0</v>
      </c>
      <c r="X334">
        <v>0</v>
      </c>
      <c r="Y334">
        <v>0.8399999737739563</v>
      </c>
      <c r="Z334">
        <v>0</v>
      </c>
      <c r="AA334">
        <v>0</v>
      </c>
      <c r="AB334">
        <v>0.43999999761581421</v>
      </c>
      <c r="AC334">
        <v>0.30000001192092901</v>
      </c>
      <c r="AD334">
        <v>0.10000000149011611</v>
      </c>
      <c r="AE334">
        <v>0.43999999761581421</v>
      </c>
      <c r="AF334">
        <v>0.40000001341104507</v>
      </c>
      <c r="AG334">
        <v>0.52380951409504806</v>
      </c>
      <c r="AH334">
        <v>0.47619048590495189</v>
      </c>
      <c r="AI334">
        <v>150</v>
      </c>
      <c r="AJ334">
        <v>0</v>
      </c>
      <c r="AK334">
        <v>0.43999999761581421</v>
      </c>
      <c r="AL334">
        <v>0.30000001192092901</v>
      </c>
      <c r="AM334">
        <v>0.10000000149011611</v>
      </c>
      <c r="AN334">
        <v>1</v>
      </c>
      <c r="AO334">
        <v>1</v>
      </c>
      <c r="AP334">
        <v>2023</v>
      </c>
      <c r="AQ334">
        <v>3</v>
      </c>
      <c r="AR334">
        <v>0</v>
      </c>
      <c r="AS334">
        <v>0</v>
      </c>
      <c r="AT334">
        <v>0</v>
      </c>
      <c r="AU334">
        <v>0</v>
      </c>
      <c r="AV334">
        <f t="shared" si="85"/>
        <v>0</v>
      </c>
      <c r="AW334">
        <f t="shared" si="86"/>
        <v>0.11904762082156679</v>
      </c>
      <c r="AX334">
        <f t="shared" si="87"/>
        <v>220.23809851989856</v>
      </c>
      <c r="AY334">
        <f t="shared" si="88"/>
        <v>0</v>
      </c>
      <c r="AZ334">
        <f t="shared" si="89"/>
        <v>0.10000000149011611</v>
      </c>
      <c r="BA334" t="str">
        <f t="shared" si="90"/>
        <v/>
      </c>
      <c r="BB334">
        <f t="shared" si="91"/>
        <v>0.52380951409504806</v>
      </c>
      <c r="BC334">
        <f>MATCH($B334,clean_historis!$B:$B,0)</f>
        <v>334</v>
      </c>
      <c r="BD334">
        <f>IFERROR(INDEX(clean_historis!$AF:$AF,$BC334)/INDEX(clean_historis!$V:$V,$BC334),0)</f>
        <v>0</v>
      </c>
      <c r="BE334">
        <f>IFERROR(INDEX(clean_historis!$AR:$AR,$BC334)/INDEX(clean_historis!$AH:$AH,$BC334),0)</f>
        <v>0</v>
      </c>
      <c r="BF334">
        <f t="shared" si="92"/>
        <v>0.11904762082156679</v>
      </c>
      <c r="BG334">
        <f>MAX(IF(INDEX(clean_historis!$CL:$CL,$BC334)=1,2025,0),IF(INDEX(clean_historis!$CK:$CK,$BC334)=1,2024,0),IF(INDEX(clean_historis!$CJ:$CJ,$BC334)=1,2023,0),IF(INDEX(clean_historis!$CI:$CI,$BC334)=1,2022,0),IF(INDEX(clean_historis!$CH:$CH,$BC334)=1,2021,0))</f>
        <v>0</v>
      </c>
      <c r="BH334">
        <f t="shared" si="93"/>
        <v>0.47619048590495194</v>
      </c>
      <c r="BI334">
        <f t="shared" si="94"/>
        <v>880.95239892416112</v>
      </c>
      <c r="BJ334">
        <f t="shared" si="95"/>
        <v>1</v>
      </c>
      <c r="BK334">
        <f t="shared" si="96"/>
        <v>6.6038999999999994</v>
      </c>
      <c r="BL334">
        <f t="shared" si="97"/>
        <v>0</v>
      </c>
      <c r="BM334">
        <f t="shared" si="98"/>
        <v>0</v>
      </c>
      <c r="BN334">
        <v>0</v>
      </c>
      <c r="BO334">
        <f t="shared" si="101"/>
        <v>1</v>
      </c>
      <c r="BP334">
        <f t="shared" si="99"/>
        <v>1</v>
      </c>
      <c r="BQ334">
        <f t="shared" si="100"/>
        <v>1</v>
      </c>
    </row>
    <row r="335" spans="1:69" x14ac:dyDescent="0.25">
      <c r="A335">
        <v>334</v>
      </c>
      <c r="B335" t="s">
        <v>1365</v>
      </c>
      <c r="C335" t="s">
        <v>1366</v>
      </c>
      <c r="D335" t="s">
        <v>1367</v>
      </c>
      <c r="E335" t="s">
        <v>586</v>
      </c>
      <c r="F335" t="s">
        <v>176</v>
      </c>
      <c r="G335">
        <v>1</v>
      </c>
      <c r="H335">
        <v>1</v>
      </c>
      <c r="I335">
        <v>837</v>
      </c>
      <c r="J335">
        <v>0</v>
      </c>
      <c r="K335">
        <v>0</v>
      </c>
      <c r="L335">
        <v>1852.1</v>
      </c>
      <c r="M335">
        <v>2002.2</v>
      </c>
      <c r="N335">
        <v>1298.2</v>
      </c>
      <c r="O335">
        <v>1020.5</v>
      </c>
      <c r="P335">
        <v>2170.4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0.41</v>
      </c>
      <c r="W335">
        <v>0</v>
      </c>
      <c r="X335">
        <v>0</v>
      </c>
      <c r="Y335">
        <v>0.40999999642372131</v>
      </c>
      <c r="Z335">
        <v>0</v>
      </c>
      <c r="AA335">
        <v>0.10000000149011611</v>
      </c>
      <c r="AB335">
        <v>0.31000000238418579</v>
      </c>
      <c r="AC335">
        <v>0</v>
      </c>
      <c r="AD335">
        <v>0</v>
      </c>
      <c r="AE335">
        <v>0.41000000387430191</v>
      </c>
      <c r="AF335">
        <v>0</v>
      </c>
      <c r="AG335">
        <v>1</v>
      </c>
      <c r="AH335">
        <v>0</v>
      </c>
      <c r="AI335">
        <v>150</v>
      </c>
      <c r="AJ335">
        <v>0.10000000149011611</v>
      </c>
      <c r="AK335">
        <v>0.31000000238418579</v>
      </c>
      <c r="AL335">
        <v>0</v>
      </c>
      <c r="AM335">
        <v>0</v>
      </c>
      <c r="AN335">
        <v>1</v>
      </c>
      <c r="AO335">
        <v>1</v>
      </c>
      <c r="AP335">
        <v>2023</v>
      </c>
      <c r="AQ335">
        <v>3</v>
      </c>
      <c r="AR335">
        <v>0</v>
      </c>
      <c r="AS335">
        <v>0</v>
      </c>
      <c r="AT335">
        <v>0</v>
      </c>
      <c r="AU335">
        <v>0</v>
      </c>
      <c r="AV335">
        <f t="shared" si="85"/>
        <v>0</v>
      </c>
      <c r="AW335">
        <f t="shared" si="86"/>
        <v>0</v>
      </c>
      <c r="AX335">
        <f t="shared" si="87"/>
        <v>0</v>
      </c>
      <c r="AY335">
        <f t="shared" si="88"/>
        <v>0</v>
      </c>
      <c r="AZ335">
        <f t="shared" si="89"/>
        <v>0</v>
      </c>
      <c r="BA335">
        <f t="shared" si="90"/>
        <v>2</v>
      </c>
      <c r="BB335">
        <f t="shared" si="91"/>
        <v>1</v>
      </c>
      <c r="BC335">
        <f>MATCH($B335,clean_historis!$B:$B,0)</f>
        <v>335</v>
      </c>
      <c r="BD335">
        <f>IFERROR(INDEX(clean_historis!$AF:$AF,$BC335)/INDEX(clean_historis!$V:$V,$BC335),0)</f>
        <v>0</v>
      </c>
      <c r="BE335">
        <f>IFERROR(INDEX(clean_historis!$AR:$AR,$BC335)/INDEX(clean_historis!$AH:$AH,$BC335),0)</f>
        <v>0</v>
      </c>
      <c r="BF335">
        <f t="shared" si="92"/>
        <v>0</v>
      </c>
      <c r="BG335">
        <f>MAX(IF(INDEX(clean_historis!$CL:$CL,$BC335)=1,2025,0),IF(INDEX(clean_historis!$CK:$CK,$BC335)=1,2024,0),IF(INDEX(clean_historis!$CJ:$CJ,$BC335)=1,2023,0),IF(INDEX(clean_historis!$CI:$CI,$BC335)=1,2022,0),IF(INDEX(clean_historis!$CH:$CH,$BC335)=1,2021,0))</f>
        <v>2023</v>
      </c>
      <c r="BH335">
        <f t="shared" si="93"/>
        <v>0</v>
      </c>
      <c r="BI335">
        <f t="shared" si="94"/>
        <v>0</v>
      </c>
      <c r="BJ335">
        <f t="shared" si="95"/>
        <v>1</v>
      </c>
      <c r="BK335">
        <f t="shared" si="96"/>
        <v>7.3228999999999997</v>
      </c>
      <c r="BL335">
        <f t="shared" si="97"/>
        <v>0</v>
      </c>
      <c r="BM335">
        <f t="shared" si="98"/>
        <v>0</v>
      </c>
      <c r="BN335">
        <v>0</v>
      </c>
      <c r="BO335">
        <f t="shared" si="101"/>
        <v>1</v>
      </c>
      <c r="BP335">
        <f t="shared" si="99"/>
        <v>1</v>
      </c>
      <c r="BQ335">
        <f t="shared" si="100"/>
        <v>1</v>
      </c>
    </row>
    <row r="336" spans="1:69" x14ac:dyDescent="0.25">
      <c r="A336">
        <v>335</v>
      </c>
      <c r="B336" t="s">
        <v>1368</v>
      </c>
      <c r="C336" t="s">
        <v>1369</v>
      </c>
      <c r="D336" t="s">
        <v>1370</v>
      </c>
      <c r="E336" t="s">
        <v>586</v>
      </c>
      <c r="F336" t="s">
        <v>176</v>
      </c>
      <c r="G336">
        <v>1</v>
      </c>
      <c r="H336">
        <v>1</v>
      </c>
      <c r="I336">
        <v>837</v>
      </c>
      <c r="J336">
        <v>0</v>
      </c>
      <c r="K336">
        <v>0</v>
      </c>
      <c r="L336">
        <v>2644.2</v>
      </c>
      <c r="M336">
        <v>2794.3</v>
      </c>
      <c r="N336">
        <v>1500.9</v>
      </c>
      <c r="O336">
        <v>632.20000000000005</v>
      </c>
      <c r="P336">
        <v>2962.6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0.52</v>
      </c>
      <c r="W336">
        <v>0</v>
      </c>
      <c r="X336">
        <v>0</v>
      </c>
      <c r="Y336">
        <v>0.51999998092651367</v>
      </c>
      <c r="Z336">
        <v>0</v>
      </c>
      <c r="AA336">
        <v>0</v>
      </c>
      <c r="AB336">
        <v>0.41999998688697809</v>
      </c>
      <c r="AC336">
        <v>0.10000000149011611</v>
      </c>
      <c r="AD336">
        <v>0</v>
      </c>
      <c r="AE336">
        <v>0.41999998688697809</v>
      </c>
      <c r="AF336">
        <v>0.10000000149011611</v>
      </c>
      <c r="AG336">
        <v>0.80769230052828778</v>
      </c>
      <c r="AH336">
        <v>0.19230769947171231</v>
      </c>
      <c r="AI336">
        <v>150</v>
      </c>
      <c r="AJ336">
        <v>0</v>
      </c>
      <c r="AK336">
        <v>0.41999998688697809</v>
      </c>
      <c r="AL336">
        <v>0.10000000149011611</v>
      </c>
      <c r="AM336">
        <v>0</v>
      </c>
      <c r="AN336">
        <v>0</v>
      </c>
      <c r="AO336">
        <v>0</v>
      </c>
      <c r="AR336">
        <v>0</v>
      </c>
      <c r="AS336">
        <v>0</v>
      </c>
      <c r="AT336">
        <v>0</v>
      </c>
      <c r="AU336">
        <v>0</v>
      </c>
      <c r="AV336">
        <f t="shared" si="85"/>
        <v>0</v>
      </c>
      <c r="AW336">
        <f t="shared" si="86"/>
        <v>0</v>
      </c>
      <c r="AX336">
        <f t="shared" si="87"/>
        <v>0</v>
      </c>
      <c r="AY336">
        <f t="shared" si="88"/>
        <v>0</v>
      </c>
      <c r="AZ336">
        <f t="shared" si="89"/>
        <v>0</v>
      </c>
      <c r="BA336" t="str">
        <f t="shared" si="90"/>
        <v/>
      </c>
      <c r="BB336">
        <f t="shared" si="91"/>
        <v>0.80769230052828778</v>
      </c>
      <c r="BC336">
        <f>MATCH($B336,clean_historis!$B:$B,0)</f>
        <v>336</v>
      </c>
      <c r="BD336">
        <f>IFERROR(INDEX(clean_historis!$AF:$AF,$BC336)/INDEX(clean_historis!$V:$V,$BC336),0)</f>
        <v>0</v>
      </c>
      <c r="BE336">
        <f>IFERROR(INDEX(clean_historis!$AR:$AR,$BC336)/INDEX(clean_historis!$AH:$AH,$BC336),0)</f>
        <v>0</v>
      </c>
      <c r="BF336">
        <f t="shared" si="92"/>
        <v>0</v>
      </c>
      <c r="BG336">
        <f>MAX(IF(INDEX(clean_historis!$CL:$CL,$BC336)=1,2025,0),IF(INDEX(clean_historis!$CK:$CK,$BC336)=1,2024,0),IF(INDEX(clean_historis!$CJ:$CJ,$BC336)=1,2023,0),IF(INDEX(clean_historis!$CI:$CI,$BC336)=1,2022,0),IF(INDEX(clean_historis!$CH:$CH,$BC336)=1,2021,0))</f>
        <v>0</v>
      </c>
      <c r="BH336">
        <f t="shared" si="93"/>
        <v>0.19230769947171222</v>
      </c>
      <c r="BI336">
        <f t="shared" si="94"/>
        <v>160.96154445782312</v>
      </c>
      <c r="BJ336">
        <f t="shared" si="95"/>
        <v>1</v>
      </c>
      <c r="BK336">
        <f t="shared" si="96"/>
        <v>9.9019999999999992</v>
      </c>
      <c r="BL336">
        <f t="shared" si="97"/>
        <v>0</v>
      </c>
      <c r="BM336">
        <f t="shared" si="98"/>
        <v>0</v>
      </c>
      <c r="BN336">
        <v>0</v>
      </c>
      <c r="BO336">
        <f t="shared" si="101"/>
        <v>1</v>
      </c>
      <c r="BP336">
        <f t="shared" si="99"/>
        <v>0</v>
      </c>
      <c r="BQ336">
        <f t="shared" si="100"/>
        <v>1</v>
      </c>
    </row>
    <row r="337" spans="1:69" x14ac:dyDescent="0.25">
      <c r="A337">
        <v>336</v>
      </c>
      <c r="B337" t="s">
        <v>1371</v>
      </c>
      <c r="C337" t="s">
        <v>1372</v>
      </c>
      <c r="D337" t="s">
        <v>1373</v>
      </c>
      <c r="E337" t="s">
        <v>1374</v>
      </c>
      <c r="F337" t="s">
        <v>489</v>
      </c>
      <c r="G337">
        <v>3</v>
      </c>
      <c r="H337">
        <v>2</v>
      </c>
      <c r="I337">
        <v>2443</v>
      </c>
      <c r="J337">
        <v>0</v>
      </c>
      <c r="K337">
        <v>0</v>
      </c>
      <c r="L337">
        <v>1790.1</v>
      </c>
      <c r="M337">
        <v>1940.2</v>
      </c>
      <c r="N337">
        <v>907.7</v>
      </c>
      <c r="O337">
        <v>882.7</v>
      </c>
      <c r="P337">
        <v>1835.2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0.86</v>
      </c>
      <c r="W337">
        <v>0</v>
      </c>
      <c r="X337">
        <v>0</v>
      </c>
      <c r="Y337">
        <v>0.86000001430511475</v>
      </c>
      <c r="Z337">
        <v>0</v>
      </c>
      <c r="AA337">
        <v>0.86000001430511475</v>
      </c>
      <c r="AB337">
        <v>0</v>
      </c>
      <c r="AC337">
        <v>0</v>
      </c>
      <c r="AD337">
        <v>0</v>
      </c>
      <c r="AE337">
        <v>0.86000001430511475</v>
      </c>
      <c r="AF337">
        <v>0</v>
      </c>
      <c r="AG337">
        <v>1</v>
      </c>
      <c r="AH337">
        <v>0</v>
      </c>
      <c r="AI337">
        <v>150</v>
      </c>
      <c r="AJ337">
        <v>0.86000001430511475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2024</v>
      </c>
      <c r="AQ337">
        <v>2</v>
      </c>
      <c r="AR337">
        <v>0</v>
      </c>
      <c r="AS337">
        <v>0</v>
      </c>
      <c r="AT337">
        <v>0</v>
      </c>
      <c r="AU337">
        <v>0</v>
      </c>
      <c r="AV337">
        <f t="shared" si="85"/>
        <v>-0.65116279069767447</v>
      </c>
      <c r="AW337">
        <f t="shared" si="86"/>
        <v>0</v>
      </c>
      <c r="AX337">
        <f t="shared" si="87"/>
        <v>0</v>
      </c>
      <c r="AY337">
        <f t="shared" si="88"/>
        <v>0</v>
      </c>
      <c r="AZ337">
        <f t="shared" si="89"/>
        <v>0</v>
      </c>
      <c r="BA337">
        <f t="shared" si="90"/>
        <v>1</v>
      </c>
      <c r="BB337">
        <f t="shared" si="91"/>
        <v>1</v>
      </c>
      <c r="BC337">
        <f>MATCH($B337,clean_historis!$B:$B,0)</f>
        <v>337</v>
      </c>
      <c r="BD337">
        <f>IFERROR(INDEX(clean_historis!$AF:$AF,$BC337)/INDEX(clean_historis!$V:$V,$BC337),0)</f>
        <v>0.65116279069767447</v>
      </c>
      <c r="BE337">
        <f>IFERROR(INDEX(clean_historis!$AR:$AR,$BC337)/INDEX(clean_historis!$AH:$AH,$BC337),0)</f>
        <v>0</v>
      </c>
      <c r="BF337">
        <f t="shared" si="92"/>
        <v>0</v>
      </c>
      <c r="BG337">
        <f>MAX(IF(INDEX(clean_historis!$CL:$CL,$BC337)=1,2025,0),IF(INDEX(clean_historis!$CK:$CK,$BC337)=1,2024,0),IF(INDEX(clean_historis!$CJ:$CJ,$BC337)=1,2023,0),IF(INDEX(clean_historis!$CI:$CI,$BC337)=1,2022,0),IF(INDEX(clean_historis!$CH:$CH,$BC337)=1,2021,0))</f>
        <v>2024</v>
      </c>
      <c r="BH337">
        <f t="shared" si="93"/>
        <v>0</v>
      </c>
      <c r="BI337">
        <f t="shared" si="94"/>
        <v>0</v>
      </c>
      <c r="BJ337">
        <f t="shared" si="95"/>
        <v>1</v>
      </c>
      <c r="BK337">
        <f t="shared" si="96"/>
        <v>6.4731999999999994</v>
      </c>
      <c r="BL337">
        <f t="shared" si="97"/>
        <v>0</v>
      </c>
      <c r="BM337">
        <f t="shared" si="98"/>
        <v>0</v>
      </c>
      <c r="BN337">
        <v>0</v>
      </c>
      <c r="BO337">
        <f t="shared" si="101"/>
        <v>1</v>
      </c>
      <c r="BP337">
        <f t="shared" si="99"/>
        <v>1</v>
      </c>
      <c r="BQ337">
        <f t="shared" si="100"/>
        <v>1</v>
      </c>
    </row>
    <row r="338" spans="1:69" x14ac:dyDescent="0.25">
      <c r="A338">
        <v>337</v>
      </c>
      <c r="B338" t="s">
        <v>1375</v>
      </c>
      <c r="C338" t="s">
        <v>1376</v>
      </c>
      <c r="D338" t="s">
        <v>1377</v>
      </c>
      <c r="E338" t="s">
        <v>567</v>
      </c>
      <c r="F338" t="s">
        <v>489</v>
      </c>
      <c r="G338">
        <v>2</v>
      </c>
      <c r="H338">
        <v>2</v>
      </c>
      <c r="I338">
        <v>1775</v>
      </c>
      <c r="J338">
        <v>0</v>
      </c>
      <c r="K338">
        <v>0</v>
      </c>
      <c r="L338">
        <v>1222.3</v>
      </c>
      <c r="M338">
        <v>1372.3</v>
      </c>
      <c r="N338">
        <v>1028.9000000000001</v>
      </c>
      <c r="O338">
        <v>390.6</v>
      </c>
      <c r="P338">
        <v>1540.6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0.91</v>
      </c>
      <c r="W338">
        <v>0</v>
      </c>
      <c r="X338">
        <v>0</v>
      </c>
      <c r="Y338">
        <v>0.9100000262260437</v>
      </c>
      <c r="Z338">
        <v>0</v>
      </c>
      <c r="AA338">
        <v>0.20000000298023221</v>
      </c>
      <c r="AB338">
        <v>0.60000002384185791</v>
      </c>
      <c r="AC338">
        <v>0.10999999940395359</v>
      </c>
      <c r="AD338">
        <v>0</v>
      </c>
      <c r="AE338">
        <v>0.80000002682209015</v>
      </c>
      <c r="AF338">
        <v>0.10999999940395359</v>
      </c>
      <c r="AG338">
        <v>0.87912088325959059</v>
      </c>
      <c r="AH338">
        <v>0.1208791167404094</v>
      </c>
      <c r="AI338">
        <v>150</v>
      </c>
      <c r="AJ338">
        <v>0.20000000298023221</v>
      </c>
      <c r="AK338">
        <v>0.60000002384185791</v>
      </c>
      <c r="AL338">
        <v>0.10999999940395359</v>
      </c>
      <c r="AM338">
        <v>0</v>
      </c>
      <c r="AN338">
        <v>1</v>
      </c>
      <c r="AO338">
        <v>1</v>
      </c>
      <c r="AP338">
        <v>2023</v>
      </c>
      <c r="AQ338">
        <v>3</v>
      </c>
      <c r="AR338">
        <v>0</v>
      </c>
      <c r="AS338">
        <v>0</v>
      </c>
      <c r="AT338">
        <v>0</v>
      </c>
      <c r="AU338">
        <v>0</v>
      </c>
      <c r="AV338">
        <f t="shared" si="85"/>
        <v>0</v>
      </c>
      <c r="AW338">
        <f t="shared" si="86"/>
        <v>0</v>
      </c>
      <c r="AX338">
        <f t="shared" si="87"/>
        <v>0</v>
      </c>
      <c r="AY338">
        <f t="shared" si="88"/>
        <v>0</v>
      </c>
      <c r="AZ338">
        <f t="shared" si="89"/>
        <v>0</v>
      </c>
      <c r="BA338" t="str">
        <f t="shared" si="90"/>
        <v/>
      </c>
      <c r="BB338">
        <f t="shared" si="91"/>
        <v>0.87912088325959059</v>
      </c>
      <c r="BC338">
        <f>MATCH($B338,clean_historis!$B:$B,0)</f>
        <v>338</v>
      </c>
      <c r="BD338">
        <f>IFERROR(INDEX(clean_historis!$AF:$AF,$BC338)/INDEX(clean_historis!$V:$V,$BC338),0)</f>
        <v>0</v>
      </c>
      <c r="BE338">
        <f>IFERROR(INDEX(clean_historis!$AR:$AR,$BC338)/INDEX(clean_historis!$AH:$AH,$BC338),0)</f>
        <v>0</v>
      </c>
      <c r="BF338">
        <f t="shared" si="92"/>
        <v>0</v>
      </c>
      <c r="BG338">
        <f>MAX(IF(INDEX(clean_historis!$CL:$CL,$BC338)=1,2025,0),IF(INDEX(clean_historis!$CK:$CK,$BC338)=1,2024,0),IF(INDEX(clean_historis!$CJ:$CJ,$BC338)=1,2023,0),IF(INDEX(clean_historis!$CI:$CI,$BC338)=1,2022,0),IF(INDEX(clean_historis!$CH:$CH,$BC338)=1,2021,0))</f>
        <v>0</v>
      </c>
      <c r="BH338">
        <f t="shared" si="93"/>
        <v>0.12087911674040941</v>
      </c>
      <c r="BI338">
        <f t="shared" si="94"/>
        <v>214.56043221422669</v>
      </c>
      <c r="BJ338">
        <f t="shared" si="95"/>
        <v>1</v>
      </c>
      <c r="BK338">
        <f t="shared" si="96"/>
        <v>5.1640999999999995</v>
      </c>
      <c r="BL338">
        <f t="shared" si="97"/>
        <v>0</v>
      </c>
      <c r="BM338">
        <f t="shared" si="98"/>
        <v>0</v>
      </c>
      <c r="BN338">
        <v>0</v>
      </c>
      <c r="BO338">
        <f t="shared" si="101"/>
        <v>1</v>
      </c>
      <c r="BP338">
        <f t="shared" si="99"/>
        <v>1</v>
      </c>
      <c r="BQ338">
        <f t="shared" si="100"/>
        <v>1</v>
      </c>
    </row>
    <row r="339" spans="1:69" x14ac:dyDescent="0.25">
      <c r="A339">
        <v>338</v>
      </c>
      <c r="B339" t="s">
        <v>1378</v>
      </c>
      <c r="C339" t="s">
        <v>1379</v>
      </c>
      <c r="D339" t="s">
        <v>1380</v>
      </c>
      <c r="E339" t="s">
        <v>880</v>
      </c>
      <c r="F339" t="s">
        <v>176</v>
      </c>
      <c r="G339">
        <v>1</v>
      </c>
      <c r="H339">
        <v>1</v>
      </c>
      <c r="I339">
        <v>588</v>
      </c>
      <c r="J339">
        <v>0</v>
      </c>
      <c r="K339">
        <v>0</v>
      </c>
      <c r="L339">
        <v>5679.4</v>
      </c>
      <c r="M339">
        <v>2870.1</v>
      </c>
      <c r="N339">
        <v>7259.7</v>
      </c>
      <c r="O339">
        <v>3159.3</v>
      </c>
      <c r="P339">
        <v>8931.6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0.85</v>
      </c>
      <c r="W339">
        <v>0</v>
      </c>
      <c r="X339">
        <v>0</v>
      </c>
      <c r="Y339">
        <v>0.85000002384185791</v>
      </c>
      <c r="Z339">
        <v>0</v>
      </c>
      <c r="AA339">
        <v>0.64999997615814209</v>
      </c>
      <c r="AB339">
        <v>0.20000000298023221</v>
      </c>
      <c r="AC339">
        <v>0</v>
      </c>
      <c r="AD339">
        <v>0</v>
      </c>
      <c r="AE339">
        <v>0.84999997913837433</v>
      </c>
      <c r="AF339">
        <v>0</v>
      </c>
      <c r="AG339">
        <v>1</v>
      </c>
      <c r="AH339">
        <v>0</v>
      </c>
      <c r="AI339">
        <v>150</v>
      </c>
      <c r="AJ339">
        <v>0.64999997615814209</v>
      </c>
      <c r="AK339">
        <v>0.20000000298023221</v>
      </c>
      <c r="AL339">
        <v>0</v>
      </c>
      <c r="AM339">
        <v>0</v>
      </c>
      <c r="AN339">
        <v>0</v>
      </c>
      <c r="AO339">
        <v>0</v>
      </c>
      <c r="AR339">
        <v>0</v>
      </c>
      <c r="AS339">
        <v>0</v>
      </c>
      <c r="AT339">
        <v>0</v>
      </c>
      <c r="AU339">
        <v>0</v>
      </c>
      <c r="AV339">
        <f t="shared" si="85"/>
        <v>0</v>
      </c>
      <c r="AW339">
        <f t="shared" si="86"/>
        <v>0</v>
      </c>
      <c r="AX339">
        <f t="shared" si="87"/>
        <v>0</v>
      </c>
      <c r="AY339">
        <f t="shared" si="88"/>
        <v>0</v>
      </c>
      <c r="AZ339">
        <f t="shared" si="89"/>
        <v>0</v>
      </c>
      <c r="BA339" t="str">
        <f t="shared" si="90"/>
        <v/>
      </c>
      <c r="BB339">
        <f t="shared" si="91"/>
        <v>1</v>
      </c>
      <c r="BC339">
        <f>MATCH($B339,clean_historis!$B:$B,0)</f>
        <v>339</v>
      </c>
      <c r="BD339">
        <f>IFERROR(INDEX(clean_historis!$AF:$AF,$BC339)/INDEX(clean_historis!$V:$V,$BC339),0)</f>
        <v>0</v>
      </c>
      <c r="BE339">
        <f>IFERROR(INDEX(clean_historis!$AR:$AR,$BC339)/INDEX(clean_historis!$AH:$AH,$BC339),0)</f>
        <v>0</v>
      </c>
      <c r="BF339">
        <f t="shared" si="92"/>
        <v>0</v>
      </c>
      <c r="BG339">
        <f>MAX(IF(INDEX(clean_historis!$CL:$CL,$BC339)=1,2025,0),IF(INDEX(clean_historis!$CK:$CK,$BC339)=1,2024,0),IF(INDEX(clean_historis!$CJ:$CJ,$BC339)=1,2023,0),IF(INDEX(clean_historis!$CI:$CI,$BC339)=1,2022,0),IF(INDEX(clean_historis!$CH:$CH,$BC339)=1,2021,0))</f>
        <v>0</v>
      </c>
      <c r="BH339">
        <f t="shared" si="93"/>
        <v>0</v>
      </c>
      <c r="BI339">
        <f t="shared" si="94"/>
        <v>0</v>
      </c>
      <c r="BJ339">
        <f t="shared" si="95"/>
        <v>0</v>
      </c>
      <c r="BK339">
        <f t="shared" si="96"/>
        <v>24.7408</v>
      </c>
      <c r="BL339">
        <f t="shared" si="97"/>
        <v>0</v>
      </c>
      <c r="BM339">
        <f t="shared" si="98"/>
        <v>0</v>
      </c>
      <c r="BN339">
        <v>0</v>
      </c>
      <c r="BO339">
        <f t="shared" si="101"/>
        <v>1</v>
      </c>
      <c r="BP339">
        <f t="shared" si="99"/>
        <v>0</v>
      </c>
      <c r="BQ339">
        <f t="shared" si="100"/>
        <v>1</v>
      </c>
    </row>
    <row r="340" spans="1:69" x14ac:dyDescent="0.2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t="s">
        <v>315</v>
      </c>
      <c r="G340">
        <v>1</v>
      </c>
      <c r="H340">
        <v>1</v>
      </c>
      <c r="I340">
        <v>1738</v>
      </c>
      <c r="J340">
        <v>0</v>
      </c>
      <c r="K340">
        <v>0</v>
      </c>
      <c r="L340">
        <v>3270.7</v>
      </c>
      <c r="M340">
        <v>280.5</v>
      </c>
      <c r="N340">
        <v>4489.5</v>
      </c>
      <c r="O340">
        <v>131.9</v>
      </c>
      <c r="P340">
        <v>31102.7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0.48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150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2</v>
      </c>
      <c r="AP340">
        <v>2025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f t="shared" si="85"/>
        <v>0</v>
      </c>
      <c r="AW340">
        <f t="shared" si="86"/>
        <v>-1</v>
      </c>
      <c r="AX340">
        <f t="shared" si="87"/>
        <v>0</v>
      </c>
      <c r="AY340">
        <f t="shared" si="88"/>
        <v>0</v>
      </c>
      <c r="AZ340">
        <f t="shared" si="89"/>
        <v>0</v>
      </c>
      <c r="BA340" t="str">
        <f t="shared" si="90"/>
        <v/>
      </c>
      <c r="BB340">
        <f t="shared" si="91"/>
        <v>0</v>
      </c>
      <c r="BC340">
        <f>MATCH($B340,clean_historis!$B:$B,0)</f>
        <v>340</v>
      </c>
      <c r="BD340">
        <f>IFERROR(INDEX(clean_historis!$AF:$AF,$BC340)/INDEX(clean_historis!$V:$V,$BC340),0)</f>
        <v>1</v>
      </c>
      <c r="BE340">
        <f>IFERROR(INDEX(clean_historis!$AR:$AR,$BC340)/INDEX(clean_historis!$AH:$AH,$BC340),0)</f>
        <v>1</v>
      </c>
      <c r="BF340">
        <f t="shared" si="92"/>
        <v>0</v>
      </c>
      <c r="BG340">
        <f>MAX(IF(INDEX(clean_historis!$CL:$CL,$BC340)=1,2025,0),IF(INDEX(clean_historis!$CK:$CK,$BC340)=1,2024,0),IF(INDEX(clean_historis!$CJ:$CJ,$BC340)=1,2023,0),IF(INDEX(clean_historis!$CI:$CI,$BC340)=1,2022,0),IF(INDEX(clean_historis!$CH:$CH,$BC340)=1,2021,0))</f>
        <v>0</v>
      </c>
      <c r="BH340">
        <f t="shared" si="93"/>
        <v>1</v>
      </c>
      <c r="BI340">
        <f t="shared" si="94"/>
        <v>1738</v>
      </c>
      <c r="BJ340">
        <f t="shared" si="95"/>
        <v>0</v>
      </c>
      <c r="BK340">
        <f t="shared" si="96"/>
        <v>39.1434</v>
      </c>
      <c r="BL340">
        <f t="shared" si="97"/>
        <v>0</v>
      </c>
      <c r="BM340">
        <f t="shared" si="98"/>
        <v>0</v>
      </c>
      <c r="BN340">
        <v>1</v>
      </c>
      <c r="BO340">
        <f t="shared" si="101"/>
        <v>1</v>
      </c>
      <c r="BP340">
        <f t="shared" si="99"/>
        <v>1</v>
      </c>
      <c r="BQ340">
        <f t="shared" si="100"/>
        <v>1</v>
      </c>
    </row>
    <row r="341" spans="1:69" x14ac:dyDescent="0.25">
      <c r="A341">
        <v>340</v>
      </c>
      <c r="B341" t="s">
        <v>1385</v>
      </c>
      <c r="C341" t="s">
        <v>1386</v>
      </c>
      <c r="D341" t="s">
        <v>1387</v>
      </c>
      <c r="E341" t="s">
        <v>1388</v>
      </c>
      <c r="F341" t="s">
        <v>315</v>
      </c>
      <c r="G341">
        <v>6</v>
      </c>
      <c r="H341">
        <v>1</v>
      </c>
      <c r="I341">
        <v>5088</v>
      </c>
      <c r="J341">
        <v>0</v>
      </c>
      <c r="K341">
        <v>0</v>
      </c>
      <c r="L341">
        <v>2798.2</v>
      </c>
      <c r="M341">
        <v>1629.9</v>
      </c>
      <c r="N341">
        <v>4017.1</v>
      </c>
      <c r="O341">
        <v>627.70000000000005</v>
      </c>
      <c r="P341">
        <v>30630.2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</v>
      </c>
      <c r="W341">
        <v>0</v>
      </c>
      <c r="X341">
        <v>0</v>
      </c>
      <c r="Y341">
        <v>5</v>
      </c>
      <c r="Z341">
        <v>0</v>
      </c>
      <c r="AA341">
        <v>5</v>
      </c>
      <c r="AB341">
        <v>0</v>
      </c>
      <c r="AC341">
        <v>0</v>
      </c>
      <c r="AD341">
        <v>0</v>
      </c>
      <c r="AE341">
        <v>5</v>
      </c>
      <c r="AF341">
        <v>0</v>
      </c>
      <c r="AG341">
        <v>1</v>
      </c>
      <c r="AH341">
        <v>0</v>
      </c>
      <c r="AI341">
        <v>150</v>
      </c>
      <c r="AJ341">
        <v>5</v>
      </c>
      <c r="AK341">
        <v>0</v>
      </c>
      <c r="AL341">
        <v>0</v>
      </c>
      <c r="AM341">
        <v>0</v>
      </c>
      <c r="AN341">
        <v>1</v>
      </c>
      <c r="AO341">
        <v>3</v>
      </c>
      <c r="AP341">
        <v>2025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f t="shared" si="85"/>
        <v>0</v>
      </c>
      <c r="AW341">
        <f t="shared" si="86"/>
        <v>0</v>
      </c>
      <c r="AX341">
        <f t="shared" si="87"/>
        <v>0</v>
      </c>
      <c r="AY341">
        <f t="shared" si="88"/>
        <v>0</v>
      </c>
      <c r="AZ341">
        <f t="shared" si="89"/>
        <v>0</v>
      </c>
      <c r="BA341">
        <f t="shared" si="90"/>
        <v>0</v>
      </c>
      <c r="BB341">
        <f t="shared" si="91"/>
        <v>1</v>
      </c>
      <c r="BC341">
        <f>MATCH($B341,clean_historis!$B:$B,0)</f>
        <v>341</v>
      </c>
      <c r="BD341">
        <f>IFERROR(INDEX(clean_historis!$AF:$AF,$BC341)/INDEX(clean_historis!$V:$V,$BC341),0)</f>
        <v>0</v>
      </c>
      <c r="BE341">
        <f>IFERROR(INDEX(clean_historis!$AR:$AR,$BC341)/INDEX(clean_historis!$AH:$AH,$BC341),0)</f>
        <v>0</v>
      </c>
      <c r="BF341">
        <f t="shared" si="92"/>
        <v>0</v>
      </c>
      <c r="BG341">
        <f>MAX(IF(INDEX(clean_historis!$CL:$CL,$BC341)=1,2025,0),IF(INDEX(clean_historis!$CK:$CK,$BC341)=1,2024,0),IF(INDEX(clean_historis!$CJ:$CJ,$BC341)=1,2023,0),IF(INDEX(clean_historis!$CI:$CI,$BC341)=1,2022,0),IF(INDEX(clean_historis!$CH:$CH,$BC341)=1,2021,0))</f>
        <v>2025</v>
      </c>
      <c r="BH341">
        <f t="shared" si="93"/>
        <v>0</v>
      </c>
      <c r="BI341">
        <f t="shared" si="94"/>
        <v>0</v>
      </c>
      <c r="BJ341">
        <f t="shared" si="95"/>
        <v>0</v>
      </c>
      <c r="BK341">
        <f t="shared" si="96"/>
        <v>39.075400000000002</v>
      </c>
      <c r="BL341">
        <f t="shared" si="97"/>
        <v>0</v>
      </c>
      <c r="BM341">
        <f t="shared" si="98"/>
        <v>0</v>
      </c>
      <c r="BN341">
        <v>0</v>
      </c>
      <c r="BO341">
        <f t="shared" si="101"/>
        <v>0</v>
      </c>
      <c r="BP341">
        <f t="shared" si="99"/>
        <v>1</v>
      </c>
      <c r="BQ341">
        <f t="shared" si="100"/>
        <v>0</v>
      </c>
    </row>
    <row r="342" spans="1:69" x14ac:dyDescent="0.25">
      <c r="A342">
        <v>341</v>
      </c>
      <c r="B342" t="s">
        <v>1389</v>
      </c>
      <c r="C342" t="s">
        <v>1390</v>
      </c>
      <c r="D342" t="s">
        <v>1391</v>
      </c>
      <c r="E342" t="s">
        <v>1392</v>
      </c>
      <c r="F342" t="s">
        <v>105</v>
      </c>
      <c r="G342">
        <v>2</v>
      </c>
      <c r="H342">
        <v>1</v>
      </c>
      <c r="I342">
        <v>1117</v>
      </c>
      <c r="J342">
        <v>0</v>
      </c>
      <c r="K342">
        <v>1</v>
      </c>
      <c r="L342">
        <v>3754.5</v>
      </c>
      <c r="M342">
        <v>1012.8</v>
      </c>
      <c r="N342">
        <v>5054.6000000000004</v>
      </c>
      <c r="O342">
        <v>744</v>
      </c>
      <c r="P342">
        <v>4992.7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1.24</v>
      </c>
      <c r="W342">
        <v>0</v>
      </c>
      <c r="X342">
        <v>0</v>
      </c>
      <c r="Y342">
        <v>1.2400000095367429</v>
      </c>
      <c r="Z342">
        <v>0</v>
      </c>
      <c r="AA342">
        <v>0</v>
      </c>
      <c r="AB342">
        <v>0.63999998569488525</v>
      </c>
      <c r="AC342">
        <v>0</v>
      </c>
      <c r="AD342">
        <v>0.60000002384185791</v>
      </c>
      <c r="AE342">
        <v>0.63999998569488525</v>
      </c>
      <c r="AF342">
        <v>0.60000002384185791</v>
      </c>
      <c r="AG342">
        <v>0.51612901675217371</v>
      </c>
      <c r="AH342">
        <v>0.48387098324782629</v>
      </c>
      <c r="AI342">
        <v>150</v>
      </c>
      <c r="AJ342">
        <v>0</v>
      </c>
      <c r="AK342">
        <v>0.63999998569488525</v>
      </c>
      <c r="AL342">
        <v>0</v>
      </c>
      <c r="AM342">
        <v>0.60000002384185791</v>
      </c>
      <c r="AN342">
        <v>1</v>
      </c>
      <c r="AO342">
        <v>1</v>
      </c>
      <c r="AP342">
        <v>2022</v>
      </c>
      <c r="AQ342">
        <v>4</v>
      </c>
      <c r="AR342">
        <v>0</v>
      </c>
      <c r="AS342">
        <v>0</v>
      </c>
      <c r="AT342">
        <v>0</v>
      </c>
      <c r="AU342">
        <v>0</v>
      </c>
      <c r="AV342">
        <f t="shared" si="85"/>
        <v>0.48387096774193544</v>
      </c>
      <c r="AW342">
        <f t="shared" si="86"/>
        <v>1.9227304803859369E-8</v>
      </c>
      <c r="AX342">
        <f t="shared" si="87"/>
        <v>540.48389244464136</v>
      </c>
      <c r="AY342">
        <f t="shared" si="88"/>
        <v>0</v>
      </c>
      <c r="AZ342">
        <f t="shared" si="89"/>
        <v>0.60000002384185791</v>
      </c>
      <c r="BA342" t="str">
        <f t="shared" si="90"/>
        <v/>
      </c>
      <c r="BB342">
        <f t="shared" si="91"/>
        <v>0.51612901675217371</v>
      </c>
      <c r="BC342">
        <f>MATCH($B342,clean_historis!$B:$B,0)</f>
        <v>342</v>
      </c>
      <c r="BD342">
        <f>IFERROR(INDEX(clean_historis!$AF:$AF,$BC342)/INDEX(clean_historis!$V:$V,$BC342),0)</f>
        <v>0</v>
      </c>
      <c r="BE342">
        <f>IFERROR(INDEX(clean_historis!$AR:$AR,$BC342)/INDEX(clean_historis!$AH:$AH,$BC342),0)</f>
        <v>0.48387096774193544</v>
      </c>
      <c r="BF342">
        <f t="shared" si="92"/>
        <v>0.48387098696924025</v>
      </c>
      <c r="BG342">
        <f>MAX(IF(INDEX(clean_historis!$CL:$CL,$BC342)=1,2025,0),IF(INDEX(clean_historis!$CK:$CK,$BC342)=1,2024,0),IF(INDEX(clean_historis!$CJ:$CJ,$BC342)=1,2023,0),IF(INDEX(clean_historis!$CI:$CI,$BC342)=1,2022,0),IF(INDEX(clean_historis!$CH:$CH,$BC342)=1,2021,0))</f>
        <v>0</v>
      </c>
      <c r="BH342">
        <f t="shared" si="93"/>
        <v>0.48387098324782629</v>
      </c>
      <c r="BI342">
        <f t="shared" si="94"/>
        <v>540.48388828782197</v>
      </c>
      <c r="BJ342">
        <f t="shared" si="95"/>
        <v>1</v>
      </c>
      <c r="BK342">
        <f t="shared" si="96"/>
        <v>14.8146</v>
      </c>
      <c r="BL342">
        <f t="shared" si="97"/>
        <v>0</v>
      </c>
      <c r="BM342">
        <f t="shared" si="98"/>
        <v>1</v>
      </c>
      <c r="BN342">
        <v>0</v>
      </c>
      <c r="BO342">
        <f t="shared" si="101"/>
        <v>0</v>
      </c>
      <c r="BP342">
        <f t="shared" si="99"/>
        <v>1</v>
      </c>
      <c r="BQ342">
        <f t="shared" si="100"/>
        <v>0</v>
      </c>
    </row>
    <row r="343" spans="1:69" x14ac:dyDescent="0.25">
      <c r="A343">
        <v>342</v>
      </c>
      <c r="B343" t="s">
        <v>1393</v>
      </c>
      <c r="C343" t="s">
        <v>1394</v>
      </c>
      <c r="D343" t="s">
        <v>1395</v>
      </c>
      <c r="E343" t="s">
        <v>575</v>
      </c>
      <c r="F343" t="s">
        <v>310</v>
      </c>
      <c r="G343">
        <v>1</v>
      </c>
      <c r="H343">
        <v>1</v>
      </c>
      <c r="I343">
        <v>266</v>
      </c>
      <c r="J343">
        <v>0</v>
      </c>
      <c r="K343">
        <v>0</v>
      </c>
      <c r="L343">
        <v>36897.300000000003</v>
      </c>
      <c r="M343">
        <v>15843.2</v>
      </c>
      <c r="N343">
        <v>39107.699999999997</v>
      </c>
      <c r="O343">
        <v>2656.7</v>
      </c>
      <c r="P343">
        <v>39010.1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3.56</v>
      </c>
      <c r="W343">
        <v>3.559999942779541</v>
      </c>
      <c r="X343">
        <v>0</v>
      </c>
      <c r="Y343">
        <v>0</v>
      </c>
      <c r="Z343">
        <v>0</v>
      </c>
      <c r="AA343">
        <v>0</v>
      </c>
      <c r="AB343">
        <v>1.360000014305115</v>
      </c>
      <c r="AC343">
        <v>0</v>
      </c>
      <c r="AD343">
        <v>2.2000000476837158</v>
      </c>
      <c r="AE343">
        <v>1.360000014305115</v>
      </c>
      <c r="AF343">
        <v>2.2000000476837158</v>
      </c>
      <c r="AG343">
        <v>0.38202246927640132</v>
      </c>
      <c r="AH343">
        <v>0.61797753072359873</v>
      </c>
      <c r="AI343">
        <v>150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f t="shared" si="85"/>
        <v>-0.38202247191011207</v>
      </c>
      <c r="AW343">
        <f t="shared" si="86"/>
        <v>1.3394301889846361E-8</v>
      </c>
      <c r="AX343">
        <f t="shared" si="87"/>
        <v>164.38202603479448</v>
      </c>
      <c r="AY343">
        <f t="shared" si="88"/>
        <v>0</v>
      </c>
      <c r="AZ343">
        <f t="shared" si="89"/>
        <v>2.2000000476837158</v>
      </c>
      <c r="BA343" t="str">
        <f t="shared" si="90"/>
        <v/>
      </c>
      <c r="BB343">
        <f t="shared" si="91"/>
        <v>0.38202246927640132</v>
      </c>
      <c r="BC343">
        <f>MATCH($B343,clean_historis!$B:$B,0)</f>
        <v>343</v>
      </c>
      <c r="BD343">
        <f>IFERROR(INDEX(clean_historis!$AF:$AF,$BC343)/INDEX(clean_historis!$V:$V,$BC343),0)</f>
        <v>1</v>
      </c>
      <c r="BE343">
        <f>IFERROR(INDEX(clean_historis!$AR:$AR,$BC343)/INDEX(clean_historis!$AH:$AH,$BC343),0)</f>
        <v>0.61797752808988793</v>
      </c>
      <c r="BF343">
        <f t="shared" si="92"/>
        <v>0.61797754148418982</v>
      </c>
      <c r="BG343">
        <f>MAX(IF(INDEX(clean_historis!$CL:$CL,$BC343)=1,2025,0),IF(INDEX(clean_historis!$CK:$CK,$BC343)=1,2024,0),IF(INDEX(clean_historis!$CJ:$CJ,$BC343)=1,2023,0),IF(INDEX(clean_historis!$CI:$CI,$BC343)=1,2022,0),IF(INDEX(clean_historis!$CH:$CH,$BC343)=1,2021,0))</f>
        <v>0</v>
      </c>
      <c r="BH343">
        <f t="shared" si="93"/>
        <v>0.61797753072359862</v>
      </c>
      <c r="BI343">
        <f t="shared" si="94"/>
        <v>164.38202317247723</v>
      </c>
      <c r="BJ343">
        <f t="shared" si="95"/>
        <v>0</v>
      </c>
      <c r="BK343">
        <f t="shared" si="96"/>
        <v>130.85829999999999</v>
      </c>
      <c r="BL343">
        <f t="shared" si="97"/>
        <v>0</v>
      </c>
      <c r="BM343">
        <f t="shared" si="98"/>
        <v>1</v>
      </c>
      <c r="BN343">
        <v>0</v>
      </c>
      <c r="BO343">
        <f t="shared" si="101"/>
        <v>0</v>
      </c>
      <c r="BP343">
        <f t="shared" si="99"/>
        <v>0</v>
      </c>
      <c r="BQ343">
        <f t="shared" si="100"/>
        <v>1</v>
      </c>
    </row>
    <row r="344" spans="1:69" x14ac:dyDescent="0.25">
      <c r="A344">
        <v>343</v>
      </c>
      <c r="B344" t="s">
        <v>1396</v>
      </c>
      <c r="C344" t="s">
        <v>1397</v>
      </c>
      <c r="D344" t="s">
        <v>1398</v>
      </c>
      <c r="E344" t="s">
        <v>575</v>
      </c>
      <c r="F344" t="s">
        <v>310</v>
      </c>
      <c r="G344">
        <v>1</v>
      </c>
      <c r="H344">
        <v>1</v>
      </c>
      <c r="I344">
        <v>266</v>
      </c>
      <c r="J344">
        <v>0</v>
      </c>
      <c r="K344">
        <v>0</v>
      </c>
      <c r="L344">
        <v>35953.1</v>
      </c>
      <c r="M344">
        <v>14899</v>
      </c>
      <c r="N344">
        <v>38163.5</v>
      </c>
      <c r="O344">
        <v>1712.5</v>
      </c>
      <c r="P344">
        <v>38065.9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1.75</v>
      </c>
      <c r="W344">
        <v>1.75</v>
      </c>
      <c r="X344">
        <v>0</v>
      </c>
      <c r="Y344">
        <v>0</v>
      </c>
      <c r="Z344">
        <v>0</v>
      </c>
      <c r="AA344">
        <v>0</v>
      </c>
      <c r="AB344">
        <v>0.69999998807907104</v>
      </c>
      <c r="AC344">
        <v>0.80000001192092896</v>
      </c>
      <c r="AD344">
        <v>0.25</v>
      </c>
      <c r="AE344">
        <v>0.69999998807907104</v>
      </c>
      <c r="AF344">
        <v>1.050000011920929</v>
      </c>
      <c r="AG344">
        <v>0.39999999318804058</v>
      </c>
      <c r="AH344">
        <v>0.60000000681195942</v>
      </c>
      <c r="AI344">
        <v>150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2023</v>
      </c>
      <c r="AQ344">
        <v>3</v>
      </c>
      <c r="AR344">
        <v>0</v>
      </c>
      <c r="AS344">
        <v>0</v>
      </c>
      <c r="AT344">
        <v>0</v>
      </c>
      <c r="AU344">
        <v>0</v>
      </c>
      <c r="AV344">
        <f t="shared" si="85"/>
        <v>0.19999999999999998</v>
      </c>
      <c r="AW344">
        <f t="shared" si="86"/>
        <v>-5.7142857142857134E-2</v>
      </c>
      <c r="AX344">
        <f t="shared" si="87"/>
        <v>38</v>
      </c>
      <c r="AY344">
        <f t="shared" si="88"/>
        <v>0</v>
      </c>
      <c r="AZ344">
        <f t="shared" si="89"/>
        <v>0.25</v>
      </c>
      <c r="BA344" t="str">
        <f t="shared" si="90"/>
        <v/>
      </c>
      <c r="BB344">
        <f t="shared" si="91"/>
        <v>0.39999999318804058</v>
      </c>
      <c r="BC344">
        <f>MATCH($B344,clean_historis!$B:$B,0)</f>
        <v>344</v>
      </c>
      <c r="BD344">
        <f>IFERROR(INDEX(clean_historis!$AF:$AF,$BC344)/INDEX(clean_historis!$V:$V,$BC344),0)</f>
        <v>0</v>
      </c>
      <c r="BE344">
        <f>IFERROR(INDEX(clean_historis!$AR:$AR,$BC344)/INDEX(clean_historis!$AH:$AH,$BC344),0)</f>
        <v>0.19999999999999998</v>
      </c>
      <c r="BF344">
        <f t="shared" si="92"/>
        <v>0.14285714285714285</v>
      </c>
      <c r="BG344">
        <f>MAX(IF(INDEX(clean_historis!$CL:$CL,$BC344)=1,2025,0),IF(INDEX(clean_historis!$CK:$CK,$BC344)=1,2024,0),IF(INDEX(clean_historis!$CJ:$CJ,$BC344)=1,2023,0),IF(INDEX(clean_historis!$CI:$CI,$BC344)=1,2022,0),IF(INDEX(clean_historis!$CH:$CH,$BC344)=1,2021,0))</f>
        <v>0</v>
      </c>
      <c r="BH344">
        <f t="shared" si="93"/>
        <v>0.60000000681195942</v>
      </c>
      <c r="BI344">
        <f t="shared" si="94"/>
        <v>159.6000018119812</v>
      </c>
      <c r="BJ344">
        <f t="shared" si="95"/>
        <v>0</v>
      </c>
      <c r="BK344">
        <f t="shared" si="96"/>
        <v>127.08150000000001</v>
      </c>
      <c r="BL344">
        <f t="shared" si="97"/>
        <v>0</v>
      </c>
      <c r="BM344">
        <f t="shared" si="98"/>
        <v>0</v>
      </c>
      <c r="BN344">
        <v>0</v>
      </c>
      <c r="BO344">
        <f t="shared" si="101"/>
        <v>0</v>
      </c>
      <c r="BP344">
        <f t="shared" si="99"/>
        <v>1</v>
      </c>
      <c r="BQ344">
        <f t="shared" si="100"/>
        <v>1</v>
      </c>
    </row>
    <row r="345" spans="1:69" x14ac:dyDescent="0.25">
      <c r="A345">
        <v>344</v>
      </c>
      <c r="B345" t="s">
        <v>1399</v>
      </c>
      <c r="C345" t="s">
        <v>1400</v>
      </c>
      <c r="D345" t="s">
        <v>1401</v>
      </c>
      <c r="E345" t="s">
        <v>745</v>
      </c>
      <c r="F345" t="s">
        <v>105</v>
      </c>
      <c r="G345">
        <v>2</v>
      </c>
      <c r="H345">
        <v>1</v>
      </c>
      <c r="I345">
        <v>1333</v>
      </c>
      <c r="J345">
        <v>0</v>
      </c>
      <c r="K345">
        <v>0</v>
      </c>
      <c r="L345">
        <v>5253.7</v>
      </c>
      <c r="M345">
        <v>3395</v>
      </c>
      <c r="N345">
        <v>7436.8</v>
      </c>
      <c r="O345">
        <v>247.2</v>
      </c>
      <c r="P345">
        <v>7601.5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3.91</v>
      </c>
      <c r="W345">
        <v>0</v>
      </c>
      <c r="X345">
        <v>0</v>
      </c>
      <c r="Y345">
        <v>3.910000085830688</v>
      </c>
      <c r="Z345">
        <v>0</v>
      </c>
      <c r="AA345">
        <v>0</v>
      </c>
      <c r="AB345">
        <v>1.700000047683716</v>
      </c>
      <c r="AC345">
        <v>0.89999997615814209</v>
      </c>
      <c r="AD345">
        <v>1.309999942779541</v>
      </c>
      <c r="AE345">
        <v>1.700000047683716</v>
      </c>
      <c r="AF345">
        <v>2.2099999189376831</v>
      </c>
      <c r="AG345">
        <v>0.43478262460259631</v>
      </c>
      <c r="AH345">
        <v>0.56521737539740369</v>
      </c>
      <c r="AI345">
        <v>150</v>
      </c>
      <c r="AJ345">
        <v>0</v>
      </c>
      <c r="AK345">
        <v>1.700000047683716</v>
      </c>
      <c r="AL345">
        <v>0.89999997615814209</v>
      </c>
      <c r="AM345">
        <v>1.309999942779541</v>
      </c>
      <c r="AN345">
        <v>0</v>
      </c>
      <c r="AO345">
        <v>0</v>
      </c>
      <c r="AR345">
        <v>0</v>
      </c>
      <c r="AS345">
        <v>0</v>
      </c>
      <c r="AT345">
        <v>0</v>
      </c>
      <c r="AU345">
        <v>1</v>
      </c>
      <c r="AV345">
        <f t="shared" si="85"/>
        <v>0</v>
      </c>
      <c r="AW345">
        <f t="shared" si="86"/>
        <v>-1.4634388478818039E-8</v>
      </c>
      <c r="AX345">
        <f t="shared" si="87"/>
        <v>446.60611859977701</v>
      </c>
      <c r="AY345">
        <f t="shared" si="88"/>
        <v>0</v>
      </c>
      <c r="AZ345">
        <f t="shared" si="89"/>
        <v>1.309999942779541</v>
      </c>
      <c r="BA345" t="str">
        <f t="shared" si="90"/>
        <v/>
      </c>
      <c r="BB345">
        <f t="shared" si="91"/>
        <v>0.43478262460259631</v>
      </c>
      <c r="BC345">
        <f>MATCH($B345,clean_historis!$B:$B,0)</f>
        <v>345</v>
      </c>
      <c r="BD345">
        <f>IFERROR(INDEX(clean_historis!$AF:$AF,$BC345)/INDEX(clean_historis!$V:$V,$BC345),0)</f>
        <v>0.33503836317135549</v>
      </c>
      <c r="BE345">
        <f>IFERROR(INDEX(clean_historis!$AR:$AR,$BC345)/INDEX(clean_historis!$AH:$AH,$BC345),0)</f>
        <v>0.33503836317135549</v>
      </c>
      <c r="BF345">
        <f t="shared" si="92"/>
        <v>0.33503834853696701</v>
      </c>
      <c r="BG345">
        <f>MAX(IF(INDEX(clean_historis!$CL:$CL,$BC345)=1,2025,0),IF(INDEX(clean_historis!$CK:$CK,$BC345)=1,2024,0),IF(INDEX(clean_historis!$CJ:$CJ,$BC345)=1,2023,0),IF(INDEX(clean_historis!$CI:$CI,$BC345)=1,2022,0),IF(INDEX(clean_historis!$CH:$CH,$BC345)=1,2021,0))</f>
        <v>0</v>
      </c>
      <c r="BH345">
        <f t="shared" si="93"/>
        <v>0.56521737539740369</v>
      </c>
      <c r="BI345">
        <f t="shared" si="94"/>
        <v>753.43476140473911</v>
      </c>
      <c r="BJ345">
        <f t="shared" si="95"/>
        <v>0</v>
      </c>
      <c r="BK345">
        <f t="shared" si="96"/>
        <v>23.687000000000001</v>
      </c>
      <c r="BL345">
        <f t="shared" si="97"/>
        <v>0</v>
      </c>
      <c r="BM345">
        <f t="shared" si="98"/>
        <v>1</v>
      </c>
      <c r="BN345">
        <v>0</v>
      </c>
      <c r="BO345">
        <f t="shared" si="101"/>
        <v>0</v>
      </c>
      <c r="BP345">
        <f t="shared" si="99"/>
        <v>0</v>
      </c>
      <c r="BQ345">
        <f t="shared" si="100"/>
        <v>1</v>
      </c>
    </row>
    <row r="346" spans="1:69" x14ac:dyDescent="0.25">
      <c r="A346">
        <v>345</v>
      </c>
      <c r="B346" t="s">
        <v>1402</v>
      </c>
      <c r="C346" t="s">
        <v>1403</v>
      </c>
      <c r="D346" t="s">
        <v>1404</v>
      </c>
      <c r="E346" t="s">
        <v>1405</v>
      </c>
      <c r="F346" t="s">
        <v>132</v>
      </c>
      <c r="G346">
        <v>1</v>
      </c>
      <c r="H346">
        <v>1</v>
      </c>
      <c r="I346">
        <v>371</v>
      </c>
      <c r="J346">
        <v>0</v>
      </c>
      <c r="K346">
        <v>0</v>
      </c>
      <c r="L346">
        <v>22468.799999999999</v>
      </c>
      <c r="M346">
        <v>18426.099999999999</v>
      </c>
      <c r="N346">
        <v>24679.200000000001</v>
      </c>
      <c r="O346">
        <v>755</v>
      </c>
      <c r="P346">
        <v>24581.599999999999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0.56000000000000005</v>
      </c>
      <c r="W346">
        <v>0</v>
      </c>
      <c r="X346">
        <v>0</v>
      </c>
      <c r="Y346">
        <v>0.56000000238418579</v>
      </c>
      <c r="Z346">
        <v>0</v>
      </c>
      <c r="AA346">
        <v>0.36000001430511469</v>
      </c>
      <c r="AB346">
        <v>0.20000000298023221</v>
      </c>
      <c r="AC346">
        <v>0</v>
      </c>
      <c r="AD346">
        <v>0</v>
      </c>
      <c r="AE346">
        <v>0.56000001728534698</v>
      </c>
      <c r="AF346">
        <v>0</v>
      </c>
      <c r="AG346">
        <v>1</v>
      </c>
      <c r="AH346">
        <v>0</v>
      </c>
      <c r="AI346">
        <v>150</v>
      </c>
      <c r="AJ346">
        <v>0.36000001430511469</v>
      </c>
      <c r="AK346">
        <v>0.20000000298023221</v>
      </c>
      <c r="AL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T346">
        <v>0</v>
      </c>
      <c r="AU346">
        <v>0</v>
      </c>
      <c r="AV346">
        <f t="shared" si="85"/>
        <v>0</v>
      </c>
      <c r="AW346">
        <f t="shared" si="86"/>
        <v>0</v>
      </c>
      <c r="AX346">
        <f t="shared" si="87"/>
        <v>0</v>
      </c>
      <c r="AY346">
        <f t="shared" si="88"/>
        <v>0</v>
      </c>
      <c r="AZ346">
        <f t="shared" si="89"/>
        <v>0</v>
      </c>
      <c r="BA346" t="str">
        <f t="shared" si="90"/>
        <v/>
      </c>
      <c r="BB346">
        <f t="shared" si="91"/>
        <v>1</v>
      </c>
      <c r="BC346">
        <f>MATCH($B346,clean_historis!$B:$B,0)</f>
        <v>346</v>
      </c>
      <c r="BD346">
        <f>IFERROR(INDEX(clean_historis!$AF:$AF,$BC346)/INDEX(clean_historis!$V:$V,$BC346),0)</f>
        <v>0</v>
      </c>
      <c r="BE346">
        <f>IFERROR(INDEX(clean_historis!$AR:$AR,$BC346)/INDEX(clean_historis!$AH:$AH,$BC346),0)</f>
        <v>0</v>
      </c>
      <c r="BF346">
        <f t="shared" si="92"/>
        <v>0</v>
      </c>
      <c r="BG346">
        <f>MAX(IF(INDEX(clean_historis!$CL:$CL,$BC346)=1,2025,0),IF(INDEX(clean_historis!$CK:$CK,$BC346)=1,2024,0),IF(INDEX(clean_historis!$CJ:$CJ,$BC346)=1,2023,0),IF(INDEX(clean_historis!$CI:$CI,$BC346)=1,2022,0),IF(INDEX(clean_historis!$CH:$CH,$BC346)=1,2021,0))</f>
        <v>0</v>
      </c>
      <c r="BH346">
        <f t="shared" si="93"/>
        <v>0</v>
      </c>
      <c r="BI346">
        <f t="shared" si="94"/>
        <v>0</v>
      </c>
      <c r="BJ346">
        <f t="shared" si="95"/>
        <v>0</v>
      </c>
      <c r="BK346">
        <f t="shared" si="96"/>
        <v>90.155699999999982</v>
      </c>
      <c r="BL346">
        <f t="shared" si="97"/>
        <v>0</v>
      </c>
      <c r="BM346">
        <f t="shared" si="98"/>
        <v>0</v>
      </c>
      <c r="BN346">
        <v>0</v>
      </c>
      <c r="BO346">
        <f t="shared" si="101"/>
        <v>1</v>
      </c>
      <c r="BP346">
        <f t="shared" si="99"/>
        <v>0</v>
      </c>
      <c r="BQ346">
        <f t="shared" si="100"/>
        <v>1</v>
      </c>
    </row>
    <row r="347" spans="1:69" x14ac:dyDescent="0.25">
      <c r="A347">
        <v>346</v>
      </c>
      <c r="B347" t="s">
        <v>1406</v>
      </c>
      <c r="C347" t="s">
        <v>1407</v>
      </c>
      <c r="D347" t="s">
        <v>1408</v>
      </c>
      <c r="E347" t="s">
        <v>194</v>
      </c>
      <c r="F347" t="s">
        <v>100</v>
      </c>
      <c r="G347">
        <v>1</v>
      </c>
      <c r="H347">
        <v>1</v>
      </c>
      <c r="I347">
        <v>1874</v>
      </c>
      <c r="J347">
        <v>0</v>
      </c>
      <c r="K347">
        <v>1</v>
      </c>
      <c r="L347">
        <v>705.7</v>
      </c>
      <c r="M347">
        <v>1202.3</v>
      </c>
      <c r="N347">
        <v>2250.3000000000002</v>
      </c>
      <c r="O347">
        <v>328.4</v>
      </c>
      <c r="P347">
        <v>387.4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0.12</v>
      </c>
      <c r="W347">
        <v>0</v>
      </c>
      <c r="X347">
        <v>0</v>
      </c>
      <c r="Y347">
        <v>0.119999997317791</v>
      </c>
      <c r="Z347">
        <v>0</v>
      </c>
      <c r="AA347">
        <v>0</v>
      </c>
      <c r="AB347">
        <v>0.119999997317791</v>
      </c>
      <c r="AC347">
        <v>0</v>
      </c>
      <c r="AD347">
        <v>0</v>
      </c>
      <c r="AE347">
        <v>0.119999997317791</v>
      </c>
      <c r="AF347">
        <v>0</v>
      </c>
      <c r="AG347">
        <v>1</v>
      </c>
      <c r="AH347">
        <v>0</v>
      </c>
      <c r="AI347">
        <v>150</v>
      </c>
      <c r="AJ347">
        <v>0</v>
      </c>
      <c r="AK347">
        <v>0.119999997317791</v>
      </c>
      <c r="AL347">
        <v>0</v>
      </c>
      <c r="AM347">
        <v>0</v>
      </c>
      <c r="AN347">
        <v>0</v>
      </c>
      <c r="AO347">
        <v>0</v>
      </c>
      <c r="AR347">
        <v>0</v>
      </c>
      <c r="AS347">
        <v>0</v>
      </c>
      <c r="AT347">
        <v>0</v>
      </c>
      <c r="AU347">
        <v>0</v>
      </c>
      <c r="AV347">
        <f t="shared" si="85"/>
        <v>0</v>
      </c>
      <c r="AW347">
        <f t="shared" si="86"/>
        <v>0</v>
      </c>
      <c r="AX347">
        <f t="shared" si="87"/>
        <v>0</v>
      </c>
      <c r="AY347">
        <f t="shared" si="88"/>
        <v>0</v>
      </c>
      <c r="AZ347">
        <f t="shared" si="89"/>
        <v>0</v>
      </c>
      <c r="BA347" t="str">
        <f t="shared" si="90"/>
        <v/>
      </c>
      <c r="BB347">
        <f t="shared" si="91"/>
        <v>1</v>
      </c>
      <c r="BC347">
        <f>MATCH($B347,clean_historis!$B:$B,0)</f>
        <v>347</v>
      </c>
      <c r="BD347">
        <f>IFERROR(INDEX(clean_historis!$AF:$AF,$BC347)/INDEX(clean_historis!$V:$V,$BC347),0)</f>
        <v>0</v>
      </c>
      <c r="BE347">
        <f>IFERROR(INDEX(clean_historis!$AR:$AR,$BC347)/INDEX(clean_historis!$AH:$AH,$BC347),0)</f>
        <v>0</v>
      </c>
      <c r="BF347">
        <f t="shared" si="92"/>
        <v>0</v>
      </c>
      <c r="BG347">
        <f>MAX(IF(INDEX(clean_historis!$CL:$CL,$BC347)=1,2025,0),IF(INDEX(clean_historis!$CK:$CK,$BC347)=1,2024,0),IF(INDEX(clean_historis!$CJ:$CJ,$BC347)=1,2023,0),IF(INDEX(clean_historis!$CI:$CI,$BC347)=1,2022,0),IF(INDEX(clean_historis!$CH:$CH,$BC347)=1,2021,0))</f>
        <v>0</v>
      </c>
      <c r="BH347">
        <f t="shared" si="93"/>
        <v>0</v>
      </c>
      <c r="BI347">
        <f t="shared" si="94"/>
        <v>0</v>
      </c>
      <c r="BJ347">
        <f t="shared" si="95"/>
        <v>1</v>
      </c>
      <c r="BK347">
        <f t="shared" si="96"/>
        <v>4.5457000000000001</v>
      </c>
      <c r="BL347">
        <f t="shared" si="97"/>
        <v>0</v>
      </c>
      <c r="BM347">
        <f t="shared" si="98"/>
        <v>0</v>
      </c>
      <c r="BN347">
        <v>0</v>
      </c>
      <c r="BO347">
        <f t="shared" si="101"/>
        <v>1</v>
      </c>
      <c r="BP347">
        <f t="shared" si="99"/>
        <v>0</v>
      </c>
      <c r="BQ347">
        <f t="shared" si="100"/>
        <v>1</v>
      </c>
    </row>
    <row r="348" spans="1:69" x14ac:dyDescent="0.25">
      <c r="A348">
        <v>347</v>
      </c>
      <c r="B348" t="s">
        <v>1409</v>
      </c>
      <c r="C348" t="s">
        <v>1410</v>
      </c>
      <c r="D348" t="s">
        <v>1411</v>
      </c>
      <c r="E348" t="s">
        <v>1412</v>
      </c>
      <c r="F348" t="s">
        <v>105</v>
      </c>
      <c r="G348">
        <v>2</v>
      </c>
      <c r="H348">
        <v>1</v>
      </c>
      <c r="I348">
        <v>1171</v>
      </c>
      <c r="J348">
        <v>0</v>
      </c>
      <c r="K348">
        <v>1</v>
      </c>
      <c r="L348">
        <v>1485.7</v>
      </c>
      <c r="M348">
        <v>2749</v>
      </c>
      <c r="N348">
        <v>7203.5</v>
      </c>
      <c r="O348">
        <v>1357.6</v>
      </c>
      <c r="P348">
        <v>7368.2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2.93</v>
      </c>
      <c r="W348">
        <v>0</v>
      </c>
      <c r="X348">
        <v>0</v>
      </c>
      <c r="Y348">
        <v>2.9300000667572021</v>
      </c>
      <c r="Z348">
        <v>0</v>
      </c>
      <c r="AA348">
        <v>1</v>
      </c>
      <c r="AB348">
        <v>0.10000000149011611</v>
      </c>
      <c r="AC348">
        <v>0.52999997138977051</v>
      </c>
      <c r="AD348">
        <v>1.299999952316284</v>
      </c>
      <c r="AE348">
        <v>1.1000000014901159</v>
      </c>
      <c r="AF348">
        <v>1.8299999237060549</v>
      </c>
      <c r="AG348">
        <v>0.37542663125374259</v>
      </c>
      <c r="AH348">
        <v>0.62457336874625746</v>
      </c>
      <c r="AI348">
        <v>150</v>
      </c>
      <c r="AJ348">
        <v>1</v>
      </c>
      <c r="AK348">
        <v>0.10000000149011611</v>
      </c>
      <c r="AL348">
        <v>0.52999997138977051</v>
      </c>
      <c r="AM348">
        <v>1.299999952316284</v>
      </c>
      <c r="AN348">
        <v>1</v>
      </c>
      <c r="AO348">
        <v>1</v>
      </c>
      <c r="AP348">
        <v>2025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f t="shared" si="85"/>
        <v>0</v>
      </c>
      <c r="AW348">
        <f t="shared" si="86"/>
        <v>0.44368599055163271</v>
      </c>
      <c r="AX348">
        <f t="shared" si="87"/>
        <v>519.55629493596189</v>
      </c>
      <c r="AY348">
        <f t="shared" si="88"/>
        <v>0</v>
      </c>
      <c r="AZ348">
        <f t="shared" si="89"/>
        <v>1.299999952316284</v>
      </c>
      <c r="BA348">
        <f t="shared" si="90"/>
        <v>0</v>
      </c>
      <c r="BB348">
        <f t="shared" si="91"/>
        <v>0.37542663125374259</v>
      </c>
      <c r="BC348">
        <f>MATCH($B348,clean_historis!$B:$B,0)</f>
        <v>348</v>
      </c>
      <c r="BD348">
        <f>IFERROR(INDEX(clean_historis!$AF:$AF,$BC348)/INDEX(clean_historis!$V:$V,$BC348),0)</f>
        <v>0</v>
      </c>
      <c r="BE348">
        <f>IFERROR(INDEX(clean_historis!$AR:$AR,$BC348)/INDEX(clean_historis!$AH:$AH,$BC348),0)</f>
        <v>0</v>
      </c>
      <c r="BF348">
        <f t="shared" si="92"/>
        <v>0.44368599055163271</v>
      </c>
      <c r="BG348">
        <f>MAX(IF(INDEX(clean_historis!$CL:$CL,$BC348)=1,2025,0),IF(INDEX(clean_historis!$CK:$CK,$BC348)=1,2024,0),IF(INDEX(clean_historis!$CJ:$CJ,$BC348)=1,2023,0),IF(INDEX(clean_historis!$CI:$CI,$BC348)=1,2022,0),IF(INDEX(clean_historis!$CH:$CH,$BC348)=1,2021,0))</f>
        <v>2025</v>
      </c>
      <c r="BH348">
        <f t="shared" si="93"/>
        <v>0.62457336874625735</v>
      </c>
      <c r="BI348">
        <f t="shared" si="94"/>
        <v>731.37541480186735</v>
      </c>
      <c r="BJ348">
        <f t="shared" si="95"/>
        <v>1</v>
      </c>
      <c r="BK348">
        <f t="shared" si="96"/>
        <v>18.8064</v>
      </c>
      <c r="BL348">
        <f t="shared" si="97"/>
        <v>0</v>
      </c>
      <c r="BM348">
        <f t="shared" si="98"/>
        <v>1</v>
      </c>
      <c r="BN348">
        <v>0</v>
      </c>
      <c r="BO348">
        <f t="shared" si="101"/>
        <v>0</v>
      </c>
      <c r="BP348">
        <f t="shared" si="99"/>
        <v>1</v>
      </c>
      <c r="BQ348">
        <f t="shared" si="100"/>
        <v>1</v>
      </c>
    </row>
    <row r="349" spans="1:69" x14ac:dyDescent="0.25">
      <c r="A349">
        <v>348</v>
      </c>
      <c r="B349" t="s">
        <v>1413</v>
      </c>
      <c r="C349" t="s">
        <v>1414</v>
      </c>
      <c r="D349" t="s">
        <v>1415</v>
      </c>
      <c r="E349" t="s">
        <v>1416</v>
      </c>
      <c r="F349" t="s">
        <v>503</v>
      </c>
      <c r="G349">
        <v>2</v>
      </c>
      <c r="H349">
        <v>2</v>
      </c>
      <c r="I349">
        <v>1110</v>
      </c>
      <c r="J349">
        <v>0</v>
      </c>
      <c r="K349">
        <v>1</v>
      </c>
      <c r="L349">
        <v>1619.3</v>
      </c>
      <c r="M349">
        <v>2456.8000000000002</v>
      </c>
      <c r="N349">
        <v>5860.5</v>
      </c>
      <c r="O349">
        <v>1289.8</v>
      </c>
      <c r="P349">
        <v>7361.8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3.13</v>
      </c>
      <c r="W349">
        <v>0</v>
      </c>
      <c r="X349">
        <v>0</v>
      </c>
      <c r="Y349">
        <v>3.130000114440918</v>
      </c>
      <c r="Z349">
        <v>0</v>
      </c>
      <c r="AA349">
        <v>1.129999995231628</v>
      </c>
      <c r="AB349">
        <v>1.3999999761581421</v>
      </c>
      <c r="AC349">
        <v>0.60000002384185791</v>
      </c>
      <c r="AD349">
        <v>0</v>
      </c>
      <c r="AE349">
        <v>2.529999971389771</v>
      </c>
      <c r="AF349">
        <v>0.60000002384185791</v>
      </c>
      <c r="AG349">
        <v>0.80830670135593519</v>
      </c>
      <c r="AH349">
        <v>0.19169329864406481</v>
      </c>
      <c r="AI349">
        <v>150</v>
      </c>
      <c r="AJ349">
        <v>1.129999995231628</v>
      </c>
      <c r="AK349">
        <v>1.3999999761581421</v>
      </c>
      <c r="AL349">
        <v>0.60000002384185791</v>
      </c>
      <c r="AM349">
        <v>0</v>
      </c>
      <c r="AN349">
        <v>1</v>
      </c>
      <c r="AO349">
        <v>3</v>
      </c>
      <c r="AP349">
        <v>2023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f t="shared" si="85"/>
        <v>0</v>
      </c>
      <c r="AW349">
        <f t="shared" si="86"/>
        <v>0</v>
      </c>
      <c r="AX349">
        <f t="shared" si="87"/>
        <v>0</v>
      </c>
      <c r="AY349">
        <f t="shared" si="88"/>
        <v>0</v>
      </c>
      <c r="AZ349">
        <f t="shared" si="89"/>
        <v>0</v>
      </c>
      <c r="BA349">
        <f t="shared" si="90"/>
        <v>2</v>
      </c>
      <c r="BB349">
        <f t="shared" si="91"/>
        <v>0.80830670135593519</v>
      </c>
      <c r="BC349">
        <f>MATCH($B349,clean_historis!$B:$B,0)</f>
        <v>349</v>
      </c>
      <c r="BD349">
        <f>IFERROR(INDEX(clean_historis!$AF:$AF,$BC349)/INDEX(clean_historis!$V:$V,$BC349),0)</f>
        <v>0</v>
      </c>
      <c r="BE349">
        <f>IFERROR(INDEX(clean_historis!$AR:$AR,$BC349)/INDEX(clean_historis!$AH:$AH,$BC349),0)</f>
        <v>0</v>
      </c>
      <c r="BF349">
        <f t="shared" si="92"/>
        <v>0</v>
      </c>
      <c r="BG349">
        <f>MAX(IF(INDEX(clean_historis!$CL:$CL,$BC349)=1,2025,0),IF(INDEX(clean_historis!$CK:$CK,$BC349)=1,2024,0),IF(INDEX(clean_historis!$CJ:$CJ,$BC349)=1,2023,0),IF(INDEX(clean_historis!$CI:$CI,$BC349)=1,2022,0),IF(INDEX(clean_historis!$CH:$CH,$BC349)=1,2021,0))</f>
        <v>2023</v>
      </c>
      <c r="BH349">
        <f t="shared" si="93"/>
        <v>0.19169329864406481</v>
      </c>
      <c r="BI349">
        <f t="shared" si="94"/>
        <v>212.77956149491195</v>
      </c>
      <c r="BJ349">
        <f t="shared" si="95"/>
        <v>1</v>
      </c>
      <c r="BK349">
        <f t="shared" si="96"/>
        <v>17.298400000000001</v>
      </c>
      <c r="BL349">
        <f t="shared" si="97"/>
        <v>0</v>
      </c>
      <c r="BM349">
        <f t="shared" si="98"/>
        <v>0</v>
      </c>
      <c r="BN349">
        <v>0</v>
      </c>
      <c r="BO349">
        <f t="shared" si="101"/>
        <v>0</v>
      </c>
      <c r="BP349">
        <f t="shared" si="99"/>
        <v>1</v>
      </c>
      <c r="BQ349">
        <f t="shared" si="100"/>
        <v>0</v>
      </c>
    </row>
    <row r="350" spans="1:69" x14ac:dyDescent="0.25">
      <c r="A350">
        <v>349</v>
      </c>
      <c r="B350" t="s">
        <v>1417</v>
      </c>
      <c r="C350" t="s">
        <v>1418</v>
      </c>
      <c r="D350" t="s">
        <v>1419</v>
      </c>
      <c r="E350" t="s">
        <v>1420</v>
      </c>
      <c r="F350" t="s">
        <v>105</v>
      </c>
      <c r="G350">
        <v>6</v>
      </c>
      <c r="H350">
        <v>1</v>
      </c>
      <c r="I350">
        <v>2885</v>
      </c>
      <c r="J350">
        <v>0</v>
      </c>
      <c r="K350">
        <v>1</v>
      </c>
      <c r="L350">
        <v>3325.3</v>
      </c>
      <c r="M350">
        <v>3394.2</v>
      </c>
      <c r="N350">
        <v>7436</v>
      </c>
      <c r="O350">
        <v>146.6</v>
      </c>
      <c r="P350">
        <v>7600.7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6.36</v>
      </c>
      <c r="W350">
        <v>0</v>
      </c>
      <c r="X350">
        <v>0</v>
      </c>
      <c r="Y350">
        <v>6.3600001335144043</v>
      </c>
      <c r="Z350">
        <v>0</v>
      </c>
      <c r="AA350">
        <v>0.40000000596046448</v>
      </c>
      <c r="AB350">
        <v>0.80000001192092896</v>
      </c>
      <c r="AC350">
        <v>2.0999999046325679</v>
      </c>
      <c r="AD350">
        <v>3.059999942779541</v>
      </c>
      <c r="AE350">
        <v>1.200000017881393</v>
      </c>
      <c r="AF350">
        <v>5.1599998474121094</v>
      </c>
      <c r="AG350">
        <v>0.18867925209083561</v>
      </c>
      <c r="AH350">
        <v>0.81132074790916442</v>
      </c>
      <c r="AI350">
        <v>150</v>
      </c>
      <c r="AJ350">
        <v>0.40000000596046448</v>
      </c>
      <c r="AK350">
        <v>0.80000001192092896</v>
      </c>
      <c r="AL350">
        <v>2.0999999046325679</v>
      </c>
      <c r="AM350">
        <v>3.059999942779541</v>
      </c>
      <c r="AN350">
        <v>1</v>
      </c>
      <c r="AO350">
        <v>1</v>
      </c>
      <c r="AP350">
        <v>2023</v>
      </c>
      <c r="AQ350">
        <v>3</v>
      </c>
      <c r="AR350">
        <v>0</v>
      </c>
      <c r="AS350">
        <v>0</v>
      </c>
      <c r="AT350">
        <v>0</v>
      </c>
      <c r="AU350">
        <v>0</v>
      </c>
      <c r="AV350">
        <f t="shared" si="85"/>
        <v>0</v>
      </c>
      <c r="AW350">
        <f t="shared" si="86"/>
        <v>0.48113206647477058</v>
      </c>
      <c r="AX350">
        <f t="shared" si="87"/>
        <v>1388.0660117797131</v>
      </c>
      <c r="AY350">
        <f t="shared" si="88"/>
        <v>0</v>
      </c>
      <c r="AZ350">
        <f t="shared" si="89"/>
        <v>3.059999942779541</v>
      </c>
      <c r="BA350">
        <f t="shared" si="90"/>
        <v>2</v>
      </c>
      <c r="BB350">
        <f t="shared" si="91"/>
        <v>0.18867925209083561</v>
      </c>
      <c r="BC350">
        <f>MATCH($B350,clean_historis!$B:$B,0)</f>
        <v>350</v>
      </c>
      <c r="BD350">
        <f>IFERROR(INDEX(clean_historis!$AF:$AF,$BC350)/INDEX(clean_historis!$V:$V,$BC350),0)</f>
        <v>0</v>
      </c>
      <c r="BE350">
        <f>IFERROR(INDEX(clean_historis!$AR:$AR,$BC350)/INDEX(clean_historis!$AH:$AH,$BC350),0)</f>
        <v>0</v>
      </c>
      <c r="BF350">
        <f t="shared" si="92"/>
        <v>0.48113206647477058</v>
      </c>
      <c r="BG350">
        <f>MAX(IF(INDEX(clean_historis!$CL:$CL,$BC350)=1,2025,0),IF(INDEX(clean_historis!$CK:$CK,$BC350)=1,2024,0),IF(INDEX(clean_historis!$CJ:$CJ,$BC350)=1,2023,0),IF(INDEX(clean_historis!$CI:$CI,$BC350)=1,2022,0),IF(INDEX(clean_historis!$CH:$CH,$BC350)=1,2021,0))</f>
        <v>2023</v>
      </c>
      <c r="BH350">
        <f t="shared" si="93"/>
        <v>0.81132074790916442</v>
      </c>
      <c r="BI350">
        <f t="shared" si="94"/>
        <v>2340.6603577179394</v>
      </c>
      <c r="BJ350">
        <f t="shared" si="95"/>
        <v>0</v>
      </c>
      <c r="BK350">
        <f t="shared" si="96"/>
        <v>21.7562</v>
      </c>
      <c r="BL350">
        <f t="shared" si="97"/>
        <v>0</v>
      </c>
      <c r="BM350">
        <f t="shared" si="98"/>
        <v>1</v>
      </c>
      <c r="BN350">
        <v>1</v>
      </c>
      <c r="BO350">
        <f t="shared" si="101"/>
        <v>0</v>
      </c>
      <c r="BP350">
        <f t="shared" si="99"/>
        <v>1</v>
      </c>
      <c r="BQ350">
        <f t="shared" si="100"/>
        <v>1</v>
      </c>
    </row>
    <row r="351" spans="1:69" x14ac:dyDescent="0.25">
      <c r="A351">
        <v>350</v>
      </c>
      <c r="B351" t="s">
        <v>1421</v>
      </c>
      <c r="C351" t="s">
        <v>1422</v>
      </c>
      <c r="D351" t="s">
        <v>1423</v>
      </c>
      <c r="E351" t="s">
        <v>1424</v>
      </c>
      <c r="F351" t="s">
        <v>503</v>
      </c>
      <c r="G351">
        <v>3</v>
      </c>
      <c r="H351">
        <v>2</v>
      </c>
      <c r="I351">
        <v>1628</v>
      </c>
      <c r="J351">
        <v>0</v>
      </c>
      <c r="K351">
        <v>1</v>
      </c>
      <c r="L351">
        <v>2782.1</v>
      </c>
      <c r="M351">
        <v>2691.8</v>
      </c>
      <c r="N351">
        <v>3352.4</v>
      </c>
      <c r="O351">
        <v>744.2</v>
      </c>
      <c r="P351">
        <v>4751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3.35</v>
      </c>
      <c r="W351">
        <v>0</v>
      </c>
      <c r="X351">
        <v>0</v>
      </c>
      <c r="Y351">
        <v>3.3499999046325679</v>
      </c>
      <c r="Z351">
        <v>0</v>
      </c>
      <c r="AA351">
        <v>3.3499999046325679</v>
      </c>
      <c r="AB351">
        <v>0</v>
      </c>
      <c r="AC351">
        <v>0</v>
      </c>
      <c r="AD351">
        <v>0</v>
      </c>
      <c r="AE351">
        <v>3.3499999046325679</v>
      </c>
      <c r="AF351">
        <v>0</v>
      </c>
      <c r="AG351">
        <v>1</v>
      </c>
      <c r="AH351">
        <v>0</v>
      </c>
      <c r="AI351">
        <v>150</v>
      </c>
      <c r="AJ351">
        <v>3.3499999046325679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2024</v>
      </c>
      <c r="AQ351">
        <v>2</v>
      </c>
      <c r="AR351">
        <v>0</v>
      </c>
      <c r="AS351">
        <v>0</v>
      </c>
      <c r="AT351">
        <v>0</v>
      </c>
      <c r="AU351">
        <v>0</v>
      </c>
      <c r="AV351">
        <f t="shared" si="85"/>
        <v>0</v>
      </c>
      <c r="AW351">
        <f t="shared" si="86"/>
        <v>0</v>
      </c>
      <c r="AX351">
        <f t="shared" si="87"/>
        <v>0</v>
      </c>
      <c r="AY351">
        <f t="shared" si="88"/>
        <v>0</v>
      </c>
      <c r="AZ351">
        <f t="shared" si="89"/>
        <v>0</v>
      </c>
      <c r="BA351">
        <f t="shared" si="90"/>
        <v>1</v>
      </c>
      <c r="BB351">
        <f t="shared" si="91"/>
        <v>1</v>
      </c>
      <c r="BC351">
        <f>MATCH($B351,clean_historis!$B:$B,0)</f>
        <v>351</v>
      </c>
      <c r="BD351">
        <f>IFERROR(INDEX(clean_historis!$AF:$AF,$BC351)/INDEX(clean_historis!$V:$V,$BC351),0)</f>
        <v>0</v>
      </c>
      <c r="BE351">
        <f>IFERROR(INDEX(clean_historis!$AR:$AR,$BC351)/INDEX(clean_historis!$AH:$AH,$BC351),0)</f>
        <v>0</v>
      </c>
      <c r="BF351">
        <f t="shared" si="92"/>
        <v>0</v>
      </c>
      <c r="BG351">
        <f>MAX(IF(INDEX(clean_historis!$CL:$CL,$BC351)=1,2025,0),IF(INDEX(clean_historis!$CK:$CK,$BC351)=1,2024,0),IF(INDEX(clean_historis!$CJ:$CJ,$BC351)=1,2023,0),IF(INDEX(clean_historis!$CI:$CI,$BC351)=1,2022,0),IF(INDEX(clean_historis!$CH:$CH,$BC351)=1,2021,0))</f>
        <v>2024</v>
      </c>
      <c r="BH351">
        <f t="shared" si="93"/>
        <v>0</v>
      </c>
      <c r="BI351">
        <f t="shared" si="94"/>
        <v>0</v>
      </c>
      <c r="BJ351">
        <f t="shared" si="95"/>
        <v>1</v>
      </c>
      <c r="BK351">
        <f t="shared" si="96"/>
        <v>13.577299999999999</v>
      </c>
      <c r="BL351">
        <f t="shared" si="97"/>
        <v>0</v>
      </c>
      <c r="BM351">
        <f t="shared" si="98"/>
        <v>0</v>
      </c>
      <c r="BN351">
        <v>0</v>
      </c>
      <c r="BO351">
        <f t="shared" si="101"/>
        <v>0</v>
      </c>
      <c r="BP351">
        <f t="shared" si="99"/>
        <v>1</v>
      </c>
      <c r="BQ351">
        <f t="shared" si="10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clean_historis</vt:lpstr>
      <vt:lpstr>model_2023_2024</vt:lpstr>
      <vt:lpstr>model_2024_2025</vt:lpstr>
      <vt:lpstr>model_2025_2026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Anwary Anwar</cp:lastModifiedBy>
  <dcterms:modified xsi:type="dcterms:W3CDTF">2026-04-18T03:42:40Z</dcterms:modified>
</cp:coreProperties>
</file>